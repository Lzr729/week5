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0f8bd1b64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4b3464b61b884fcf"/>
    <x:sheet xmlns:r="http://schemas.openxmlformats.org/officeDocument/2006/relationships" name="01_校验事项主表" sheetId="2" r:id="R240976a64686410a"/>
    <x:sheet xmlns:r="http://schemas.openxmlformats.org/officeDocument/2006/relationships" name="02_原文数值台账" sheetId="3" r:id="Rab917da3bd864076"/>
    <x:sheet xmlns:r="http://schemas.openxmlformats.org/officeDocument/2006/relationships" name="03_计算输入与公式" sheetId="4" r:id="R828396308b4f4f70"/>
    <x:sheet xmlns:r="http://schemas.openxmlformats.org/officeDocument/2006/relationships" name="04_校验结果明细" sheetId="5" r:id="Rba3a054e8b654303"/>
    <x:sheet xmlns:r="http://schemas.openxmlformats.org/officeDocument/2006/relationships" name="05_CE005重点复核" sheetId="6" r:id="R9196f60a102c4d0a"/>
    <x:sheet xmlns:r="http://schemas.openxmlformats.org/officeDocument/2006/relationships" name="06_待人工复核" sheetId="7" r:id="Rcedfd3ed1f144376"/>
    <x:sheet xmlns:r="http://schemas.openxmlformats.org/officeDocument/2006/relationships" name="07_验收检查" sheetId="8" r:id="R74ee34a0c7624fbc"/>
    <x:sheet xmlns:r="http://schemas.openxmlformats.org/officeDocument/2006/relationships" name="08_审查日志" sheetId="9" r:id="R8e0bae0088da4c4a"/>
    <x:sheet xmlns:r="http://schemas.openxmlformats.org/officeDocument/2006/relationships" name="99_下拉选项" sheetId="10" r:id="R4ba2018376e74ae4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<x:sst xmlns:x="http://schemas.openxmlformats.org/spreadsheetml/2006/main">
  <x:si>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</x:si>
  <x:si>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301563 云汉芯城招股说明书工程化学习</x:t>
  </x:si>
  <x:si>
    <x:t xml:space="preserve">阶段状态</x:t>
  </x:si>
  <x:si>
    <x:t xml:space="preserve">生成日期</x:t>
  </x:si>
  <x:si>
    <x:t xml:space="preserve">2026-07-17</x:t>
  </x:si>
  <x:si>
    <x:t xml:space="preserve">校验事项</x:t>
  </x:si>
  <x:si>
    <x:t xml:space="preserve">唯一主要事实来源</x:t>
  </x:si>
  <x:si>
    <x:t xml:space="preserve">301563_云汉芯城_IPO招股说明书.pdf</x:t>
  </x:si>
  <x:si>
    <x:t xml:space="preserve">页码规则</x:t>
  </x:si>
  <x:si>
    <x:t xml:space="preserve">PDF页码 = 正文页码 + 1</x:t>
  </x:si>
  <x:si>
    <x:t xml:space="preserve">上游计算登记</x:t>
  </x:si>
  <x:si>
    <x:t xml:space="preserve">原子校验事项</x:t>
  </x:si>
  <x:si>
    <x:t xml:space="preserve">结构化上游</x:t>
  </x:si>
  <x:si>
    <x:t xml:space="preserve">stage06_equity_transactions_and_snapshots_final_approved.xlsx；stage05_equity_change_timeline_final_approved.xlsx；stage05_bundle.json</x:t>
  </x:si>
  <x:si>
    <x:t xml:space="preserve">阶段边界</x:t>
  </x:si>
  <x:si>
    <x:t xml:space="preserve">不进入PE/VC识别；不修正原文披露</x:t>
  </x:si>
  <x:si>
    <x:t xml:space="preserve">重点事项</x:t>
  </x:si>
  <x:si>
    <x:t xml:space="preserve">CE-005</x:t>
  </x:si>
  <x:si>
    <x:t xml:space="preserve">差异值</x:t>
  </x:si>
  <x:si>
    <x:t xml:space="preserve">值类型</x:t>
  </x:si>
  <x:si>
    <x:t xml:space="preserve">原文披露值｜标准化值｜计算值｜差异值</x:t>
  </x:si>
  <x:si>
    <x:t xml:space="preserve">计算规则</x:t>
  </x:si>
  <x:si>
    <x:t xml:space="preserve">Decimal精确复算；单位先统一</x:t>
  </x:si>
  <x:si>
    <x:t xml:space="preserve">特殊修订</x:t>
  </x:si>
  <x:si>
    <x:t xml:space="preserve">CE-013十笔价款</x:t>
  </x:si>
  <x:si>
    <x:t xml:space="preserve">最终上游值</x:t>
  </x:si>
  <x:si>
    <x:t xml:space="preserve">8,563.19万元</x:t>
  </x:si>
  <x:si>
    <x:t xml:space="preserve">禁止事项</x:t>
  </x:si>
  <x:si>
    <x:t xml:space="preserve">当前输出</x:t>
  </x:si>
  <x:si>
    <x:t xml:space="preserve">最终版状态</x:t>
  </x:si>
  <x:si>
    <x:t xml:space="preserve">下一步</x:t>
  </x:si>
  <x:si>
    <x:t xml:space="preserve">复核顺序</x:t>
  </x:si>
  <x:si>
    <x:t xml:space="preserve">1</x:t>
  </x:si>
  <x:si>
    <x:t xml:space="preserve">先查看05_CE005重点复核，确认三项原文输入、公式及差异方向。</x:t>
  </x:si>
  <x:si>
    <x:t xml:space="preserve">2</x:t>
  </x:si>
  <x:si>
    <x:t xml:space="preserve">再查看06_待人工复核，逐项选择用户决定并填写复核说明。</x:t>
  </x:si>
  <x:si>
    <x:t xml:space="preserve">3</x:t>
  </x:si>
  <x:si>
    <x:t xml:space="preserve">04_校验结果明细中的蓝色字体为原文/硬编码输入，黑色为公式，绿色为跨工作表引用。</x:t>
  </x:si>
  <x:si>
    <x:t xml:space="preserve">4</x:t>
  </x:si>
  <x:si>
    <x:t xml:space="preserve">CE-005结论不得写成“修正值”；只能确认原文披露差异、信息不足或退回复核。</x:t>
  </x:si>
  <x:si>
    <x:t xml:space="preserve">5</x:t>
  </x:si>
  <x:si>
    <x:t xml:space="preserve">CE-013十笔价款8,563.19万元属于阶段六上游计算修订，不属于招股说明书原文冲突。</x:t>
  </x:si>
  <x:si>
    <x:t xml:space="preserve">校验事项主表：一项原子校验一行</x:t>
  </x:si>
  <x:si>
    <x:t xml:space="preserve">validation_id</x:t>
  </x:si>
  <x:si>
    <x:t xml:space="preserve">upstream_calculation_id</x:t>
  </x:si>
  <x:si>
    <x:t xml:space="preserve">event_id</x:t>
  </x:si>
  <x:si>
    <x:t xml:space="preserve">snapshot_id</x:t>
  </x:si>
  <x:si>
    <x:t xml:space="preserve">category</x:t>
  </x:si>
  <x:si>
    <x:t xml:space="preserve">validation_description</x:t>
  </x:si>
  <x:si>
    <x:t xml:space="preserve">formula_type</x:t>
  </x:si>
  <x:si>
    <x:t xml:space="preserve">calculated_unit</x:t>
  </x:si>
  <x:si>
    <x:t xml:space="preserve">display_precision</x:t>
  </x:si>
  <x:si>
    <x:t xml:space="preserve">materiality_level</x:t>
  </x:si>
  <x:si>
    <x:t xml:space="preserve">manual_review_required</x:t>
  </x:si>
  <x:si>
    <x:t xml:space="preserve">auto_status</x:t>
  </x:si>
  <x:si>
    <x:t xml:space="preserve">final_status</x:t>
  </x:si>
  <x:si>
    <x:t xml:space="preserve">pdf_pages</x:t>
  </x:si>
  <x:si>
    <x:t xml:space="preserve">printed_pages</x:t>
  </x:si>
  <x:si>
    <x:t xml:space="preserve">evidence_ids</x:t>
  </x:si>
  <x:si>
    <x:t xml:space="preserve">scope_note</x:t>
  </x:si>
  <x:si>
    <x:t xml:space="preserve">review_note</x:t>
  </x:si>
  <x:si>
    <x:t xml:space="preserve">VAL-001</x:t>
  </x:si>
  <x:si>
    <x:t xml:space="preserve">S6-CAL-019</x:t>
  </x:si>
  <x:si>
    <x:t xml:space="preserve">CE-001</x:t>
  </x:si>
  <x:si>
    <x:t xml:space="preserve">SNP-001</x:t>
  </x:si>
  <x:si>
    <x:t xml:space="preserve">比例复算</x:t>
  </x:si>
  <x:si>
    <x:t xml:space="preserve">深圳云汉电子设立时持股比例复算</x:t>
  </x:si>
  <x:si>
    <x:t xml:space="preserve">ratio_pct</x:t>
  </x:si>
  <x:si>
    <x:t xml:space="preserve">%</x:t>
  </x:si>
  <x:si>
    <x:t xml:space="preserve">一般</x:t>
  </x:si>
  <x:si>
    <x:t xml:space="preserve">否</x:t>
  </x:si>
  <x:si>
    <x:t xml:space="preserve">自动计算完成</x:t>
  </x:si>
  <x:si>
    <x:t xml:space="preserve">55—56</x:t>
  </x:si>
  <x:si>
    <x:t xml:space="preserve">54—55</x:t>
  </x:si>
  <x:si>
    <x:t xml:space="preserve">CE-001-E01｜CE-001-E05</x:t>
  </x:si>
  <x:si>
    <x:t xml:space="preserve">原文比例同时保留。</x:t>
  </x:si>
  <x:si>
    <x:t xml:space="preserve">VAL-002</x:t>
  </x:si>
  <x:si>
    <x:t xml:space="preserve">刘云锋设立时持股比例复算</x:t>
  </x:si>
  <x:si>
    <x:t xml:space="preserve">VAL-003</x:t>
  </x:si>
  <x:si>
    <x:t xml:space="preserve">S6-CAL-001</x:t>
  </x:si>
  <x:si>
    <x:t xml:space="preserve">CE-002</x:t>
  </x:si>
  <x:si>
    <x:t xml:space="preserve">SNP-003</x:t>
  </x:si>
  <x:si>
    <x:t xml:space="preserve">增资分配</x:t>
  </x:si>
  <x:si>
    <x:t xml:space="preserve">曾烨按原持股比例分配50万元增资额</x:t>
  </x:si>
  <x:si>
    <x:t xml:space="preserve">product</x:t>
  </x:si>
  <x:si>
    <x:t xml:space="preserve">万元</x:t>
  </x:si>
  <x:si>
    <x:t xml:space="preserve">56</x:t>
  </x:si>
  <x:si>
    <x:t xml:space="preserve">55</x:t>
  </x:si>
  <x:si>
    <x:t xml:space="preserve">CE-002-E02</x:t>
  </x:si>
  <x:si>
    <x:t xml:space="preserve">原文明示按原持股比例增资，属于确定性计算。</x:t>
  </x:si>
  <x:si>
    <x:t xml:space="preserve">VAL-004</x:t>
  </x:si>
  <x:si>
    <x:t xml:space="preserve">刘云锋按原持股比例分配50万元增资额</x:t>
  </x:si>
  <x:si>
    <x:t xml:space="preserve">VAL-005</x:t>
  </x:si>
  <x:si>
    <x:t xml:space="preserve">S6-CAL-002</x:t>
  </x:si>
  <x:si>
    <x:t xml:space="preserve">SNP-002</x:t>
  </x:si>
  <x:si>
    <x:t xml:space="preserve">快照滚动</x:t>
  </x:si>
  <x:si>
    <x:t xml:space="preserve">转让后曾烨持有出资额</x:t>
  </x:si>
  <x:si>
    <x:t xml:space="preserve">signed_sum</x:t>
  </x:si>
  <x:si>
    <x:t xml:space="preserve">先转让后增资由原文明示。</x:t>
  </x:si>
  <x:si>
    <x:t xml:space="preserve">VAL-006</x:t>
  </x:si>
  <x:si>
    <x:t xml:space="preserve">转让后刘云锋持有出资额</x:t>
  </x:si>
  <x:si>
    <x:t xml:space="preserve">转让不改变刘云锋原持有额。</x:t>
  </x:si>
  <x:si>
    <x:t xml:space="preserve">VAL-007</x:t>
  </x:si>
  <x:si>
    <x:t xml:space="preserve">增资后曾烨持有出资额</x:t>
  </x:si>
  <x:si>
    <x:t xml:space="preserve">与阶段六确定性快照值核对。</x:t>
  </x:si>
  <x:si>
    <x:t xml:space="preserve">VAL-008</x:t>
  </x:si>
  <x:si>
    <x:t xml:space="preserve">增资后刘云锋持有出资额</x:t>
  </x:si>
  <x:si>
    <x:t xml:space="preserve">VAL-009</x:t>
  </x:si>
  <x:si>
    <x:t xml:space="preserve">S6-CAL-003</x:t>
  </x:si>
  <x:si>
    <x:t xml:space="preserve">CE-003</x:t>
  </x:si>
  <x:si>
    <x:t xml:space="preserve">SNP-004</x:t>
  </x:si>
  <x:si>
    <x:t xml:space="preserve">股权转让滚动</x:t>
  </x:si>
  <x:si>
    <x:t xml:space="preserve">曾烨转让后出资额</x:t>
  </x:si>
  <x:si>
    <x:t xml:space="preserve">CE-003-E01｜CE-003-E02</x:t>
  </x:si>
  <x:si>
    <x:t xml:space="preserve">注册资本100万元使百分比数值与万元出资额数值相同。</x:t>
  </x:si>
  <x:si>
    <x:t xml:space="preserve">VAL-010</x:t>
  </x:si>
  <x:si>
    <x:t xml:space="preserve">刘云锋转让后出资额</x:t>
  </x:si>
  <x:si>
    <x:t xml:space="preserve">刘云锋未全部退出。</x:t>
  </x:si>
  <x:si>
    <x:t xml:space="preserve">VAL-011</x:t>
  </x:si>
  <x:si>
    <x:t xml:space="preserve">为赛咨询转让后出资额</x:t>
  </x:si>
  <x:si>
    <x:t xml:space="preserve">为赛咨询新增进入。</x:t>
  </x:si>
  <x:si>
    <x:t xml:space="preserve">VAL-012</x:t>
  </x:si>
  <x:si>
    <x:t xml:space="preserve">S6-CAL-004</x:t>
  </x:si>
  <x:si>
    <x:t xml:space="preserve">SNP-006</x:t>
  </x:si>
  <x:si>
    <x:t xml:space="preserve">注册资本差异</x:t>
  </x:si>
  <x:si>
    <x:t xml:space="preserve">第三次增资后注册资本算术勾稽</x:t>
  </x:si>
  <x:si>
    <x:t xml:space="preserve">重点</x:t>
  </x:si>
  <x:si>
    <x:t xml:space="preserve">是</x:t>
  </x:si>
  <x:si>
    <x:t xml:space="preserve">CE-005-E01</x:t>
  </x:si>
  <x:si>
    <x:t xml:space="preserve">计算值高于原文增资后注册资本0.00574万元；不静默修正任何原文值。</x:t>
  </x:si>
  <x:si>
    <x:t xml:space="preserve">VAL-013</x:t>
  </x:si>
  <x:si>
    <x:t xml:space="preserve">S6-CAL-005</x:t>
  </x:si>
  <x:si>
    <x:t xml:space="preserve">CE-006</x:t>
  </x:si>
  <x:si>
    <x:t xml:space="preserve">SNP-007</x:t>
  </x:si>
  <x:si>
    <x:t xml:space="preserve">资本衔接</x:t>
  </x:si>
  <x:si>
    <x:t xml:space="preserve">资本公积转增导致的注册资本增加额</x:t>
  </x:si>
  <x:si>
    <x:t xml:space="preserve">CE-006-E01</x:t>
  </x:si>
  <x:si>
    <x:t xml:space="preserve">仅计算总额，不分配至各股东；由于上期CE-005存在差异，本项依赖原文期末值136.9864万元。</x:t>
  </x:si>
  <x:si>
    <x:t xml:space="preserve">VAL-014</x:t>
  </x:si>
  <x:si>
    <x:t xml:space="preserve">S6-CAL-006</x:t>
  </x:si>
  <x:si>
    <x:t xml:space="preserve">CE-009</x:t>
  </x:si>
  <x:si>
    <x:t xml:space="preserve">SNP-010</x:t>
  </x:si>
  <x:si>
    <x:t xml:space="preserve">股份转让滚动</x:t>
  </x:si>
  <x:si>
    <x:t xml:space="preserve">丰利财富全部转让后持股数</x:t>
  </x:si>
  <x:si>
    <x:t xml:space="preserve">股</x:t>
  </x:si>
  <x:si>
    <x:t xml:space="preserve">58—59</x:t>
  </x:si>
  <x:si>
    <x:t xml:space="preserve">57—58</x:t>
  </x:si>
  <x:si>
    <x:t xml:space="preserve">CE-009-E01｜CE-009-E02</x:t>
  </x:si>
  <x:si>
    <x:t xml:space="preserve">原文明确全部转让并退出。</x:t>
  </x:si>
  <x:si>
    <x:t xml:space="preserve">VAL-015</x:t>
  </x:si>
  <x:si>
    <x:t xml:space="preserve">天健创投受让后持股数</x:t>
  </x:si>
  <x:si>
    <x:t xml:space="preserve">与转让后股东表核对。</x:t>
  </x:si>
  <x:si>
    <x:t xml:space="preserve">VAL-016</x:t>
  </x:si>
  <x:si>
    <x:t xml:space="preserve">S6-CAL-007</x:t>
  </x:si>
  <x:si>
    <x:t xml:space="preserve">单位价格</x:t>
  </x:si>
  <x:si>
    <x:t xml:space="preserve">丰利财富向天健创投转让的单位价格</x:t>
  </x:si>
  <x:si>
    <x:t xml:space="preserve">unit_price</x:t>
  </x:si>
  <x:si>
    <x:t xml:space="preserve">元/股</x:t>
  </x:si>
  <x:si>
    <x:t xml:space="preserve">原文直接披露价款和股数；单位价格为计算值。</x:t>
  </x:si>
  <x:si>
    <x:t xml:space="preserve">VAL-017</x:t>
  </x:si>
  <x:si>
    <x:t xml:space="preserve">S6-CAL-008</x:t>
  </x:si>
  <x:si>
    <x:t xml:space="preserve">CE-010</x:t>
  </x:si>
  <x:si>
    <x:t xml:space="preserve">SNP-011</x:t>
  </x:si>
  <x:si>
    <x:t xml:space="preserve">股份换算</x:t>
  </x:si>
  <x:si>
    <x:t xml:space="preserve">国科瑞华认缴注册资本换算新增股份</x:t>
  </x:si>
  <x:si>
    <x:t xml:space="preserve">59—61</x:t>
  </x:si>
  <x:si>
    <x:t xml:space="preserve">58—60</x:t>
  </x:si>
  <x:si>
    <x:t xml:space="preserve">CE-010-E01｜CE-010-E02｜CE-010-E05</x:t>
  </x:si>
  <x:si>
    <x:t xml:space="preserve">按1股对应1元注册资本进行数量衔接。</x:t>
  </x:si>
  <x:si>
    <x:t xml:space="preserve">VAL-018</x:t>
  </x:si>
  <x:si>
    <x:t xml:space="preserve">CASREV FUND认缴注册资本换算新增股份</x:t>
  </x:si>
  <x:si>
    <x:t xml:space="preserve">VAL-019</x:t>
  </x:si>
  <x:si>
    <x:t xml:space="preserve">中科贵银认缴注册资本换算新增股份</x:t>
  </x:si>
  <x:si>
    <x:t xml:space="preserve">VAL-020</x:t>
  </x:si>
  <x:si>
    <x:t xml:space="preserve">夏东认缴注册资本换算新增股份</x:t>
  </x:si>
  <x:si>
    <x:t xml:space="preserve">VAL-021</x:t>
  </x:si>
  <x:si>
    <x:t xml:space="preserve">南山富海认缴注册资本换算新增股份</x:t>
  </x:si>
  <x:si>
    <x:t xml:space="preserve">VAL-022</x:t>
  </x:si>
  <x:si>
    <x:t xml:space="preserve">珠海拓域认缴注册资本换算新增股份</x:t>
  </x:si>
  <x:si>
    <x:t xml:space="preserve">VAL-023</x:t>
  </x:si>
  <x:si>
    <x:t xml:space="preserve">股份合计</x:t>
  </x:si>
  <x:si>
    <x:t xml:space="preserve">六方新增股份合计</x:t>
  </x:si>
  <x:si>
    <x:t xml:space="preserve">逐项换算后求和。</x:t>
  </x:si>
  <x:si>
    <x:t xml:space="preserve">VAL-024</x:t>
  </x:si>
  <x:si>
    <x:t xml:space="preserve">S6-CAL-009</x:t>
  </x:si>
  <x:si>
    <x:t xml:space="preserve">李文发激励增资认缴资本换算股份</x:t>
  </x:si>
  <x:si>
    <x:t xml:space="preserve">原文每股价格1元；这里只做注册资本与股份数量衔接。</x:t>
  </x:si>
  <x:si>
    <x:t xml:space="preserve">VAL-025</x:t>
  </x:si>
  <x:si>
    <x:t xml:space="preserve">秦国君激励增资认缴资本换算股份</x:t>
  </x:si>
  <x:si>
    <x:t xml:space="preserve">VAL-026</x:t>
  </x:si>
  <x:si>
    <x:t xml:space="preserve">李剑峰激励增资认缴资本换算股份</x:t>
  </x:si>
  <x:si>
    <x:t xml:space="preserve">VAL-027</x:t>
  </x:si>
  <x:si>
    <x:t xml:space="preserve">周雪峰激励增资认缴资本换算股份</x:t>
  </x:si>
  <x:si>
    <x:t xml:space="preserve">VAL-028</x:t>
  </x:si>
  <x:si>
    <x:t xml:space="preserve">四名激励对象新增股份合计</x:t>
  </x:si>
  <x:si>
    <x:t xml:space="preserve">VAL-029</x:t>
  </x:si>
  <x:si>
    <x:t xml:space="preserve">S6-CAL-010</x:t>
  </x:si>
  <x:si>
    <x:t xml:space="preserve">转让股数合计</x:t>
  </x:si>
  <x:si>
    <x:t xml:space="preserve">四笔股份转让股数合计</x:t>
  </x:si>
  <x:si>
    <x:t xml:space="preserve">合计为计算值，不覆盖逐笔原文值。</x:t>
  </x:si>
  <x:si>
    <x:t xml:space="preserve">VAL-030</x:t>
  </x:si>
  <x:si>
    <x:t xml:space="preserve">转让价款合计</x:t>
  </x:si>
  <x:si>
    <x:t xml:space="preserve">四笔股份转让价款合计</x:t>
  </x:si>
  <x:si>
    <x:t xml:space="preserve">合计为阶段七逐笔原文值复算结果。</x:t>
  </x:si>
  <x:si>
    <x:t xml:space="preserve">VAL-031</x:t>
  </x:si>
  <x:si>
    <x:t xml:space="preserve">S6-CAL-011</x:t>
  </x:si>
  <x:si>
    <x:t xml:space="preserve">曾烨→富海节能单位价格</x:t>
  </x:si>
  <x:si>
    <x:t xml:space="preserve">原文为约数；只判断计算结果是否支持约29.13元/股，不要求精确相等。</x:t>
  </x:si>
  <x:si>
    <x:t xml:space="preserve">VAL-032</x:t>
  </x:si>
  <x:si>
    <x:t xml:space="preserve">曾烨→临港投资单位价格</x:t>
  </x:si>
  <x:si>
    <x:t xml:space="preserve">VAL-033</x:t>
  </x:si>
  <x:si>
    <x:t xml:space="preserve">刘云锋→临港投资单位价格</x:t>
  </x:si>
  <x:si>
    <x:t xml:space="preserve">VAL-034</x:t>
  </x:si>
  <x:si>
    <x:t xml:space="preserve">刘云锋→鸿迪投资单位价格</x:t>
  </x:si>
  <x:si>
    <x:t xml:space="preserve">VAL-035</x:t>
  </x:si>
  <x:si>
    <x:t xml:space="preserve">S6-CAL-012</x:t>
  </x:si>
  <x:si>
    <x:t xml:space="preserve">CE-011</x:t>
  </x:si>
  <x:si>
    <x:t xml:space="preserve">SNP-012</x:t>
  </x:si>
  <x:si>
    <x:t xml:space="preserve">为赛咨询两笔转让后持股数</x:t>
  </x:si>
  <x:si>
    <x:t xml:space="preserve">61—62</x:t>
  </x:si>
  <x:si>
    <x:t xml:space="preserve">60—61</x:t>
  </x:si>
  <x:si>
    <x:t xml:space="preserve">CE-011-E01｜CE-011-E03</x:t>
  </x:si>
  <x:si>
    <x:t xml:space="preserve">两笔各400,000股。</x:t>
  </x:si>
  <x:si>
    <x:t xml:space="preserve">VAL-036</x:t>
  </x:si>
  <x:si>
    <x:t xml:space="preserve">李文发受让后持股数</x:t>
  </x:si>
  <x:si>
    <x:t xml:space="preserve">VAL-037</x:t>
  </x:si>
  <x:si>
    <x:t xml:space="preserve">秦国君受让后持股数</x:t>
  </x:si>
  <x:si>
    <x:t xml:space="preserve">VAL-038</x:t>
  </x:si>
  <x:si>
    <x:t xml:space="preserve">S6-CAL-013</x:t>
  </x:si>
  <x:si>
    <x:t xml:space="preserve">CE-012</x:t>
  </x:si>
  <x:si>
    <x:t xml:space="preserve">SNP-013</x:t>
  </x:si>
  <x:si>
    <x:t xml:space="preserve">火炬电子新增股份换算新增注册资本</x:t>
  </x:si>
  <x:si>
    <x:t xml:space="preserve">share_to_capital</x:t>
  </x:si>
  <x:si>
    <x:t xml:space="preserve">62—63</x:t>
  </x:si>
  <x:si>
    <x:t xml:space="preserve">CE-012-E01｜CE-012-E04</x:t>
  </x:si>
  <x:si>
    <x:t xml:space="preserve">1股对应1元注册资本。</x:t>
  </x:si>
  <x:si>
    <x:t xml:space="preserve">VAL-039</x:t>
  </x:si>
  <x:si>
    <x:t xml:space="preserve">火炬电子增资后注册资本</x:t>
  </x:si>
  <x:si>
    <x:t xml:space="preserve">VAL-040</x:t>
  </x:si>
  <x:si>
    <x:t xml:space="preserve">S6-CAL-014</x:t>
  </x:si>
  <x:si>
    <x:t xml:space="preserve">快照勾稽</x:t>
  </x:si>
  <x:si>
    <x:t xml:space="preserve">增资后逐股东持股合计</x:t>
  </x:si>
  <x:si>
    <x:t xml:space="preserve">以阶段六SNP-012总股本46,350,000股加火炬电子新增1,130,488股复算。</x:t>
  </x:si>
  <x:si>
    <x:t xml:space="preserve">VAL-041</x:t>
  </x:si>
  <x:si>
    <x:t xml:space="preserve">S6-CAL-015</x:t>
  </x:si>
  <x:si>
    <x:t xml:space="preserve">CE-013</x:t>
  </x:si>
  <x:si>
    <x:t xml:space="preserve">SNP-014</x:t>
  </x:si>
  <x:si>
    <x:t xml:space="preserve">新增股份合计</x:t>
  </x:si>
  <x:si>
    <x:t xml:space="preserve">厦门西堤和中小企业基金新增股份合计</x:t>
  </x:si>
  <x:si>
    <x:t xml:space="preserve">63—65</x:t>
  </x:si>
  <x:si>
    <x:t xml:space="preserve">62—64</x:t>
  </x:si>
  <x:si>
    <x:t xml:space="preserve">CE-013-E01｜CE-013-E03｜CE-013-E05</x:t>
  </x:si>
  <x:si>
    <x:t xml:space="preserve">VAL-042</x:t>
  </x:si>
  <x:si>
    <x:t xml:space="preserve">新增股份换算新增注册资本</x:t>
  </x:si>
  <x:si>
    <x:t xml:space="preserve">VAL-043</x:t>
  </x:si>
  <x:si>
    <x:t xml:space="preserve">第三次增资后注册资本</x:t>
  </x:si>
  <x:si>
    <x:t xml:space="preserve">VAL-044</x:t>
  </x:si>
  <x:si>
    <x:t xml:space="preserve">S6-CAL-016</x:t>
  </x:si>
  <x:si>
    <x:t xml:space="preserve">十笔股份转让股数合计与原文合计数核对</x:t>
  </x:si>
  <x:si>
    <x:t xml:space="preserve">本待复核版登记原文直接披露合计值；最终验收前须在PDF第64页逐笔复算十行。</x:t>
  </x:si>
  <x:si>
    <x:t xml:space="preserve">VAL-045</x:t>
  </x:si>
  <x:si>
    <x:t xml:space="preserve">十笔股份转让价款逐笔求和</x:t>
  </x:si>
  <x:si>
    <x:t xml:space="preserve">阶段六最终版已将底稿误录8,563.79万元更正为8,563.19万元；最终验收前须回到PDF第64页逐笔复算十行。</x:t>
  </x:si>
  <x:si>
    <x:t xml:space="preserve">VAL-046</x:t>
  </x:si>
  <x:si>
    <x:t xml:space="preserve">S6-CAL-017</x:t>
  </x:si>
  <x:si>
    <x:t xml:space="preserve">第三次增资及十笔转让后总股本</x:t>
  </x:si>
  <x:si>
    <x:t xml:space="preserve">转让不改变总股本；以SNP-013总股本加新增股份复算。</x:t>
  </x:si>
  <x:si>
    <x:t xml:space="preserve">VAL-047</x:t>
  </x:si>
  <x:si>
    <x:t xml:space="preserve">S6-CAL-018</x:t>
  </x:si>
  <x:si>
    <x:t xml:space="preserve">C8</x:t>
  </x:si>
  <x:si>
    <x:t xml:space="preserve">SNP-015</x:t>
  </x:si>
  <x:si>
    <x:t xml:space="preserve">终点交叉核对</x:t>
  </x:si>
  <x:si>
    <x:t xml:space="preserve">最终历史快照与发行前静态表总股本差异</x:t>
  </x:si>
  <x:si>
    <x:t xml:space="preserve">91—93</x:t>
  </x:si>
  <x:si>
    <x:t xml:space="preserve">90—92</x:t>
  </x:si>
  <x:si>
    <x:t xml:space="preserve">S6-C8-E01</x:t>
  </x:si>
  <x:si>
    <x:t xml:space="preserve">阶段六已验收逐股东及总股本差额均为0；C8不用于倒推历史。</x:t>
  </x:si>
  <x:si>
    <x:t xml:space="preserve">VAL-048</x:t>
  </x:si>
  <x:si>
    <x:t xml:space="preserve">S6-CAL-021</x:t>
  </x:si>
  <x:si>
    <x:t xml:space="preserve">CE-008</x:t>
  </x:si>
  <x:si>
    <x:t xml:space="preserve">SNP-009</x:t>
  </x:si>
  <x:si>
    <x:t xml:space="preserve">曾烨整体变更时持股比例复算</x:t>
  </x:si>
  <x:si>
    <x:t xml:space="preserve">53—55</x:t>
  </x:si>
  <x:si>
    <x:t xml:space="preserve">52—54</x:t>
  </x:si>
  <x:si>
    <x:t xml:space="preserve">CE-008-E07</x:t>
  </x:si>
  <x:si>
    <x:t xml:space="preserve">原文两位小数比例与未舍入计算值分列。</x:t>
  </x:si>
  <x:si>
    <x:t xml:space="preserve">VAL-049</x:t>
  </x:si>
  <x:si>
    <x:t xml:space="preserve">刘云锋整体变更时持股比例复算</x:t>
  </x:si>
  <x:si>
    <x:t xml:space="preserve">VAL-050</x:t>
  </x:si>
  <x:si>
    <x:t xml:space="preserve">力源信息整体变更时持股比例复算</x:t>
  </x:si>
  <x:si>
    <x:t xml:space="preserve">VAL-051</x:t>
  </x:si>
  <x:si>
    <x:t xml:space="preserve">芜湖富海整体变更时持股比例复算</x:t>
  </x:si>
  <x:si>
    <x:t xml:space="preserve">VAL-052</x:t>
  </x:si>
  <x:si>
    <x:t xml:space="preserve">东方富海整体变更时持股比例复算</x:t>
  </x:si>
  <x:si>
    <x:t xml:space="preserve">VAL-053</x:t>
  </x:si>
  <x:si>
    <x:t xml:space="preserve">为赛咨询整体变更时持股比例复算</x:t>
  </x:si>
  <x:si>
    <x:t xml:space="preserve">VAL-054</x:t>
  </x:si>
  <x:si>
    <x:t xml:space="preserve">深创投整体变更时持股比例复算</x:t>
  </x:si>
  <x:si>
    <x:t xml:space="preserve">VAL-055</x:t>
  </x:si>
  <x:si>
    <x:t xml:space="preserve">丰利财富整体变更时持股比例复算</x:t>
  </x:si>
  <x:si>
    <x:t xml:space="preserve">原文数值台账：原文值与标准化值分列</x:t>
  </x:si>
  <x:si>
    <x:t xml:space="preserve">source_value_id</x:t>
  </x:si>
  <x:si>
    <x:t xml:space="preserve">field_or_role</x:t>
  </x:si>
  <x:si>
    <x:t xml:space="preserve">original_numeric_text</x:t>
  </x:si>
  <x:si>
    <x:t xml:space="preserve">original_value</x:t>
  </x:si>
  <x:si>
    <x:t xml:space="preserve">original_unit</x:t>
  </x:si>
  <x:si>
    <x:t xml:space="preserve">standardized_value</x:t>
  </x:si>
  <x:si>
    <x:t xml:space="preserve">standardized_unit</x:t>
  </x:si>
  <x:si>
    <x:t xml:space="preserve">conversion_formula</x:t>
  </x:si>
  <x:si>
    <x:t xml:space="preserve">original_excerpt</x:t>
  </x:si>
  <x:si>
    <x:t xml:space="preserve">source_verification_status</x:t>
  </x:si>
  <x:si>
    <x:t xml:space="preserve">value_nature</x:t>
  </x:si>
  <x:si>
    <x:t xml:space="preserve">approximation_marker</x:t>
  </x:si>
  <x:si>
    <x:t xml:space="preserve">notes</x:t>
  </x:si>
  <x:si>
    <x:t xml:space="preserve">CE-001-V02</x:t>
  </x:si>
  <x:si>
    <x:t xml:space="preserve">numerator</x:t>
  </x:si>
  <x:si>
    <x:t xml:space="preserve">25.00</x:t>
  </x:si>
  <x:si>
    <x:t xml:space="preserve">无</x:t>
  </x:si>
  <x:si>
    <x:t xml:space="preserve">设立时股东表：深圳市云汉电子有限公司、刘云锋各认缴25.00万元、各持股50.00%；合计注册资本50.00万元。</x:t>
  </x:si>
  <x:si>
    <x:t xml:space="preserve">PDF原文已定位</x:t>
  </x:si>
  <x:si>
    <x:t xml:space="preserve">原文披露值</x:t>
  </x:si>
  <x:si>
    <x:t xml:space="preserve">持有额</x:t>
  </x:si>
  <x:si>
    <x:t xml:space="preserve">CE-001-V01</x:t>
  </x:si>
  <x:si>
    <x:t xml:space="preserve">denominator</x:t>
  </x:si>
  <x:si>
    <x:t xml:space="preserve">50.00</x:t>
  </x:si>
  <x:si>
    <x:t xml:space="preserve">总注册资本</x:t>
  </x:si>
  <x:si>
    <x:t xml:space="preserve">CE-001-V03</x:t>
  </x:si>
  <x:si>
    <x:t xml:space="preserve">comparison</x:t>
  </x:si>
  <x:si>
    <x:t xml:space="preserve">50</x:t>
  </x:si>
  <x:si>
    <x:t xml:space="preserve">比较原文值，不参与计算值求和。</x:t>
  </x:si>
  <x:si>
    <x:t xml:space="preserve">CE-001-V04</x:t>
  </x:si>
  <x:si>
    <x:t xml:space="preserve">CE-001-V05</x:t>
  </x:si>
  <x:si>
    <x:t xml:space="preserve">CE-002-V02</x:t>
  </x:si>
  <x:si>
    <x:t xml:space="preserve">factor1</x:t>
  </x:si>
  <x:si>
    <x:t xml:space="preserve">2009年12月，深圳市云汉电子有限公司将其持有的有限公司50%股权转让给曾烨；曾烨、刘云锋按原持股比例增资50万元，注册资本增至100万元。</x:t>
  </x:si>
  <x:si>
    <x:t xml:space="preserve">合计增资额</x:t>
  </x:si>
  <x:si>
    <x:t xml:space="preserve">CE-002-V01</x:t>
  </x:si>
  <x:si>
    <x:t xml:space="preserve">transfer_in</x:t>
  </x:si>
  <x:si>
    <x:t xml:space="preserve">50%×50万元</x:t>
  </x:si>
  <x:si>
    <x:t xml:space="preserve">确定性换算</x:t>
  </x:si>
  <x:si>
    <x:t xml:space="preserve">受让深圳云汉电子全部25万元出资</x:t>
  </x:si>
  <x:si>
    <x:t xml:space="preserve">S6-CAL-001-ZY</x:t>
  </x:si>
  <x:si>
    <x:t xml:space="preserve">increase</x:t>
  </x:si>
  <x:si>
    <x:t xml:space="preserve">25</x:t>
  </x:si>
  <x:si>
    <x:t xml:space="preserve">按比例增资额</x:t>
  </x:si>
  <x:si>
    <x:t xml:space="preserve">S6-CAL-001-LYF</x:t>
  </x:si>
  <x:si>
    <x:t xml:space="preserve">CE-003-V02</x:t>
  </x:si>
  <x:si>
    <x:t xml:space="preserve">15.75%</x:t>
  </x:si>
  <x:si>
    <x:t xml:space="preserve">100万元×15.75%</x:t>
  </x:si>
  <x:si>
    <x:t xml:space="preserve">2014年6月，有限公司第二次股权转让，注册资本100万元；刘云锋将其持有的15.75%、6.85%股权分别转让给曾烨、为赛咨询。</x:t>
  </x:si>
  <x:si>
    <x:t xml:space="preserve">受让比例换算</x:t>
  </x:si>
  <x:si>
    <x:t xml:space="preserve">CE-003-V03</x:t>
  </x:si>
  <x:si>
    <x:t xml:space="preserve">transfer_out</x:t>
  </x:si>
  <x:si>
    <x:t xml:space="preserve">6.85%</x:t>
  </x:si>
  <x:si>
    <x:t xml:space="preserve">100万元×6.85%</x:t>
  </x:si>
  <x:si>
    <x:t xml:space="preserve">向为赛咨询转出</x:t>
  </x:si>
  <x:si>
    <x:t xml:space="preserve">CE-004-V02</x:t>
  </x:si>
  <x:si>
    <x:t xml:space="preserve">capital_before</x:t>
  </x:si>
  <x:si>
    <x:t xml:space="preserve">128.205</x:t>
  </x:si>
  <x:si>
    <x:t xml:space="preserve">2015年1月，有限公司第三次增资，注册资本增至136.9864万元；力源信息、东方富海及芜湖富海共同增资8.78714万元。</x:t>
  </x:si>
  <x:si>
    <x:t xml:space="preserve">前次原文注册资本</x:t>
  </x:si>
  <x:si>
    <x:t xml:space="preserve">CE-005-V01</x:t>
  </x:si>
  <x:si>
    <x:t xml:space="preserve">capital_increase</x:t>
  </x:si>
  <x:si>
    <x:t xml:space="preserve">8.78714</x:t>
  </x:si>
  <x:si>
    <x:t xml:space="preserve">本次原文共同增资额</x:t>
  </x:si>
  <x:si>
    <x:t xml:space="preserve">CE-005-V02</x:t>
  </x:si>
  <x:si>
    <x:t xml:space="preserve">136.9864</x:t>
  </x:si>
  <x:si>
    <x:t xml:space="preserve">CE-006-V01</x:t>
  </x:si>
  <x:si>
    <x:t xml:space="preserve">capital_after</x:t>
  </x:si>
  <x:si>
    <x:t xml:space="preserve">2000</x:t>
  </x:si>
  <x:si>
    <x:t xml:space="preserve">新增注册资本由各股东按照其持股比例以资本公积转增，注册资本增至2,000万元。</x:t>
  </x:si>
  <x:si>
    <x:t xml:space="preserve">转增后注册资本</x:t>
  </x:si>
  <x:si>
    <x:t xml:space="preserve">CE-009-V01</x:t>
  </x:si>
  <x:si>
    <x:t xml:space="preserve">initial</x:t>
  </x:si>
  <x:si>
    <x:t xml:space="preserve">666,680</x:t>
  </x:si>
  <x:si>
    <x:t xml:space="preserve">2018年4月28日，丰利财富将全部666,680股转让给天健创投，价款1,000万元；转让后表列示天健创投666,680股、1.67%。</x:t>
  </x:si>
  <x:si>
    <x:t xml:space="preserve">转让前持股</x:t>
  </x:si>
  <x:si>
    <x:t xml:space="preserve">CE-009-E02</x:t>
  </x:si>
  <x:si>
    <x:t xml:space="preserve">666680</x:t>
  </x:si>
  <x:si>
    <x:t xml:space="preserve">CE-009-V03</x:t>
  </x:si>
  <x:si>
    <x:t xml:space="preserve">consideration_wan</x:t>
  </x:si>
  <x:si>
    <x:t xml:space="preserve">1,000</x:t>
  </x:si>
  <x:si>
    <x:t xml:space="preserve">万元×10,000=元</x:t>
  </x:si>
  <x:si>
    <x:t xml:space="preserve">转让价款</x:t>
  </x:si>
  <x:si>
    <x:t xml:space="preserve">CE-010-V02</x:t>
  </x:si>
  <x:si>
    <x:t xml:space="preserve">254.4787</x:t>
  </x:si>
  <x:si>
    <x:t xml:space="preserve">万元×10,000=股</x:t>
  </x:si>
  <x:si>
    <x:t xml:space="preserve">2018年6月12日签署增资与股权转让协议，列明六方增资、四名激励对象增资及四笔股份转让；变更后股东表列示相应持股。</x:t>
  </x:si>
  <x:si>
    <x:t xml:space="preserve">原文认缴新增注册资本</x:t>
  </x:si>
  <x:si>
    <x:t xml:space="preserve">CE-010-V04</x:t>
  </x:si>
  <x:si>
    <x:t xml:space="preserve">61.8</x:t>
  </x:si>
  <x:si>
    <x:t xml:space="preserve">CE-010-V06</x:t>
  </x:si>
  <x:si>
    <x:t xml:space="preserve">54.384</x:t>
  </x:si>
  <x:si>
    <x:t xml:space="preserve">CE-010-V08</x:t>
  </x:si>
  <x:si>
    <x:t xml:space="preserve">7.004</x:t>
  </x:si>
  <x:si>
    <x:t xml:space="preserve">CE-010-V10</x:t>
  </x:si>
  <x:si>
    <x:t xml:space="preserve">103</x:t>
  </x:si>
  <x:si>
    <x:t xml:space="preserve">CE-010-V12</x:t>
  </x:si>
  <x:si>
    <x:t xml:space="preserve">34.3333</x:t>
  </x:si>
  <x:si>
    <x:t xml:space="preserve">CE-010-V14</x:t>
  </x:si>
  <x:si>
    <x:t xml:space="preserve">20</x:t>
  </x:si>
  <x:si>
    <x:t xml:space="preserve">CE-010-V16</x:t>
  </x:si>
  <x:si>
    <x:t xml:space="preserve">CE-010-V18</x:t>
  </x:si>
  <x:si>
    <x:t xml:space="preserve">CE-010-V20</x:t>
  </x:si>
  <x:si>
    <x:t xml:space="preserve">60</x:t>
  </x:si>
  <x:si>
    <x:t xml:space="preserve">CE-010-V21</x:t>
  </x:si>
  <x:si>
    <x:t xml:space="preserve">lot_1</x:t>
  </x:si>
  <x:si>
    <x:t xml:space="preserve">515000</x:t>
  </x:si>
  <x:si>
    <x:t xml:space="preserve">曾烨→富海节能</x:t>
  </x:si>
  <x:si>
    <x:t xml:space="preserve">CE-010-V23</x:t>
  </x:si>
  <x:si>
    <x:t xml:space="preserve">lot_2</x:t>
  </x:si>
  <x:si>
    <x:t xml:space="preserve">180250</x:t>
  </x:si>
  <x:si>
    <x:t xml:space="preserve">曾烨→临港投资</x:t>
  </x:si>
  <x:si>
    <x:t xml:space="preserve">CE-010-V25</x:t>
  </x:si>
  <x:si>
    <x:t xml:space="preserve">lot_3</x:t>
  </x:si>
  <x:si>
    <x:t xml:space="preserve">94417</x:t>
  </x:si>
  <x:si>
    <x:t xml:space="preserve">刘云锋→临港投资</x:t>
  </x:si>
  <x:si>
    <x:t xml:space="preserve">CE-010-V27</x:t>
  </x:si>
  <x:si>
    <x:t xml:space="preserve">lot_4</x:t>
  </x:si>
  <x:si>
    <x:t xml:space="preserve">369083</x:t>
  </x:si>
  <x:si>
    <x:t xml:space="preserve">刘云锋→鸿迪投资</x:t>
  </x:si>
  <x:si>
    <x:t xml:space="preserve">1158750</x:t>
  </x:si>
  <x:si>
    <x:t xml:space="preserve">CE-010-V22</x:t>
  </x:si>
  <x:si>
    <x:t xml:space="preserve">1500</x:t>
  </x:si>
  <x:si>
    <x:t xml:space="preserve">CE-010-V24</x:t>
  </x:si>
  <x:si>
    <x:t xml:space="preserve">524.9994</x:t>
  </x:si>
  <x:si>
    <x:t xml:space="preserve">CE-010-V26</x:t>
  </x:si>
  <x:si>
    <x:t xml:space="preserve">275.006</x:t>
  </x:si>
  <x:si>
    <x:t xml:space="preserve">CE-010-V28</x:t>
  </x:si>
  <x:si>
    <x:t xml:space="preserve">1075</x:t>
  </x:si>
  <x:si>
    <x:t xml:space="preserve">CE-010-E01（原文约29.13元/股）</x:t>
  </x:si>
  <x:si>
    <x:t xml:space="preserve">29.13</x:t>
  </x:si>
  <x:si>
    <x:t xml:space="preserve">CE-011-V01</x:t>
  </x:si>
  <x:si>
    <x:t xml:space="preserve">400,000</x:t>
  </x:si>
  <x:si>
    <x:t xml:space="preserve">2019年8月13日，为赛咨询分别向李文发、秦国君转让40万股，价款各40万元；转让后为赛咨询持股1,053,360股，李文发、秦国君各持600,000股。</x:t>
  </x:si>
  <x:si>
    <x:t xml:space="preserve">向李文发转让</x:t>
  </x:si>
  <x:si>
    <x:t xml:space="preserve">CE-011-V02</x:t>
  </x:si>
  <x:si>
    <x:t xml:space="preserve">向秦国君转让</x:t>
  </x:si>
  <x:si>
    <x:t xml:space="preserve">CE-011-E03</x:t>
  </x:si>
  <x:si>
    <x:t xml:space="preserve">1053360</x:t>
  </x:si>
  <x:si>
    <x:t xml:space="preserve">CE-012-V04</x:t>
  </x:si>
  <x:si>
    <x:t xml:space="preserve">shares</x:t>
  </x:si>
  <x:si>
    <x:t xml:space="preserve">1,130,488</x:t>
  </x:si>
  <x:si>
    <x:t xml:space="preserve">股÷10,000=万元</x:t>
  </x:si>
  <x:si>
    <x:t xml:space="preserve">火炬电子现金5,000万元认购1,130,488股；增资前注册资本4,635万元，增资后注册资本4,748.0488万元；增资后股东表列示火炬电子1,130,488股。</x:t>
  </x:si>
  <x:si>
    <x:t xml:space="preserve">原文认购新增股份</x:t>
  </x:si>
  <x:si>
    <x:t xml:space="preserve">CE-012-V01</x:t>
  </x:si>
  <x:si>
    <x:t xml:space="preserve">4,635</x:t>
  </x:si>
  <x:si>
    <x:t xml:space="preserve">增资前注册资本</x:t>
  </x:si>
  <x:si>
    <x:t xml:space="preserve">CE-012-V02</x:t>
  </x:si>
  <x:si>
    <x:t xml:space="preserve">4748.0488</x:t>
  </x:si>
  <x:si>
    <x:t xml:space="preserve">CE-012-E04</x:t>
  </x:si>
  <x:si>
    <x:t xml:space="preserve">47480488</x:t>
  </x:si>
  <x:si>
    <x:t xml:space="preserve">CE-013-V04</x:t>
  </x:si>
  <x:si>
    <x:t xml:space="preserve">item_1</x:t>
  </x:si>
  <x:si>
    <x:t xml:space="preserve">968,990</x:t>
  </x:si>
  <x:si>
    <x:t xml:space="preserve">厦门西堤、中小企业基金分别认购968,990股、387,596股；原文表格列示十笔股份转让及价款，变更后注册资本4,883.7074万元、总股本48,837,074股。</x:t>
  </x:si>
  <x:si>
    <x:t xml:space="preserve">厦门西堤</x:t>
  </x:si>
  <x:si>
    <x:t xml:space="preserve">CE-013-V06</x:t>
  </x:si>
  <x:si>
    <x:t xml:space="preserve">item_2</x:t>
  </x:si>
  <x:si>
    <x:t xml:space="preserve">387,596</x:t>
  </x:si>
  <x:si>
    <x:t xml:space="preserve">中小企业基金</x:t>
  </x:si>
  <x:si>
    <x:t xml:space="preserve">CE-013-V01</x:t>
  </x:si>
  <x:si>
    <x:t xml:space="preserve">4,748.0488</x:t>
  </x:si>
  <x:si>
    <x:t xml:space="preserve">CE-013-V02</x:t>
  </x:si>
  <x:si>
    <x:t xml:space="preserve">4883.7074</x:t>
  </x:si>
  <x:si>
    <x:t xml:space="preserve">CE-013-V29</x:t>
  </x:si>
  <x:si>
    <x:t xml:space="preserve">aggregate_disclosed</x:t>
  </x:si>
  <x:si>
    <x:t xml:space="preserve">1,659,535</x:t>
  </x:si>
  <x:si>
    <x:t xml:space="preserve">原文表格合计股数</x:t>
  </x:si>
  <x:si>
    <x:t xml:space="preserve">S6-CAL-016-final</x:t>
  </x:si>
  <x:si>
    <x:t xml:space="preserve">final_upstream_sum</x:t>
  </x:si>
  <x:si>
    <x:t xml:space="preserve">8,563.19</x:t>
  </x:si>
  <x:si>
    <x:t xml:space="preserve">CE-013-E05</x:t>
  </x:si>
  <x:si>
    <x:t xml:space="preserve">48837074</x:t>
  </x:si>
  <x:si>
    <x:t xml:space="preserve">S6-C8-TOTAL</x:t>
  </x:si>
  <x:si>
    <x:t xml:space="preserve">issuance_pre_total</x:t>
  </x:si>
  <x:si>
    <x:t xml:space="preserve">48,837,074</x:t>
  </x:si>
  <x:si>
    <x:t xml:space="preserve">发行前股本静态表用于与最终历史快照进行终点交叉核对，不用于倒推历史未披露值。</x:t>
  </x:si>
  <x:si>
    <x:t xml:space="preserve">发行前静态表</x:t>
  </x:si>
  <x:si>
    <x:t xml:space="preserve">0</x:t>
  </x:si>
  <x:si>
    <x:t xml:space="preserve">CE-008-V07</x:t>
  </x:si>
  <x:si>
    <x:t xml:space="preserve">17,792,000</x:t>
  </x:si>
  <x:si>
    <x:t xml:space="preserve">有限公司整体变更设立股份公司，发起人股本合计40,000,000股；原文表格列示各发起人股数及持股比例。</x:t>
  </x:si>
  <x:si>
    <x:t xml:space="preserve">发起人持股数</x:t>
  </x:si>
  <x:si>
    <x:t xml:space="preserve">CE-008-V28</x:t>
  </x:si>
  <x:si>
    <x:t xml:space="preserve">40,000,000</x:t>
  </x:si>
  <x:si>
    <x:t xml:space="preserve">总股本</x:t>
  </x:si>
  <x:si>
    <x:t xml:space="preserve">CE-008-V08</x:t>
  </x:si>
  <x:si>
    <x:t xml:space="preserve">44.48</x:t>
  </x:si>
  <x:si>
    <x:t xml:space="preserve">CE-008-V09</x:t>
  </x:si>
  <x:si>
    <x:t xml:space="preserve">7,413,360</x:t>
  </x:si>
  <x:si>
    <x:t xml:space="preserve">CE-008-V10</x:t>
  </x:si>
  <x:si>
    <x:t xml:space="preserve">18.53</x:t>
  </x:si>
  <x:si>
    <x:t xml:space="preserve">CE-008-V11</x:t>
  </x:si>
  <x:si>
    <x:t xml:space="preserve">5,004,000</x:t>
  </x:si>
  <x:si>
    <x:t xml:space="preserve">CE-008-V12</x:t>
  </x:si>
  <x:si>
    <x:t xml:space="preserve">12.51</x:t>
  </x:si>
  <x:si>
    <x:t xml:space="preserve">CE-008-V13</x:t>
  </x:si>
  <x:si>
    <x:t xml:space="preserve">2,835,320</x:t>
  </x:si>
  <x:si>
    <x:t xml:space="preserve">CE-008-V14</x:t>
  </x:si>
  <x:si>
    <x:t xml:space="preserve">7.09</x:t>
  </x:si>
  <x:si>
    <x:t xml:space="preserve">CE-008-V15</x:t>
  </x:si>
  <x:si>
    <x:t xml:space="preserve">2,502,000</x:t>
  </x:si>
  <x:si>
    <x:t xml:space="preserve">CE-008-V16</x:t>
  </x:si>
  <x:si>
    <x:t xml:space="preserve">6.26</x:t>
  </x:si>
  <x:si>
    <x:t xml:space="preserve">CE-008-V17</x:t>
  </x:si>
  <x:si>
    <x:t xml:space="preserve">1,853,360</x:t>
  </x:si>
  <x:si>
    <x:t xml:space="preserve">CE-008-V18</x:t>
  </x:si>
  <x:si>
    <x:t xml:space="preserve">4.63</x:t>
  </x:si>
  <x:si>
    <x:t xml:space="preserve">CE-008-V19</x:t>
  </x:si>
  <x:si>
    <x:t xml:space="preserve">933,320</x:t>
  </x:si>
  <x:si>
    <x:t xml:space="preserve">CE-008-V20</x:t>
  </x:si>
  <x:si>
    <x:t xml:space="preserve">2.33</x:t>
  </x:si>
  <x:si>
    <x:t xml:space="preserve">CE-008-V21</x:t>
  </x:si>
  <x:si>
    <x:t xml:space="preserve">CE-008-V22</x:t>
  </x:si>
  <x:si>
    <x:t xml:space="preserve">1.67</x:t>
  </x:si>
  <x:si>
    <x:t xml:space="preserve">计算输入与公式：一项输入一行</x:t>
  </x:si>
  <x:si>
    <x:t xml:space="preserve">input_id</x:t>
  </x:si>
  <x:si>
    <x:t xml:space="preserve">input_sequence</x:t>
  </x:si>
  <x:si>
    <x:t xml:space="preserve">input_role</x:t>
  </x:si>
  <x:si>
    <x:t xml:space="preserve">source_type</x:t>
  </x:si>
  <x:si>
    <x:t xml:space="preserve">sign</x:t>
  </x:si>
  <x:si>
    <x:t xml:space="preserve">signed_input_value</x:t>
  </x:si>
  <x:si>
    <x:t xml:space="preserve">IN-001-01</x:t>
  </x:si>
  <x:si>
    <x:t xml:space="preserve">PDF原文披露值</x:t>
  </x:si>
  <x:si>
    <x:t xml:space="preserve">IN-001-02</x:t>
  </x:si>
  <x:si>
    <x:t xml:space="preserve">IN-001-C</x:t>
  </x:si>
  <x:si>
    <x:t xml:space="preserve">IN-002-01</x:t>
  </x:si>
  <x:si>
    <x:t xml:space="preserve">IN-002-02</x:t>
  </x:si>
  <x:si>
    <x:t xml:space="preserve">IN-002-C</x:t>
  </x:si>
  <x:si>
    <x:t xml:space="preserve">IN-003-01</x:t>
  </x:si>
  <x:si>
    <x:t xml:space="preserve">IN-003-02</x:t>
  </x:si>
  <x:si>
    <x:t xml:space="preserve">factor2</x:t>
  </x:si>
  <x:si>
    <x:t xml:space="preserve">50%</x:t>
  </x:si>
  <x:si>
    <x:t xml:space="preserve">比例</x:t>
  </x:si>
  <x:si>
    <x:t xml:space="preserve">50%=0.5</x:t>
  </x:si>
  <x:si>
    <x:t xml:space="preserve">原持股比例</x:t>
  </x:si>
  <x:si>
    <x:t xml:space="preserve">IN-004-01</x:t>
  </x:si>
  <x:si>
    <x:t xml:space="preserve">IN-004-02</x:t>
  </x:si>
  <x:si>
    <x:t xml:space="preserve">IN-005-01</x:t>
  </x:si>
  <x:si>
    <x:t xml:space="preserve">阶段六结构化值</x:t>
  </x:si>
  <x:si>
    <x:t xml:space="preserve">S6-SNP-001</x:t>
  </x:si>
  <x:si>
    <x:t xml:space="preserve">转让前曾烨未持股</x:t>
  </x:si>
  <x:si>
    <x:t xml:space="preserve">IN-005-02</x:t>
  </x:si>
  <x:si>
    <x:t xml:space="preserve">IN-006-01</x:t>
  </x:si>
  <x:si>
    <x:t xml:space="preserve">设立时持有额</x:t>
  </x:si>
  <x:si>
    <x:t xml:space="preserve">IN-007-01</x:t>
  </x:si>
  <x:si>
    <x:t xml:space="preserve">S6-SNP-002-ZY</x:t>
  </x:si>
  <x:si>
    <x:t xml:space="preserve">转让后持有额</x:t>
  </x:si>
  <x:si>
    <x:t xml:space="preserve">IN-007-02</x:t>
  </x:si>
  <x:si>
    <x:t xml:space="preserve">IN-007-C</x:t>
  </x:si>
  <x:si>
    <x:t xml:space="preserve">S6-SNP-003-ZY</x:t>
  </x:si>
  <x:si>
    <x:t xml:space="preserve">IN-008-01</x:t>
  </x:si>
  <x:si>
    <x:t xml:space="preserve">IN-008-02</x:t>
  </x:si>
  <x:si>
    <x:t xml:space="preserve">IN-008-C</x:t>
  </x:si>
  <x:si>
    <x:t xml:space="preserve">S6-SNP-003-LYF</x:t>
  </x:si>
  <x:si>
    <x:t xml:space="preserve">IN-009-01</x:t>
  </x:si>
  <x:si>
    <x:t xml:space="preserve">转让前持有额</x:t>
  </x:si>
  <x:si>
    <x:t xml:space="preserve">IN-009-02</x:t>
  </x:si>
  <x:si>
    <x:t xml:space="preserve">IN-009-C</x:t>
  </x:si>
  <x:si>
    <x:t xml:space="preserve">S6-SNP-004-ZY</x:t>
  </x:si>
  <x:si>
    <x:t xml:space="preserve">65.75</x:t>
  </x:si>
  <x:si>
    <x:t xml:space="preserve">IN-010-01</x:t>
  </x:si>
  <x:si>
    <x:t xml:space="preserve">IN-010-02</x:t>
  </x:si>
  <x:si>
    <x:t xml:space="preserve">向曾烨转出</x:t>
  </x:si>
  <x:si>
    <x:t xml:space="preserve">IN-010-03</x:t>
  </x:si>
  <x:si>
    <x:t xml:space="preserve">IN-010-C</x:t>
  </x:si>
  <x:si>
    <x:t xml:space="preserve">S6-SNP-004-LYF</x:t>
  </x:si>
  <x:si>
    <x:t xml:space="preserve">27.40</x:t>
  </x:si>
  <x:si>
    <x:t xml:space="preserve">IN-011-01</x:t>
  </x:si>
  <x:si>
    <x:t xml:space="preserve">S6-SNP-003-WS</x:t>
  </x:si>
  <x:si>
    <x:t xml:space="preserve">此前未列示</x:t>
  </x:si>
  <x:si>
    <x:t xml:space="preserve">IN-011-02</x:t>
  </x:si>
  <x:si>
    <x:t xml:space="preserve">IN-011-C</x:t>
  </x:si>
  <x:si>
    <x:t xml:space="preserve">S6-SNP-004-WS</x:t>
  </x:si>
  <x:si>
    <x:t xml:space="preserve">6.85</x:t>
  </x:si>
  <x:si>
    <x:t xml:space="preserve">IN-012-01</x:t>
  </x:si>
  <x:si>
    <x:t xml:space="preserve">IN-012-02</x:t>
  </x:si>
  <x:si>
    <x:t xml:space="preserve">IN-012-C</x:t>
  </x:si>
  <x:si>
    <x:t xml:space="preserve">IN-013-01</x:t>
  </x:si>
  <x:si>
    <x:t xml:space="preserve">IN-013-02</x:t>
  </x:si>
  <x:si>
    <x:t xml:space="preserve">上期原文注册资本</x:t>
  </x:si>
  <x:si>
    <x:t xml:space="preserve">IN-014-01</x:t>
  </x:si>
  <x:si>
    <x:t xml:space="preserve">IN-014-02</x:t>
  </x:si>
  <x:si>
    <x:t xml:space="preserve">全部转出</x:t>
  </x:si>
  <x:si>
    <x:t xml:space="preserve">IN-014-C</x:t>
  </x:si>
  <x:si>
    <x:t xml:space="preserve">S6-SNP-010-FL</x:t>
  </x:si>
  <x:si>
    <x:t xml:space="preserve">IN-015-01</x:t>
  </x:si>
  <x:si>
    <x:t xml:space="preserve">S6-SNP-009-TJ</x:t>
  </x:si>
  <x:si>
    <x:t xml:space="preserve">IN-015-02</x:t>
  </x:si>
  <x:si>
    <x:t xml:space="preserve">受让全部股份</x:t>
  </x:si>
  <x:si>
    <x:t xml:space="preserve">IN-015-C</x:t>
  </x:si>
  <x:si>
    <x:t xml:space="preserve">IN-016-01</x:t>
  </x:si>
  <x:si>
    <x:t xml:space="preserve">IN-016-02</x:t>
  </x:si>
  <x:si>
    <x:t xml:space="preserve">转让股数</x:t>
  </x:si>
  <x:si>
    <x:t xml:space="preserve">IN-017-01</x:t>
  </x:si>
  <x:si>
    <x:t xml:space="preserve">IN-017-02</x:t>
  </x:si>
  <x:si>
    <x:t xml:space="preserve">UNIT-CONV-WAN-TO-SHARE</x:t>
  </x:si>
  <x:si>
    <x:t xml:space="preserve">10000</x:t>
  </x:si>
  <x:si>
    <x:t xml:space="preserve">换算系数</x:t>
  </x:si>
  <x:si>
    <x:t xml:space="preserve">1万元注册资本=10,000股</x:t>
  </x:si>
  <x:si>
    <x:t xml:space="preserve">单位换算</x:t>
  </x:si>
  <x:si>
    <x:t xml:space="preserve">IN-017-C</x:t>
  </x:si>
  <x:si>
    <x:t xml:space="preserve">S6-SNP-011-国科瑞华</x:t>
  </x:si>
  <x:si>
    <x:t xml:space="preserve">2544787</x:t>
  </x:si>
  <x:si>
    <x:t xml:space="preserve">IN-018-01</x:t>
  </x:si>
  <x:si>
    <x:t xml:space="preserve">IN-018-02</x:t>
  </x:si>
  <x:si>
    <x:t xml:space="preserve">IN-018-C</x:t>
  </x:si>
  <x:si>
    <x:t xml:space="preserve">S6-SNP-011-CASREV FUND</x:t>
  </x:si>
  <x:si>
    <x:t xml:space="preserve">618000</x:t>
  </x:si>
  <x:si>
    <x:t xml:space="preserve">IN-019-01</x:t>
  </x:si>
  <x:si>
    <x:t xml:space="preserve">IN-019-02</x:t>
  </x:si>
  <x:si>
    <x:t xml:space="preserve">IN-019-C</x:t>
  </x:si>
  <x:si>
    <x:t xml:space="preserve">S6-SNP-011-中科贵银</x:t>
  </x:si>
  <x:si>
    <x:t xml:space="preserve">543840</x:t>
  </x:si>
  <x:si>
    <x:t xml:space="preserve">IN-020-01</x:t>
  </x:si>
  <x:si>
    <x:t xml:space="preserve">IN-020-02</x:t>
  </x:si>
  <x:si>
    <x:t xml:space="preserve">IN-020-C</x:t>
  </x:si>
  <x:si>
    <x:t xml:space="preserve">S6-SNP-011-夏东</x:t>
  </x:si>
  <x:si>
    <x:t xml:space="preserve">70040</x:t>
  </x:si>
  <x:si>
    <x:t xml:space="preserve">IN-021-01</x:t>
  </x:si>
  <x:si>
    <x:t xml:space="preserve">IN-021-02</x:t>
  </x:si>
  <x:si>
    <x:t xml:space="preserve">IN-021-C</x:t>
  </x:si>
  <x:si>
    <x:t xml:space="preserve">S6-SNP-011-南山富海</x:t>
  </x:si>
  <x:si>
    <x:t xml:space="preserve">1030000</x:t>
  </x:si>
  <x:si>
    <x:t xml:space="preserve">IN-022-01</x:t>
  </x:si>
  <x:si>
    <x:t xml:space="preserve">IN-022-02</x:t>
  </x:si>
  <x:si>
    <x:t xml:space="preserve">IN-022-C</x:t>
  </x:si>
  <x:si>
    <x:t xml:space="preserve">S6-SNP-011-珠海拓域</x:t>
  </x:si>
  <x:si>
    <x:t xml:space="preserve">343333</x:t>
  </x:si>
  <x:si>
    <x:t xml:space="preserve">IN-023-01</x:t>
  </x:si>
  <x:si>
    <x:t xml:space="preserve">引用阶段七原子计算</x:t>
  </x:si>
  <x:si>
    <x:t xml:space="preserve">新增股份</x:t>
  </x:si>
  <x:si>
    <x:t xml:space="preserve">IN-023-02</x:t>
  </x:si>
  <x:si>
    <x:t xml:space="preserve">IN-023-03</x:t>
  </x:si>
  <x:si>
    <x:t xml:space="preserve">item_3</x:t>
  </x:si>
  <x:si>
    <x:t xml:space="preserve">IN-023-04</x:t>
  </x:si>
  <x:si>
    <x:t xml:space="preserve">item_4</x:t>
  </x:si>
  <x:si>
    <x:t xml:space="preserve">IN-023-05</x:t>
  </x:si>
  <x:si>
    <x:t xml:space="preserve">item_5</x:t>
  </x:si>
  <x:si>
    <x:t xml:space="preserve">IN-023-06</x:t>
  </x:si>
  <x:si>
    <x:t xml:space="preserve">item_6</x:t>
  </x:si>
  <x:si>
    <x:t xml:space="preserve">IN-024-01</x:t>
  </x:si>
  <x:si>
    <x:t xml:space="preserve">IN-024-02</x:t>
  </x:si>
  <x:si>
    <x:t xml:space="preserve">IN-024-C</x:t>
  </x:si>
  <x:si>
    <x:t xml:space="preserve">S6-SNP-011-李文发</x:t>
  </x:si>
  <x:si>
    <x:t xml:space="preserve">200000</x:t>
  </x:si>
  <x:si>
    <x:t xml:space="preserve">IN-025-01</x:t>
  </x:si>
  <x:si>
    <x:t xml:space="preserve">IN-025-02</x:t>
  </x:si>
  <x:si>
    <x:t xml:space="preserve">IN-025-C</x:t>
  </x:si>
  <x:si>
    <x:t xml:space="preserve">S6-SNP-011-秦国君</x:t>
  </x:si>
  <x:si>
    <x:t xml:space="preserve">IN-026-01</x:t>
  </x:si>
  <x:si>
    <x:t xml:space="preserve">IN-026-02</x:t>
  </x:si>
  <x:si>
    <x:t xml:space="preserve">IN-026-C</x:t>
  </x:si>
  <x:si>
    <x:t xml:space="preserve">S6-SNP-011-李剑峰</x:t>
  </x:si>
  <x:si>
    <x:t xml:space="preserve">IN-027-01</x:t>
  </x:si>
  <x:si>
    <x:t xml:space="preserve">IN-027-02</x:t>
  </x:si>
  <x:si>
    <x:t xml:space="preserve">IN-027-C</x:t>
  </x:si>
  <x:si>
    <x:t xml:space="preserve">S6-SNP-011-周雪峰</x:t>
  </x:si>
  <x:si>
    <x:t xml:space="preserve">600000</x:t>
  </x:si>
  <x:si>
    <x:t xml:space="preserve">IN-028-01</x:t>
  </x:si>
  <x:si>
    <x:t xml:space="preserve">IN-028-02</x:t>
  </x:si>
  <x:si>
    <x:t xml:space="preserve">IN-028-03</x:t>
  </x:si>
  <x:si>
    <x:t xml:space="preserve">IN-028-04</x:t>
  </x:si>
  <x:si>
    <x:t xml:space="preserve">IN-029-01</x:t>
  </x:si>
  <x:si>
    <x:t xml:space="preserve">IN-029-02</x:t>
  </x:si>
  <x:si>
    <x:t xml:space="preserve">IN-029-03</x:t>
  </x:si>
  <x:si>
    <x:t xml:space="preserve">IN-029-04</x:t>
  </x:si>
  <x:si>
    <x:t xml:space="preserve">IN-029-C</x:t>
  </x:si>
  <x:si>
    <x:t xml:space="preserve">IN-030-01</x:t>
  </x:si>
  <x:si>
    <x:t xml:space="preserve">IN-030-02</x:t>
  </x:si>
  <x:si>
    <x:t xml:space="preserve">IN-030-03</x:t>
  </x:si>
  <x:si>
    <x:t xml:space="preserve">IN-030-04</x:t>
  </x:si>
  <x:si>
    <x:t xml:space="preserve">IN-030-C</x:t>
  </x:si>
  <x:si>
    <x:t xml:space="preserve">3375.0054</x:t>
  </x:si>
  <x:si>
    <x:t xml:space="preserve">IN-031-01</x:t>
  </x:si>
  <x:si>
    <x:t xml:space="preserve">IN-031-02</x:t>
  </x:si>
  <x:si>
    <x:t xml:space="preserve">IN-031-C</x:t>
  </x:si>
  <x:si>
    <x:t xml:space="preserve">IN-032-01</x:t>
  </x:si>
  <x:si>
    <x:t xml:space="preserve">IN-032-02</x:t>
  </x:si>
  <x:si>
    <x:t xml:space="preserve">IN-032-C</x:t>
  </x:si>
  <x:si>
    <x:t xml:space="preserve">IN-033-01</x:t>
  </x:si>
  <x:si>
    <x:t xml:space="preserve">IN-033-02</x:t>
  </x:si>
  <x:si>
    <x:t xml:space="preserve">IN-033-C</x:t>
  </x:si>
  <x:si>
    <x:t xml:space="preserve">IN-034-01</x:t>
  </x:si>
  <x:si>
    <x:t xml:space="preserve">IN-034-02</x:t>
  </x:si>
  <x:si>
    <x:t xml:space="preserve">IN-034-C</x:t>
  </x:si>
  <x:si>
    <x:t xml:space="preserve">IN-035-01</x:t>
  </x:si>
  <x:si>
    <x:t xml:space="preserve">S6-SNP-011-WS</x:t>
  </x:si>
  <x:si>
    <x:t xml:space="preserve">IN-035-02</x:t>
  </x:si>
  <x:si>
    <x:t xml:space="preserve">IN-035-03</x:t>
  </x:si>
  <x:si>
    <x:t xml:space="preserve">IN-035-C</x:t>
  </x:si>
  <x:si>
    <x:t xml:space="preserve">IN-036-01</x:t>
  </x:si>
  <x:si>
    <x:t xml:space="preserve">S6-SNP-011-LWF</x:t>
  </x:si>
  <x:si>
    <x:t xml:space="preserve">200,000</x:t>
  </x:si>
  <x:si>
    <x:t xml:space="preserve">IN-036-02</x:t>
  </x:si>
  <x:si>
    <x:t xml:space="preserve">受让股份</x:t>
  </x:si>
  <x:si>
    <x:t xml:space="preserve">IN-036-C</x:t>
  </x:si>
  <x:si>
    <x:t xml:space="preserve">IN-037-01</x:t>
  </x:si>
  <x:si>
    <x:t xml:space="preserve">S6-SNP-011-QGJ</x:t>
  </x:si>
  <x:si>
    <x:t xml:space="preserve">IN-037-02</x:t>
  </x:si>
  <x:si>
    <x:t xml:space="preserve">IN-037-C</x:t>
  </x:si>
  <x:si>
    <x:t xml:space="preserve">IN-038-01</x:t>
  </x:si>
  <x:si>
    <x:t xml:space="preserve">IN-039-01</x:t>
  </x:si>
  <x:si>
    <x:t xml:space="preserve">IN-039-02</x:t>
  </x:si>
  <x:si>
    <x:t xml:space="preserve">113.0488</x:t>
  </x:si>
  <x:si>
    <x:t xml:space="preserve">新增注册资本</x:t>
  </x:si>
  <x:si>
    <x:t xml:space="preserve">IN-039-C</x:t>
  </x:si>
  <x:si>
    <x:t xml:space="preserve">IN-040-01</x:t>
  </x:si>
  <x:si>
    <x:t xml:space="preserve">prior_snapshot_total</x:t>
  </x:si>
  <x:si>
    <x:t xml:space="preserve">S6-SNP-012-TOTAL</x:t>
  </x:si>
  <x:si>
    <x:t xml:space="preserve">46,350,000</x:t>
  </x:si>
  <x:si>
    <x:t xml:space="preserve">上期快照总股本</x:t>
  </x:si>
  <x:si>
    <x:t xml:space="preserve">IN-040-02</x:t>
  </x:si>
  <x:si>
    <x:t xml:space="preserve">IN-040-C</x:t>
  </x:si>
  <x:si>
    <x:t xml:space="preserve">IN-041-01</x:t>
  </x:si>
  <x:si>
    <x:t xml:space="preserve">IN-041-02</x:t>
  </x:si>
  <x:si>
    <x:t xml:space="preserve">IN-042-01</x:t>
  </x:si>
  <x:si>
    <x:t xml:space="preserve">1,356,586</x:t>
  </x:si>
  <x:si>
    <x:t xml:space="preserve">IN-043-01</x:t>
  </x:si>
  <x:si>
    <x:t xml:space="preserve">IN-043-02</x:t>
  </x:si>
  <x:si>
    <x:t xml:space="preserve">135.6586</x:t>
  </x:si>
  <x:si>
    <x:t xml:space="preserve">IN-043-C</x:t>
  </x:si>
  <x:si>
    <x:t xml:space="preserve">IN-044-C</x:t>
  </x:si>
  <x:si>
    <x:t xml:space="preserve">1659535</x:t>
  </x:si>
  <x:si>
    <x:t xml:space="preserve">IN-045-C</x:t>
  </x:si>
  <x:si>
    <x:t xml:space="preserve">IN-046-01</x:t>
  </x:si>
  <x:si>
    <x:t xml:space="preserve">S6-SNP-013-TOTAL</x:t>
  </x:si>
  <x:si>
    <x:t xml:space="preserve">47,480,488</x:t>
  </x:si>
  <x:si>
    <x:t xml:space="preserve">增资前快照总股本</x:t>
  </x:si>
  <x:si>
    <x:t xml:space="preserve">IN-046-02</x:t>
  </x:si>
  <x:si>
    <x:t xml:space="preserve">IN-046-C</x:t>
  </x:si>
  <x:si>
    <x:t xml:space="preserve">IN-047-01</x:t>
  </x:si>
  <x:si>
    <x:t xml:space="preserve">historical_snapshot_total</x:t>
  </x:si>
  <x:si>
    <x:t xml:space="preserve">S6-SNP-014-TOTAL</x:t>
  </x:si>
  <x:si>
    <x:t xml:space="preserve">最终历史快照</x:t>
  </x:si>
  <x:si>
    <x:t xml:space="preserve">IN-047-02</x:t>
  </x:si>
  <x:si>
    <x:t xml:space="preserve">IN-047-C</x:t>
  </x:si>
  <x:si>
    <x:t xml:space="preserve">IN-048-01</x:t>
  </x:si>
  <x:si>
    <x:t xml:space="preserve">IN-048-02</x:t>
  </x:si>
  <x:si>
    <x:t xml:space="preserve">IN-048-C</x:t>
  </x:si>
  <x:si>
    <x:t xml:space="preserve">IN-049-01</x:t>
  </x:si>
  <x:si>
    <x:t xml:space="preserve">IN-049-02</x:t>
  </x:si>
  <x:si>
    <x:t xml:space="preserve">IN-049-C</x:t>
  </x:si>
  <x:si>
    <x:t xml:space="preserve">IN-050-01</x:t>
  </x:si>
  <x:si>
    <x:t xml:space="preserve">IN-050-02</x:t>
  </x:si>
  <x:si>
    <x:t xml:space="preserve">IN-050-C</x:t>
  </x:si>
  <x:si>
    <x:t xml:space="preserve">IN-051-01</x:t>
  </x:si>
  <x:si>
    <x:t xml:space="preserve">IN-051-02</x:t>
  </x:si>
  <x:si>
    <x:t xml:space="preserve">IN-051-C</x:t>
  </x:si>
  <x:si>
    <x:t xml:space="preserve">IN-052-01</x:t>
  </x:si>
  <x:si>
    <x:t xml:space="preserve">IN-052-02</x:t>
  </x:si>
  <x:si>
    <x:t xml:space="preserve">IN-052-C</x:t>
  </x:si>
  <x:si>
    <x:t xml:space="preserve">IN-053-01</x:t>
  </x:si>
  <x:si>
    <x:t xml:space="preserve">IN-053-02</x:t>
  </x:si>
  <x:si>
    <x:t xml:space="preserve">IN-053-C</x:t>
  </x:si>
  <x:si>
    <x:t xml:space="preserve">IN-054-01</x:t>
  </x:si>
  <x:si>
    <x:t xml:space="preserve">IN-054-02</x:t>
  </x:si>
  <x:si>
    <x:t xml:space="preserve">IN-054-C</x:t>
  </x:si>
  <x:si>
    <x:t xml:space="preserve">IN-055-01</x:t>
  </x:si>
  <x:si>
    <x:t xml:space="preserve">IN-055-02</x:t>
  </x:si>
  <x:si>
    <x:t xml:space="preserve">IN-055-C</x:t>
  </x:si>
  <x:si>
    <x:t xml:space="preserve">校验结果明细：公式、计算值、原文比较值和差异值</x:t>
  </x:si>
  <x:si>
    <x:t xml:space="preserve">formula_expression</x:t>
  </x:si>
  <x:si>
    <x:t xml:space="preserve">calculated_value_excel</x:t>
  </x:si>
  <x:si>
    <x:t xml:space="preserve">decimal_exact_result</x:t>
  </x:si>
  <x:si>
    <x:t xml:space="preserve">comparison_value_excel</x:t>
  </x:si>
  <x:si>
    <x:t xml:space="preserve">comparison_source</x:t>
  </x:si>
  <x:si>
    <x:t xml:space="preserve">signed_difference_excel</x:t>
  </x:si>
  <x:si>
    <x:t xml:space="preserve">absolute_difference_excel</x:t>
  </x:si>
  <x:si>
    <x:t xml:space="preserve">relative_difference_excel</x:t>
  </x:si>
  <x:si>
    <x:t xml:space="preserve">rounding_interval_lower</x:t>
  </x:si>
  <x:si>
    <x:t xml:space="preserve">rounding_interval_upper</x:t>
  </x:si>
  <x:si>
    <x:t xml:space="preserve">rounding_explainable</x:t>
  </x:si>
  <x:si>
    <x:t xml:space="preserve">difference_classification</x:t>
  </x:si>
  <x:si>
    <x:t xml:space="preserve">auto_conclusion</x:t>
  </x:si>
  <x:si>
    <x:t xml:space="preserve">final_conclusion</x:t>
  </x:si>
  <x:si>
    <x:t xml:space="preserve">reviewer_note</x:t>
  </x:si>
  <x:si>
    <x:t xml:space="preserve">分子÷分母×100%</x:t>
  </x:si>
  <x:si>
    <x:t xml:space="preserve">50.0</x:t>
  </x:si>
  <x:si>
    <x:t xml:space="preserve">exact_match</x:t>
  </x:si>
  <x:si>
    <x:t xml:space="preserve">自动通过</x:t>
  </x:si>
  <x:si>
    <x:t xml:space="preserve">factor1×factor2</x:t>
  </x:si>
  <x:si>
    <x:t xml:space="preserve">不适用</x:t>
  </x:si>
  <x:si>
    <x:t xml:space="preserve">calculation_only</x:t>
  </x:si>
  <x:si>
    <x:t xml:space="preserve">Σ(标准化输入值×符号)</x:t>
  </x:si>
  <x:si>
    <x:t xml:space="preserve">25.0</x:t>
  </x:si>
  <x:si>
    <x:t xml:space="preserve">136.99214</x:t>
  </x:si>
  <x:si>
    <x:t xml:space="preserve">difference_detected</x:t>
  </x:si>
  <x:si>
    <x:t xml:space="preserve">待用户复核</x:t>
  </x:si>
  <x:si>
    <x:t xml:space="preserve">1863.0136</x:t>
  </x:si>
  <x:si>
    <x:t xml:space="preserve">0.0</x:t>
  </x:si>
  <x:si>
    <x:t xml:space="preserve">666680.0</x:t>
  </x:si>
  <x:si>
    <x:t xml:space="preserve">价款（万元）×10,000÷股份数</x:t>
  </x:si>
  <x:si>
    <x:t xml:space="preserve">14.99970000599988000239995200095998080038</x:t>
  </x:si>
  <x:si>
    <x:t xml:space="preserve">2544787.00000</x:t>
  </x:si>
  <x:si>
    <x:t xml:space="preserve">618000.00</x:t>
  </x:si>
  <x:si>
    <x:t xml:space="preserve">543840.0000</x:t>
  </x:si>
  <x:si>
    <x:t xml:space="preserve">70040.0000</x:t>
  </x:si>
  <x:si>
    <x:t xml:space="preserve">1030000.00</x:t>
  </x:si>
  <x:si>
    <x:t xml:space="preserve">343333.00000</x:t>
  </x:si>
  <x:si>
    <x:t xml:space="preserve">5150000.0</x:t>
  </x:si>
  <x:si>
    <x:t xml:space="preserve">200000.00</x:t>
  </x:si>
  <x:si>
    <x:t xml:space="preserve">600000.00</x:t>
  </x:si>
  <x:si>
    <x:t xml:space="preserve">1200000.0</x:t>
  </x:si>
  <x:si>
    <x:t xml:space="preserve">1158750.0</x:t>
  </x:si>
  <x:si>
    <x:t xml:space="preserve">29.12621359223300970873786407766990291262</x:t>
  </x:si>
  <x:si>
    <x:t xml:space="preserve">rounding_or_approx_consistent</x:t>
  </x:si>
  <x:si>
    <x:t xml:space="preserve">29.12618030513176144244105409153952843273</x:t>
  </x:si>
  <x:si>
    <x:t xml:space="preserve">29.12674624273171145026848978467860660686</x:t>
  </x:si>
  <x:si>
    <x:t xml:space="preserve">29.12623989725888214845983152840959892490</x:t>
  </x:si>
  <x:si>
    <x:t xml:space="preserve">1053360.0</x:t>
  </x:si>
  <x:si>
    <x:t xml:space="preserve">600000.0</x:t>
  </x:si>
  <x:si>
    <x:t xml:space="preserve">股份数÷10,000</x:t>
  </x:si>
  <x:si>
    <x:t xml:space="preserve">47480488.0</x:t>
  </x:si>
  <x:si>
    <x:t xml:space="preserve">1356586.0</x:t>
  </x:si>
  <x:si>
    <x:t xml:space="preserve">1659535.0</x:t>
  </x:si>
  <x:si>
    <x:t xml:space="preserve">8563.19</x:t>
  </x:si>
  <x:si>
    <x:t xml:space="preserve">48837074.0</x:t>
  </x:si>
  <x:si>
    <x:t xml:space="preserve">44.4800</x:t>
  </x:si>
  <x:si>
    <x:t xml:space="preserve">18.533400</x:t>
  </x:si>
  <x:si>
    <x:t xml:space="preserve">rounding_consistent</x:t>
  </x:si>
  <x:si>
    <x:t xml:space="preserve">12.5100</x:t>
  </x:si>
  <x:si>
    <x:t xml:space="preserve">7.088300</x:t>
  </x:si>
  <x:si>
    <x:t xml:space="preserve">6.25500</x:t>
  </x:si>
  <x:si>
    <x:t xml:space="preserve">4.633400</x:t>
  </x:si>
  <x:si>
    <x:t xml:space="preserve">2.333300</x:t>
  </x:si>
  <x:si>
    <x:t xml:space="preserve">1.666700</x:t>
  </x:si>
  <x:si>
    <x:t xml:space="preserve">CE-005重点复核：注册资本差异0.00574万元</x:t>
  </x:si>
  <x:si>
    <x:t xml:space="preserve">数值</x:t>
  </x:si>
  <x:si>
    <x:t xml:space="preserve">单位</x:t>
  </x:si>
  <x:si>
    <x:t xml:space="preserve">来源ID</x:t>
  </x:si>
  <x:si>
    <x:t xml:space="preserve">PDF页码</x:t>
  </x:si>
  <x:si>
    <x:t xml:space="preserve">正文页码</x:t>
  </x:si>
  <x:si>
    <x:t xml:space="preserve">说明</x:t>
  </x:si>
  <x:si>
    <x:t xml:space="preserve">前次注册资本</x:t>
  </x:si>
  <x:si>
    <x:t xml:space="preserve">2014年8月增资后注册资本</x:t>
  </x:si>
  <x:si>
    <x:t xml:space="preserve">本次共同增资额</x:t>
  </x:si>
  <x:si>
    <x:t xml:space="preserve">力源信息、东方富海、芜湖富海共同增资</x:t>
  </x:si>
  <x:si>
    <x:t xml:space="preserve">原文增资后注册资本</x:t>
  </x:si>
  <x:si>
    <x:t xml:space="preserve">原文直接披露值</x:t>
  </x:si>
  <x:si>
    <x:t xml:space="preserve">计算增资后注册资本</x:t>
  </x:si>
  <x:si>
    <x:t xml:space="preserve">计算值</x:t>
  </x:si>
  <x:si>
    <x:t xml:space="preserve">=前次注册资本+本次增资额</x:t>
  </x:si>
  <x:si>
    <x:t xml:space="preserve">有符号差异</x:t>
  </x:si>
  <x:si>
    <x:t xml:space="preserve">=计算值-原文比较值</x:t>
  </x:si>
  <x:si>
    <x:t xml:space="preserve">绝对差异</x:t>
  </x:si>
  <x:si>
    <x:t xml:space="preserve">=ABS(有符号差异)</x:t>
  </x:si>
  <x:si>
    <x:t xml:space="preserve">原文四位小数舍入下限</x:t>
  </x:si>
  <x:si>
    <x:t xml:space="preserve">普通四舍五入区间下限</x:t>
  </x:si>
  <x:si>
    <x:t xml:space="preserve">原文四位小数舍入上限</x:t>
  </x:si>
  <x:si>
    <x:t xml:space="preserve">普通四舍五入区间上限（不含）</x:t>
  </x:si>
  <x:si>
    <x:t xml:space="preserve">是否可由四位小数舍入解释</x:t>
  </x:si>
  <x:si>
    <x:t xml:space="preserve">人工判断辅助</x:t>
  </x:si>
  <x:si>
    <x:t xml:space="preserve">普通四舍五入规则下判断</x:t>
  </x:si>
  <x:si>
    <x:t xml:space="preserve">原文证据</x:t>
  </x:si>
  <x:si>
    <x:t xml:space="preserve">人工复核问题</x:t>
  </x:si>
  <x:si>
    <x:t xml:space="preserve">用户决定</x:t>
  </x:si>
  <x:si>
    <x:t xml:space="preserve">三个原文输入是否均与PDF第56页／正文第55页一致？</x:t>
  </x:si>
  <x:si>
    <x:t xml:space="preserve">计算公式是否应为128.205+8.78714？</x:t>
  </x:si>
  <x:si>
    <x:t xml:space="preserve">复核说明</x:t>
  </x:si>
  <x:si>
    <x:t xml:space="preserve">待人工复核事项</x:t>
  </x:si>
  <x:si>
    <x:t xml:space="preserve">review_item_id</x:t>
  </x:si>
  <x:si>
    <x:t xml:space="preserve">review_type</x:t>
  </x:si>
  <x:si>
    <x:t xml:space="preserve">observed_fact</x:t>
  </x:si>
  <x:si>
    <x:t xml:space="preserve">calculated_or_judgment_value</x:t>
  </x:si>
  <x:si>
    <x:t xml:space="preserve">difference_or_uncertainty</x:t>
  </x:si>
  <x:si>
    <x:t xml:space="preserve">recommended_action</x:t>
  </x:si>
  <x:si>
    <x:t xml:space="preserve">user_decision</x:t>
  </x:si>
  <x:si>
    <x:t xml:space="preserve">user_review_note</x:t>
  </x:si>
  <x:si>
    <x:t xml:space="preserve">REV-001</x:t>
  </x:si>
  <x:si>
    <x:t xml:space="preserve">原文算术差异</x:t>
  </x:si>
  <x:si>
    <x:t xml:space="preserve">原文披露前次注册资本128.205万元、本次增资8.78714万元、增资后注册资本136.9864万元。</x:t>
  </x:si>
  <x:si>
    <x:t xml:space="preserve">精确复算为136.99214万元。</x:t>
  </x:si>
  <x:si>
    <x:t xml:space="preserve">计算值-原文值=0.00574万元；超出四位小数普通舍入区间。</x:t>
  </x:si>
  <x:si>
    <x:t xml:space="preserve">CE-004-V02｜CE-005-V01｜CE-005-V02</x:t>
  </x:si>
  <x:si>
    <x:t xml:space="preserve">逐项核对PDF原文；若无其他口径证据，确认“原文披露值之间存在算术差异并保留”。</x:t>
  </x:si>
  <x:si>
    <x:t xml:space="preserve">REV-002</x:t>
  </x:si>
  <x:si>
    <x:t xml:space="preserve">依赖差异值</x:t>
  </x:si>
  <x:si>
    <x:t xml:space="preserve">CE-006转增总额以CE-005原文期末注册资本136.9864万元作为期初值。</x:t>
  </x:si>
  <x:si>
    <x:t xml:space="preserve">2,000-136.9864=1,863.0136万元。</x:t>
  </x:si>
  <x:si>
    <x:t xml:space="preserve">若使用CE-005算术计算值136.99214万元，结果会不同；但不得替换原文期初值。</x:t>
  </x:si>
  <x:si>
    <x:t xml:space="preserve">CE-005-V02｜CE-006-V01</x:t>
  </x:si>
  <x:si>
    <x:t xml:space="preserve">确认本项坚持使用原文披露期初值，并在备注中保留CE-005依赖关系。</x:t>
  </x:si>
  <x:si>
    <x:t xml:space="preserve">REV-003</x:t>
  </x:si>
  <x:si>
    <x:t xml:space="preserve">VAL-031—VAL-034</x:t>
  </x:si>
  <x:si>
    <x:t xml:space="preserve">原文约数</x:t>
  </x:si>
  <x:si>
    <x:t xml:space="preserve">CE-010原文披露股份转让价格约29.13元/股。</x:t>
  </x:si>
  <x:si>
    <x:t xml:space="preserve">四笔复算单位价格约为29.1262—29.1267元/股。</x:t>
  </x:si>
  <x:si>
    <x:t xml:space="preserve">计算值与两位小数约数不完全相等，但均可支持约29.13元/股。</x:t>
  </x:si>
  <x:si>
    <x:t xml:space="preserve">CE-010-V21—CE-010-V28</x:t>
  </x:si>
  <x:si>
    <x:t xml:space="preserve">确认按“约数一致”处理，不把29.13作为精确比较值。</x:t>
  </x:si>
  <x:si>
    <x:t xml:space="preserve">REV-004</x:t>
  </x:si>
  <x:si>
    <x:t xml:space="preserve">逐笔证据完整性</x:t>
  </x:si>
  <x:si>
    <x:t xml:space="preserve">CE-013原文表格直接披露十笔转让及合计股数1,659,535股。</x:t>
  </x:si>
  <x:si>
    <x:t xml:space="preserve">待在PDF第64页逐笔复算。</x:t>
  </x:si>
  <x:si>
    <x:t xml:space="preserve">本待复核版暂以原文合计值登记，尚未把十行全部展开到输入台账。</x:t>
  </x:si>
  <x:si>
    <x:t xml:space="preserve">64</x:t>
  </x:si>
  <x:si>
    <x:t xml:space="preserve">63</x:t>
  </x:si>
  <x:si>
    <x:t xml:space="preserve">CE-013-E03｜CE-013-V29</x:t>
  </x:si>
  <x:si>
    <x:t xml:space="preserve">最终验收前展开十行股数并复算合计。</x:t>
  </x:si>
  <x:si>
    <x:t xml:space="preserve">REV-005</x:t>
  </x:si>
  <x:si>
    <x:t xml:space="preserve">上游计算修订</x:t>
  </x:si>
  <x:si>
    <x:t xml:space="preserve">阶段六早期底稿曾将十笔转让价款合计误录为8,563.79万元。</x:t>
  </x:si>
  <x:si>
    <x:t xml:space="preserve">阶段六最终版修正为8,563.19万元。</x:t>
  </x:si>
  <x:si>
    <x:t xml:space="preserve">属于上游计算录入修订，不是招股说明书原文冲突。</x:t>
  </x:si>
  <x:si>
    <x:t xml:space="preserve">CE-013-V08｜V10｜V12｜V14｜V16｜V18｜V20｜V22｜V24｜V26</x:t>
  </x:si>
  <x:si>
    <x:t xml:space="preserve">确认阶段七只采用最终上游值8,563.19万元，并在最终版逐笔复算。</x:t>
  </x:si>
  <x:si>
    <x:t xml:space="preserve">REV-006</x:t>
  </x:si>
  <x:si>
    <x:t xml:space="preserve">快照完整性</x:t>
  </x:si>
  <x:si>
    <x:t xml:space="preserve">CE-013增资后及十笔转让后总股本为48,837,074股。</x:t>
  </x:si>
  <x:si>
    <x:t xml:space="preserve">47,480,488+1,356,586=48,837,074股。</x:t>
  </x:si>
  <x:si>
    <x:t xml:space="preserve">总额勾稽一致；逐股东滚动仍应与原文变更后表共同验收。</x:t>
  </x:si>
  <x:si>
    <x:t xml:space="preserve">确认总额通过；逐股东复核沿用阶段六完整快照。</x:t>
  </x:si>
  <x:si>
    <x:t xml:space="preserve">check_id</x:t>
  </x:si>
  <x:si>
    <x:t xml:space="preserve">check_item</x:t>
  </x:si>
  <x:si>
    <x:t xml:space="preserve">check_formula_or_method</x:t>
  </x:si>
  <x:si>
    <x:t xml:space="preserve">result</x:t>
  </x:si>
  <x:si>
    <x:t xml:space="preserve">status</x:t>
  </x:si>
  <x:si>
    <x:t xml:space="preserve">CHK-001</x:t>
  </x:si>
  <x:si>
    <x:t xml:space="preserve">校验事项ID唯一</x:t>
  </x:si>
  <x:si>
    <x:t xml:space="preserve">COUNTUNIQUE(validation_id)=记录数</x:t>
  </x:si>
  <x:si>
    <x:t xml:space="preserve">通过</x:t>
  </x:si>
  <x:si>
    <x:t xml:space="preserve">本版原子校验事项数。</x:t>
  </x:si>
  <x:si>
    <x:t xml:space="preserve">CHK-002</x:t>
  </x:si>
  <x:si>
    <x:t xml:space="preserve">每项至少一个输入</x:t>
  </x:si>
  <x:si>
    <x:t xml:space="preserve">按validation_id统计输入记录</x:t>
  </x:si>
  <x:si>
    <x:t xml:space="preserve">CHK-003</x:t>
  </x:si>
  <x:si>
    <x:t xml:space="preserve">PDF页码与正文页码完整</x:t>
  </x:si>
  <x:si>
    <x:t xml:space="preserve">主表页码字段非空</x:t>
  </x:si>
  <x:si>
    <x:t xml:space="preserve">所有校验事项保留双页码。</x:t>
  </x:si>
  <x:si>
    <x:t xml:space="preserve">CHK-004</x:t>
  </x:si>
  <x:si>
    <x:t xml:space="preserve">原文证据字段完整</x:t>
  </x:si>
  <x:si>
    <x:t xml:space="preserve">evidence_ids与original_excerpt非空</x:t>
  </x:si>
  <x:si>
    <x:t xml:space="preserve">证据来自招股说明书及已验收上游索引。</x:t>
  </x:si>
  <x:si>
    <x:t xml:space="preserve">CHK-005</x:t>
  </x:si>
  <x:si>
    <x:t xml:space="preserve">CE-005专项记录存在</x:t>
  </x:si>
  <x:si>
    <x:t xml:space="preserve">VAL-012与REV-001</x:t>
  </x:si>
  <x:si>
    <x:t xml:space="preserve">重点事项独立成表。</x:t>
  </x:si>
  <x:si>
    <x:t xml:space="preserve">CHK-006</x:t>
  </x:si>
  <x:si>
    <x:t xml:space="preserve">CE-005差异复算</x:t>
  </x:si>
  <x:si>
    <x:t xml:space="preserve">136.99214-136.9864</x:t>
  </x:si>
  <x:si>
    <x:t xml:space="preserve">差异方向为计算值高于原文值。</x:t>
  </x:si>
  <x:si>
    <x:t xml:space="preserve">CHK-007</x:t>
  </x:si>
  <x:si>
    <x:t xml:space="preserve">CE-013旧误录值未沿用</x:t>
  </x:si>
  <x:si>
    <x:t xml:space="preserve">检查8,563.79不作为最终输入</x:t>
  </x:si>
  <x:si>
    <x:t xml:space="preserve">采用阶段六最终修订值。</x:t>
  </x:si>
  <x:si>
    <x:t xml:space="preserve">CHK-008</x:t>
  </x:si>
  <x:si>
    <x:t xml:space="preserve">未披露值未补齐</x:t>
  </x:si>
  <x:si>
    <x:t xml:space="preserve">人工边界检查</x:t>
  </x:si>
  <x:si>
    <x:t xml:space="preserve">CHK-009</x:t>
  </x:si>
  <x:si>
    <x:t xml:space="preserve">所有人工复核事项关闭</x:t>
  </x:si>
  <x:si>
    <x:t xml:space="preserve">06表user_decision不含待用户复核</x:t>
  </x:si>
  <x:si>
    <x:t xml:space="preserve">CHK-010</x:t>
  </x:si>
  <x:si>
    <x:t xml:space="preserve">最终状态</x:t>
  </x:si>
  <x:si>
    <x:t xml:space="preserve">全部检查通过且人工事项关闭</x:t>
  </x:si>
  <x:si>
    <x:t xml:space="preserve">审查日志</x:t>
  </x:si>
  <x:si>
    <x:t xml:space="preserve">log_id</x:t>
  </x:si>
  <x:si>
    <x:t xml:space="preserve">date</x:t>
  </x:si>
  <x:si>
    <x:t xml:space="preserve">action</x:t>
  </x:si>
  <x:si>
    <x:t xml:space="preserve">affected_records</x:t>
  </x:si>
  <x:si>
    <x:t xml:space="preserve">before_value</x:t>
  </x:si>
  <x:si>
    <x:t xml:space="preserve">after_value</x:t>
  </x:si>
  <x:si>
    <x:t xml:space="preserve">note</x:t>
  </x:si>
  <x:si>
    <x:t xml:space="preserve">LOG-001</x:t>
  </x:si>
  <x:si>
    <x:t xml:space="preserve">阶段七方案确认</x:t>
  </x:si>
  <x:si>
    <x:t xml:space="preserve">全阶段</x:t>
  </x:si>
  <x:si>
    <x:t xml:space="preserve">pending_user_review</x:t>
  </x:si>
  <x:si>
    <x:t xml:space="preserve">用户确认后开始生成待复核版。</x:t>
  </x:si>
  <x:si>
    <x:t xml:space="preserve">LOG-002</x:t>
  </x:si>
  <x:si>
    <x:t xml:space="preserve">冻结上游输入</x:t>
  </x:si>
  <x:si>
    <x:t xml:space="preserve">阶段六/阶段五</x:t>
  </x:si>
  <x:si>
    <x:t xml:space="preserve">final_approved</x:t>
  </x:si>
  <x:si>
    <x:t xml:space="preserve">以阶段六最终验收工作簿为结构化上游。</x:t>
  </x:si>
  <x:si>
    <x:t xml:space="preserve">LOG-003</x:t>
  </x:si>
  <x:si>
    <x:t xml:space="preserve">登记CE-005重点差异</x:t>
  </x:si>
  <x:si>
    <x:t xml:space="preserve">0.00574万元</x:t>
  </x:si>
  <x:si>
    <x:t xml:space="preserve">不静默修正任何原文披露值。</x:t>
  </x:si>
  <x:si>
    <x:t xml:space="preserve">LOG-004</x:t>
  </x:si>
  <x:si>
    <x:t xml:space="preserve">登记阶段六上游修订</x:t>
  </x:si>
  <x:si>
    <x:t xml:space="preserve">8,563.79万元</x:t>
  </x:si>
  <x:si>
    <x:t xml:space="preserve">旧值为计算录入错误；原文逐笔值未修改。</x:t>
  </x:si>
  <x:si>
    <x:t xml:space="preserve">LOG-005</x:t>
  </x:si>
  <x:si>
    <x:t xml:space="preserve">生成阶段七待复核工作簿</x:t>
  </x:si>
  <x:si>
    <x:t xml:space="preserve">55项校验</x:t>
  </x:si>
  <x:si>
    <x:t xml:space="preserve">尚未生成最终验收版、JSON、Schema或GitHub提交包。</x:t>
  </x:si>
  <x:si>
    <x:t xml:space="preserve">final_status / user_decision</x:t>
  </x:si>
  <x:si>
    <x:t xml:space="preserve">review_status</x:t>
  </x:si>
  <x:si>
    <x:t xml:space="preserve">确认通过－完全一致</x:t>
  </x:si>
  <x:si>
    <x:t xml:space="preserve">已验收通过</x:t>
  </x:si>
  <x:si>
    <x:t xml:space="preserve">确认通过－舍入一致</x:t>
  </x:si>
  <x:si>
    <x:t xml:space="preserve">待人工复核</x:t>
  </x:si>
  <x:si>
    <x:t xml:space="preserve">确认原文存在差异并保留</x:t>
  </x:si>
  <x:si>
    <x:t xml:space="preserve">需修改</x:t>
  </x:si>
  <x:si>
    <x:t xml:space="preserve">确认信息不足、无法校验</x:t>
  </x:si>
  <x:si>
    <x:t xml:space="preserve">确认不适用</x:t>
  </x:si>
  <x:si>
    <x:t xml:space="preserve">pending_manual_review</x:t>
  </x:si>
  <x:si>
    <x:t xml:space="preserve">退回修改</x:t>
  </x:si>
  <x:si>
    <x:t xml:space="preserve">待进一步复核</x:t>
  </x:si>
</x:sst>
</file>

<file path=xl/styles.xml><?xml version="1.0" encoding="utf-8"?>
<x:styleSheet xmlns:x="http://schemas.openxmlformats.org/spreadsheetml/2006/main">
  <x:numFmts count="3">
    <x:numFmt numFmtId="176" formatCode="#,##0.000000;[Red]\(#,##0.000000\);\-"/>
    <x:numFmt numFmtId="177" formatCode="0.000000%;[Red]\(0.000000%\);\-"/>
    <x:numFmt numFmtId="178" formatCode="#,##0.00000;[Red]\(#,##0.00000\);\-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1">
    <x:border/>
  </x:borders>
  <x:cellStyleXfs count="2">
    <x:xf numFmtId="0" fontId="0" fillId="0" borderId="0"/>
    <x:xf numFmtId="0" fontId="7" fillId="0" borderId="0"/>
  </x:cellStyleXfs>
  <x:cellXfs count="23">
    <x:xf numFmtId="0" fontId="0" fillId="0" borderId="0" xfId="0"/>
    <x:xf numFmtId="0" fontId="0" fillId="0" borderId="0" xfId="1" applyFont="1" applyAlignment="1">
      <x:alignment wrapText="1"/>
    </x:xf>
    <x:xf numFmtId="0" fontId="0" fillId="0" borderId="0" xfId="1" applyFont="1" applyAlignment="1">
      <x:alignment vertical="top" wrapText="1"/>
    </x:xf>
    <x:xf numFmtId="0" fontId="2" fillId="3" borderId="0" xfId="1" applyFont="1" applyFill="1" applyAlignment="1">
      <x:alignment vertical="top" wrapText="1"/>
    </x:xf>
    <x:xf numFmtId="0" fontId="2" fillId="4" borderId="0" xfId="1" applyFont="1" applyFill="1" applyAlignment="1">
      <x:alignment horizontal="center" wrapText="1"/>
    </x:xf>
    <x:xf numFmtId="0" fontId="3" fillId="2" borderId="0" xfId="1" applyFont="1" applyFill="1" applyAlignment="1">
      <x:alignment horizontal="center" vertical="center" wrapText="1"/>
    </x:xf>
    <x:xf numFmtId="0" fontId="4" fillId="0" borderId="0" xfId="1" applyFont="1" applyAlignment="1">
      <x:alignment wrapText="1"/>
    </x:xf>
    <x:xf numFmtId="0" fontId="5" fillId="0" borderId="0" xfId="1" applyFont="1" applyAlignment="1">
      <x:alignment wrapText="1"/>
    </x:xf>
    <x:xf numFmtId="176" fontId="5" fillId="0" borderId="0" xfId="1" applyNumberFormat="1" applyFont="1" applyAlignment="1">
      <x:alignment wrapText="1"/>
    </x:xf>
    <x:xf numFmtId="176" fontId="6" fillId="0" borderId="0" xfId="1" applyNumberFormat="1" applyFont="1" applyAlignment="1">
      <x:alignment wrapText="1"/>
    </x:xf>
    <x:xf numFmtId="176" fontId="0" fillId="0" borderId="0" xfId="1" applyNumberFormat="1" applyFont="1" applyAlignment="1">
      <x:alignment wrapText="1"/>
    </x:xf>
    <x:xf numFmtId="177" fontId="5" fillId="0" borderId="0" xfId="1" applyNumberFormat="1" applyFont="1" applyAlignment="1">
      <x:alignment wrapText="1"/>
    </x:xf>
    <x:xf numFmtId="0" fontId="0" fillId="5" borderId="0" xfId="1" applyFont="1" applyFill="1" applyAlignment="1">
      <x:alignment wrapText="1"/>
    </x:xf>
    <x:xf numFmtId="178" fontId="4" fillId="0" borderId="0" xfId="1" applyNumberFormat="1" applyFont="1" applyAlignment="1">
      <x:alignment wrapText="1"/>
    </x:xf>
    <x:xf numFmtId="178" fontId="0" fillId="0" borderId="0" xfId="1" applyNumberFormat="1" applyFont="1" applyAlignment="1">
      <x:alignment wrapText="1"/>
    </x:xf>
    <x:xf numFmtId="0" fontId="0" fillId="0" borderId="0" xfId="1" applyFont="1" applyAlignment="1">
      <x:alignment vertical="top"/>
    </x:xf>
    <x:xf numFmtId="0" fontId="3" fillId="2" borderId="0" xfId="1" applyFont="1" applyFill="1" applyAlignment="1">
      <x:alignment horizontal="center" vertical="top" wrapText="1"/>
    </x:xf>
    <x:xf numFmtId="0" fontId="0" fillId="0" borderId="0" xfId="1" applyFont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1" applyFont="1" applyFill="1" applyAlignment="1">
      <x:alignment horizontal="left" vertical="top"/>
    </x:xf>
    <x:xf numFmtId="0" fontId="3" fillId="2" borderId="0" xfId="1" applyFont="1" applyFill="1"/>
    <x:xf numFmtId="0" fontId="0" fillId="0" borderId="0" xfId="1" applyFont="1" applyAlignment="1">
      <x:alignment wrapText="1"/>
    </x:xf>
    <x:xf numFmtId="0" fontId="3" fillId="2" borderId="0" xfId="1" applyFont="1" applyFill="1" applyAlignment="1">
      <x:alignment wrapText="1"/>
    </x:xf>
    <x:xf numFmtId="0" fontId="0" fillId="3" borderId="0" xfId="1" applyFont="1" applyFill="1" applyAlignment="1">
      <x:alignment vertical="top" wrapText="1"/>
    </x:xf>
  </x:cellXfs>
  <x:cellStyles count="2">
    <x:cellStyle name="Normal" xfId="1"/>
    <x:cellStyle name="常规" xfId="0"/>
  </x:cellStyles>
  <x:dxfs count="6"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f396ead024313" /><Relationship Type="http://schemas.openxmlformats.org/officeDocument/2006/relationships/theme" Target="/xl/theme/theme1.xml" Id="R0a81ba72cf7741fd" /><Relationship Type="http://schemas.microsoft.com/office/2022/11/relationships/FeaturePropertyBag" Target="/xl/featurePropertyBag/featurePropertyBag.xml" Id="R769f3664d7fa4161" /><Relationship Type="http://schemas.openxmlformats.org/officeDocument/2006/relationships/sharedStrings" Target="/xl/sharedStrings.xml" Id="Rd97010c2cdd7421e" /><Relationship Type="http://schemas.openxmlformats.org/officeDocument/2006/relationships/worksheet" Target="/xl/worksheets/sheet1.xml" Id="R4b3464b61b884fcf" /><Relationship Type="http://schemas.openxmlformats.org/officeDocument/2006/relationships/worksheet" Target="/xl/worksheets/sheet2.xml" Id="R240976a64686410a" /><Relationship Type="http://schemas.openxmlformats.org/officeDocument/2006/relationships/worksheet" Target="/xl/worksheets/sheet3.xml" Id="Rab917da3bd864076" /><Relationship Type="http://schemas.openxmlformats.org/officeDocument/2006/relationships/worksheet" Target="/xl/worksheets/sheet4.xml" Id="R828396308b4f4f70" /><Relationship Type="http://schemas.openxmlformats.org/officeDocument/2006/relationships/worksheet" Target="/xl/worksheets/sheet5.xml" Id="Rba3a054e8b654303" /><Relationship Type="http://schemas.openxmlformats.org/officeDocument/2006/relationships/worksheet" Target="/xl/worksheets/sheet6.xml" Id="R9196f60a102c4d0a" /><Relationship Type="http://schemas.openxmlformats.org/officeDocument/2006/relationships/worksheet" Target="/xl/worksheets/sheet7.xml" Id="Rcedfd3ed1f144376" /><Relationship Type="http://schemas.openxmlformats.org/officeDocument/2006/relationships/worksheet" Target="/xl/worksheets/sheet8.xml" Id="R74ee34a0c7624fbc" /><Relationship Type="http://schemas.openxmlformats.org/officeDocument/2006/relationships/worksheet" Target="/xl/worksheets/sheet9.xml" Id="R8e0bae0088da4c4a" /><Relationship Type="http://schemas.openxmlformats.org/officeDocument/2006/relationships/worksheet" Target="/xl/worksheets/sheet10.xml" Id="R4ba2018376e74a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alidationItemsTable" displayName="ValidationItemsTable" ref="A3:R58">
  <x:tableColumns count="18">
    <x:tableColumn id="1" name="validation_id"/>
    <x:tableColumn id="2" name="upstream_calculation_id"/>
    <x:tableColumn id="3" name="event_id"/>
    <x:tableColumn id="4" name="snapshot_id"/>
    <x:tableColumn id="5" name="category"/>
    <x:tableColumn id="6" name="validation_description"/>
    <x:tableColumn id="7" name="formula_type"/>
    <x:tableColumn id="8" name="calculated_unit"/>
    <x:tableColumn id="9" name="display_precision"/>
    <x:tableColumn id="10" name="materiality_level"/>
    <x:tableColumn id="11" name="manual_review_required"/>
    <x:tableColumn id="12" name="auto_status"/>
    <x:tableColumn id="13" name="final_status"/>
    <x:tableColumn id="14" name="pdf_pages"/>
    <x:tableColumn id="15" name="printed_pages"/>
    <x:tableColumn id="16" name="evidence_ids"/>
    <x:tableColumn id="17" name="scope_note"/>
    <x:tableColumn id="18" name="review_note"/>
  </x:tableColumns>
  <x:tableStyleInfo name="TableStyleMedium2" showRowStripes="1"/>
</x:table>
</file>

<file path=xl/tables/table2.xml><?xml version="1.0" encoding="utf-8"?>
<x:table xmlns:x="http://schemas.openxmlformats.org/spreadsheetml/2006/main" id="2" name="SourceValuesTable" displayName="SourceValuesTable" ref="A3:Q94" headerRowCount="1">
  <x:tableColumns count="17">
    <x:tableColumn id="1" name="source_value_id"/>
    <x:tableColumn id="2" name="event_id"/>
    <x:tableColumn id="3" name="field_or_role"/>
    <x:tableColumn id="4" name="original_numeric_text"/>
    <x:tableColumn id="5" name="original_value"/>
    <x:tableColumn id="6" name="original_unit"/>
    <x:tableColumn id="7" name="standardized_value"/>
    <x:tableColumn id="8" name="standardized_unit"/>
    <x:tableColumn id="9" name="conversion_formula"/>
    <x:tableColumn id="10" name="evidence_ids"/>
    <x:tableColumn id="11" name="pdf_pages"/>
    <x:tableColumn id="12" name="printed_pages"/>
    <x:tableColumn id="13" name="original_excerpt"/>
    <x:tableColumn id="14" name="source_verification_status"/>
    <x:tableColumn id="15" name="value_nature"/>
    <x:tableColumn id="16" name="approximation_marker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alculationInputsTable" displayName="CalculationInputsTable" ref="A3:T182" headerRowCount="1">
  <x:tableColumns count="20">
    <x:tableColumn id="1" name="input_id"/>
    <x:tableColumn id="2" name="validation_id"/>
    <x:tableColumn id="3" name="input_sequence"/>
    <x:tableColumn id="4" name="input_role"/>
    <x:tableColumn id="5" name="source_type"/>
    <x:tableColumn id="6" name="source_value_id"/>
    <x:tableColumn id="7" name="original_numeric_text"/>
    <x:tableColumn id="8" name="original_value"/>
    <x:tableColumn id="9" name="original_unit"/>
    <x:tableColumn id="10" name="standardized_value"/>
    <x:tableColumn id="11" name="standardized_unit"/>
    <x:tableColumn id="12" name="conversion_formula"/>
    <x:tableColumn id="13" name="sign"/>
    <x:tableColumn id="14" name="signed_input_value"/>
    <x:tableColumn id="15" name="evidence_ids"/>
    <x:tableColumn id="16" name="pdf_pages"/>
    <x:tableColumn id="17" name="printed_pages"/>
    <x:tableColumn id="18" name="original_excerpt"/>
    <x:tableColumn id="19" name="source_verification_status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ResultsTable" displayName="ValidationResultsTable" ref="A3:AD58">
  <x:tableColumns count="30">
    <x:tableColumn id="1" name="validation_id"/>
    <x:tableColumn id="2" name="upstream_calculation_id"/>
    <x:tableColumn id="3" name="event_id"/>
    <x:tableColumn id="4" name="snapshot_id"/>
    <x:tableColumn id="5" name="category"/>
    <x:tableColumn id="6" name="validation_description"/>
    <x:tableColumn id="7" name="formula_type"/>
    <x:tableColumn id="8" name="formula_expression"/>
    <x:tableColumn id="9" name="calculated_value_excel"/>
    <x:tableColumn id="10" name="decimal_exact_result"/>
    <x:tableColumn id="11" name="calculated_unit"/>
    <x:tableColumn id="12" name="comparison_value_excel"/>
    <x:tableColumn id="13" name="comparison_source"/>
    <x:tableColumn id="14" name="signed_difference_excel"/>
    <x:tableColumn id="15" name="absolute_difference_excel"/>
    <x:tableColumn id="16" name="relative_difference_excel"/>
    <x:tableColumn id="17" name="display_precision"/>
    <x:tableColumn id="18" name="rounding_interval_lower"/>
    <x:tableColumn id="19" name="rounding_interval_upper"/>
    <x:tableColumn id="20" name="rounding_explainable"/>
    <x:tableColumn id="21" name="difference_classification"/>
    <x:tableColumn id="22" name="auto_conclusion"/>
    <x:tableColumn id="23" name="manual_review_required"/>
    <x:tableColumn id="24" name="final_conclusion"/>
    <x:tableColumn id="25" name="reviewer_note"/>
    <x:tableColumn id="26" name="pdf_pages"/>
    <x:tableColumn id="27" name="printed_pages"/>
    <x:tableColumn id="28" name="evidence_ids"/>
    <x:tableColumn id="29" name="original_excerpt"/>
    <x:tableColumn id="30" name="scope_note"/>
  </x:tableColumns>
  <x:tableStyleInfo name="TableStyleMedium2" showRowStripes="1"/>
</x:table>
</file>

<file path=xl/tables/table5.xml><?xml version="1.0" encoding="utf-8"?>
<x:table xmlns:x="http://schemas.openxmlformats.org/spreadsheetml/2006/main" id="5" name="ManualReviewTable" displayName="ManualReviewTable" ref="A3:L9">
  <x:tableColumns count="12">
    <x:tableColumn id="1" name="review_item_id"/>
    <x:tableColumn id="2" name="validation_id"/>
    <x:tableColumn id="3" name="review_type"/>
    <x:tableColumn id="4" name="observed_fact"/>
    <x:tableColumn id="5" name="calculated_or_judgment_value"/>
    <x:tableColumn id="6" name="difference_or_uncertainty"/>
    <x:tableColumn id="7" name="pdf_pages"/>
    <x:tableColumn id="8" name="printed_pages"/>
    <x:tableColumn id="9" name="evidence_ids"/>
    <x:tableColumn id="10" name="recommended_action"/>
    <x:tableColumn id="11" name="user_decision"/>
    <x:tableColumn id="12" name="user_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2ba7b86ff548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1cb7f6370a4c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574287faf544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9b0175bfb842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1edc8b663d44fd6" /></Relationships>
</file>

<file path=xl/worksheets/sheet1.xml><?xml version="1.0" encoding="utf-8"?>
<x:worksheet xmlns:x="http://schemas.openxmlformats.org/spreadsheetml/2006/main">
  <x:sheetFormatPr defaultRowHeight="14"/>
  <x:cols>
    <x:col min="1" max="1" width="8" customWidth="1"/>
    <x:col min="2" max="2" width="24" customWidth="1"/>
    <x:col min="3" max="3" width="18" customWidth="1"/>
    <x:col min="4" max="4" width="24" customWidth="1"/>
    <x:col min="5" max="5" width="18" customWidth="1"/>
    <x:col min="6" max="6" width="20" customWidth="1"/>
    <x:col min="7" max="7" width="18" customWidth="1"/>
    <x:col min="8" max="8" width="22" customWidth="1"/>
  </x:cols>
  <x:sheetData>
    <x:row r="1" ht="18.649999618530273" customHeight="1">
      <x:c r="A1" s="18" t="str">
        <x:v>阶段七：数值校验（最终验收版）</x:v>
      </x:c>
      <x:c r="B1" s="18"/>
      <x:c r="C1" s="18"/>
      <x:c r="D1" s="18"/>
      <x:c r="E1" s="18"/>
      <x:c r="F1" s="18"/>
      <x:c r="G1" s="18"/>
      <x:c r="H1" s="18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8">
      <x:c r="A3" s="3" t="s">
        <x:v>0</x:v>
      </x:c>
      <x:c r="B3" s="2" t="s">
        <x:v>1</x:v>
      </x:c>
      <x:c r="C3" s="3" t="s">
        <x:v>2</x:v>
      </x:c>
      <x:c r="D3" s="2" t="str">
        <x:v>final_approved</x:v>
      </x:c>
      <x:c r="E3" s="3" t="s">
        <x:v>3</x:v>
      </x:c>
      <x:c r="F3" s="2" t="s">
        <x:v>4</x:v>
      </x:c>
      <x:c r="G3" s="3" t="s">
        <x:v>5</x:v>
      </x:c>
      <x:c r="H3" s="2" t="n">
        <x:v>55</x:v>
      </x:c>
    </x:row>
    <x:row r="4" ht="28">
      <x:c r="A4" s="3" t="s">
        <x:v>6</x:v>
      </x:c>
      <x:c r="B4" s="2" t="s">
        <x:v>7</x:v>
      </x:c>
      <x:c r="C4" s="3" t="s">
        <x:v>8</x:v>
      </x:c>
      <x:c r="D4" s="2" t="s">
        <x:v>9</x:v>
      </x:c>
      <x:c r="E4" s="3" t="s">
        <x:v>10</x:v>
      </x:c>
      <x:c r="F4" s="2">
        <x:v>21</x:v>
      </x:c>
      <x:c r="G4" s="3" t="s">
        <x:v>11</x:v>
      </x:c>
      <x:c r="H4" s="2" t="n">
        <x:v>21</x:v>
      </x:c>
    </x:row>
    <x:row r="5" ht="84">
      <x:c r="A5" s="3" t="s">
        <x:v>12</x:v>
      </x:c>
      <x:c r="B5" s="2" t="s">
        <x:v>13</x:v>
      </x:c>
      <x:c r="C5" s="3" t="s">
        <x:v>14</x:v>
      </x:c>
      <x:c r="D5" s="2" t="s">
        <x:v>15</x:v>
      </x:c>
      <x:c r="E5" s="3" t="s">
        <x:v>16</x:v>
      </x:c>
      <x:c r="F5" s="2" t="s">
        <x:v>17</x:v>
      </x:c>
      <x:c r="G5" s="3" t="s">
        <x:v>18</x:v>
      </x:c>
      <x:c r="H5" s="2" t="n">
        <x:v>55</x:v>
      </x:c>
    </x:row>
    <x:row r="6" ht="28">
      <x:c r="A6" s="3" t="s">
        <x:v>19</x:v>
      </x:c>
      <x:c r="B6" s="2" t="s">
        <x:v>20</x:v>
      </x:c>
      <x:c r="C6" s="3" t="s">
        <x:v>21</x:v>
      </x:c>
      <x:c r="D6" s="2" t="s">
        <x:v>22</x:v>
      </x:c>
      <x:c r="E6" s="3" t="s">
        <x:v>23</x:v>
      </x:c>
      <x:c r="F6" s="2" t="s">
        <x:v>24</x:v>
      </x:c>
      <x:c r="G6" s="3" t="s">
        <x:v>25</x:v>
      </x:c>
      <x:c r="H6" s="2" t="s">
        <x:v>26</x:v>
      </x:c>
    </x:row>
    <x:row r="7" ht="28">
      <x:c r="A7" s="3" t="s">
        <x:v>27</x:v>
      </x:c>
      <x:c r="B7" s="2" t="str">
        <x:v>最终Excel＋单一bundle＋统一Schema＋校验脚本＋摘要报告＋manifest</x:v>
      </x:c>
      <x:c r="C7" s="3" t="s">
        <x:v>28</x:v>
      </x:c>
      <x:c r="D7" s="2" t="str">
        <x:v>已完成用户复核及工程化校验</x:v>
      </x:c>
      <x:c r="E7" s="3" t="s">
        <x:v>29</x:v>
      </x:c>
      <x:c r="F7" s="2" t="str">
        <x:v>final_approved</x:v>
      </x:c>
      <x:c r="G7" s="3" t="s">
        <x:v>30</x:v>
      </x:c>
      <x:c r="H7" s="2" t="str">
        <x:v>阶段七结项</x:v>
      </x:c>
    </x:row>
    <x:row r="9">
      <x:c r="A9" s="19" t="s">
        <x:v>31</x:v>
      </x:c>
      <x:c r="B9" s="19"/>
      <x:c r="C9" s="19"/>
      <x:c r="D9" s="19"/>
      <x:c r="E9" s="19"/>
      <x:c r="F9" s="19"/>
      <x:c r="G9" s="19"/>
      <x:c r="H9" s="19"/>
    </x:row>
    <x:row r="10">
      <x:c r="A10" s="4" t="s">
        <x:v>32</x:v>
      </x:c>
      <x:c r="B10" s="20" t="s">
        <x:v>33</x:v>
      </x:c>
      <x:c r="C10" s="20"/>
      <x:c r="D10" s="20"/>
      <x:c r="E10" s="20"/>
      <x:c r="F10" s="20"/>
      <x:c r="G10" s="20"/>
      <x:c r="H10" s="20"/>
    </x:row>
    <x:row r="11">
      <x:c r="A11" s="4" t="s">
        <x:v>34</x:v>
      </x:c>
      <x:c r="B11" s="20" t="s">
        <x:v>35</x:v>
      </x:c>
      <x:c r="C11" s="20"/>
      <x:c r="D11" s="20"/>
      <x:c r="E11" s="20"/>
      <x:c r="F11" s="20"/>
      <x:c r="G11" s="20"/>
      <x:c r="H11" s="20"/>
    </x:row>
    <x:row r="12">
      <x:c r="A12" s="4" t="s">
        <x:v>36</x:v>
      </x:c>
      <x:c r="B12" s="20" t="s">
        <x:v>37</x:v>
      </x:c>
      <x:c r="C12" s="20"/>
      <x:c r="D12" s="20"/>
      <x:c r="E12" s="20"/>
      <x:c r="F12" s="20"/>
      <x:c r="G12" s="20"/>
      <x:c r="H12" s="20"/>
    </x:row>
    <x:row r="13">
      <x:c r="A13" s="4" t="s">
        <x:v>38</x:v>
      </x:c>
      <x:c r="B13" s="20" t="s">
        <x:v>39</x:v>
      </x:c>
      <x:c r="C13" s="20"/>
      <x:c r="D13" s="20"/>
      <x:c r="E13" s="20"/>
      <x:c r="F13" s="20"/>
      <x:c r="G13" s="20"/>
      <x:c r="H13" s="20"/>
    </x:row>
    <x:row r="14">
      <x:c r="A14" s="4" t="s">
        <x:v>40</x:v>
      </x:c>
      <x:c r="B14" s="20" t="s">
        <x:v>41</x:v>
      </x:c>
      <x:c r="C14" s="20"/>
      <x:c r="D14" s="20"/>
      <x:c r="E14" s="20"/>
      <x:c r="F14" s="20"/>
      <x:c r="G14" s="20"/>
      <x:c r="H14" s="20"/>
    </x:row>
  </x:sheetData>
  <x:mergeCells>
    <x:mergeCell ref="B13:H13"/>
    <x:mergeCell ref="B14:H14"/>
    <x:mergeCell ref="A1:H1"/>
    <x:mergeCell ref="A9:H9"/>
    <x:mergeCell ref="B10:H10"/>
    <x:mergeCell ref="B11:H11"/>
    <x:mergeCell ref="B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3" customWidth="1"/>
    <x:col min="2" max="2" width="17" customWidth="1"/>
    <x:col min="3" max="3" width="12" customWidth="1"/>
    <x:col min="4" max="4" width="13" customWidth="1"/>
    <x:col min="5" max="5" width="14" customWidth="1"/>
    <x:col min="6" max="6" width="34" customWidth="1"/>
    <x:col min="7" max="7" width="15" customWidth="1"/>
    <x:col min="8" max="8" width="12" customWidth="1"/>
    <x:col min="9" max="9" width="10" customWidth="1"/>
    <x:col min="10" max="11" width="12" customWidth="1"/>
    <x:col min="12" max="12" width="14" customWidth="1"/>
    <x:col min="13" max="13" width="18" customWidth="1"/>
    <x:col min="14" max="15" width="10" customWidth="1"/>
    <x:col min="16" max="16" width="22" customWidth="1"/>
    <x:col min="17" max="17" width="38" customWidth="1"/>
    <x:col min="18" max="18" width="28" customWidth="1"/>
  </x:cols>
  <x:sheetData>
    <x:row r="1" ht="18.649999618530273" customHeight="1">
      <x:c r="A1" s="18" t="s">
        <x:v>42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1.399999618530273" customHeight="1">
      <x:c r="A3" s="5" t="s">
        <x:v>43</x:v>
      </x:c>
      <x:c r="B3" s="5" t="s">
        <x:v>44</x:v>
      </x:c>
      <x:c r="C3" s="5" t="s">
        <x:v>45</x:v>
      </x:c>
      <x:c r="D3" s="5" t="s">
        <x:v>46</x:v>
      </x:c>
      <x:c r="E3" s="5" t="s">
        <x:v>47</x:v>
      </x:c>
      <x:c r="F3" s="5" t="s">
        <x:v>48</x:v>
      </x:c>
      <x:c r="G3" s="5" t="s">
        <x:v>49</x:v>
      </x:c>
      <x:c r="H3" s="5" t="s">
        <x:v>50</x:v>
      </x:c>
      <x:c r="I3" s="5" t="s">
        <x:v>51</x:v>
      </x:c>
      <x:c r="J3" s="5" t="s">
        <x:v>52</x:v>
      </x:c>
      <x:c r="K3" s="5" t="s">
        <x:v>53</x:v>
      </x:c>
      <x:c r="L3" s="5" t="s">
        <x:v>54</x:v>
      </x:c>
      <x:c r="M3" s="5" t="s">
        <x:v>55</x:v>
      </x:c>
      <x:c r="N3" s="5" t="s">
        <x:v>56</x:v>
      </x:c>
      <x:c r="O3" s="5" t="s">
        <x:v>57</x:v>
      </x:c>
      <x:c r="P3" s="5" t="s">
        <x:v>58</x:v>
      </x:c>
      <x:c r="Q3" s="5" t="s">
        <x:v>59</x:v>
      </x:c>
      <x:c r="R3" s="5" t="s">
        <x:v>60</x:v>
      </x:c>
    </x:row>
    <x:row r="4" ht="28">
      <x:c r="A4" s="1" t="s">
        <x:v>61</x:v>
      </x:c>
      <x:c r="B4" s="1" t="s">
        <x:v>62</x:v>
      </x:c>
      <x:c r="C4" s="1" t="s">
        <x:v>63</x:v>
      </x:c>
      <x:c r="D4" s="1" t="s">
        <x:v>64</x:v>
      </x:c>
      <x:c r="E4" s="1" t="s">
        <x:v>65</x:v>
      </x:c>
      <x:c r="F4" s="1" t="s">
        <x:v>66</x:v>
      </x:c>
      <x:c r="G4" s="1" t="s">
        <x:v>67</x:v>
      </x:c>
      <x:c r="H4" s="1" t="s">
        <x:v>68</x:v>
      </x:c>
      <x:c r="I4" s="1">
        <x:v>2</x:v>
      </x:c>
      <x:c r="J4" s="1" t="s">
        <x:v>69</x:v>
      </x:c>
      <x:c r="K4" s="1" t="s">
        <x:v>70</x:v>
      </x:c>
      <x:c r="L4" s="1" t="s">
        <x:v>71</x:v>
      </x:c>
      <x:c r="M4" s="1" t="str">
        <x:v>确认通过－完全一致</x:v>
      </x:c>
      <x:c r="N4" s="1" t="s">
        <x:v>72</x:v>
      </x:c>
      <x:c r="O4" s="1" t="s">
        <x:v>73</x:v>
      </x:c>
      <x:c r="P4" s="1" t="s">
        <x:v>74</x:v>
      </x:c>
      <x:c r="Q4" s="1" t="s">
        <x:v>75</x:v>
      </x:c>
      <x:c r="R4" s="1" t="str">
        <x:v>自动校验结果已验收。</x:v>
      </x:c>
    </x:row>
    <x:row r="5" ht="28">
      <x:c r="A5" s="1" t="s">
        <x:v>76</x:v>
      </x:c>
      <x:c r="B5" s="1" t="s">
        <x:v>62</x:v>
      </x:c>
      <x:c r="C5" s="1" t="s">
        <x:v>63</x:v>
      </x:c>
      <x:c r="D5" s="1" t="s">
        <x:v>64</x:v>
      </x:c>
      <x:c r="E5" s="1" t="s">
        <x:v>65</x:v>
      </x:c>
      <x:c r="F5" s="1" t="s">
        <x:v>77</x:v>
      </x:c>
      <x:c r="G5" s="1" t="s">
        <x:v>67</x:v>
      </x:c>
      <x:c r="H5" s="1" t="s">
        <x:v>68</x:v>
      </x:c>
      <x:c r="I5" s="1">
        <x:v>2</x:v>
      </x:c>
      <x:c r="J5" s="1" t="s">
        <x:v>69</x:v>
      </x:c>
      <x:c r="K5" s="1" t="s">
        <x:v>70</x:v>
      </x:c>
      <x:c r="L5" s="1" t="s">
        <x:v>71</x:v>
      </x:c>
      <x:c r="M5" s="1" t="str">
        <x:v>确认通过－完全一致</x:v>
      </x:c>
      <x:c r="N5" s="1" t="s">
        <x:v>72</x:v>
      </x:c>
      <x:c r="O5" s="1" t="s">
        <x:v>73</x:v>
      </x:c>
      <x:c r="P5" s="1" t="s">
        <x:v>74</x:v>
      </x:c>
      <x:c r="Q5" s="1" t="s">
        <x:v>75</x:v>
      </x:c>
      <x:c r="R5" s="1" t="str">
        <x:v>自动校验结果已验收。</x:v>
      </x:c>
    </x:row>
    <x:row r="6" ht="28">
      <x:c r="A6" s="1" t="s">
        <x:v>78</x:v>
      </x:c>
      <x:c r="B6" s="1" t="s">
        <x:v>79</x:v>
      </x:c>
      <x:c r="C6" s="1" t="s">
        <x:v>80</x:v>
      </x:c>
      <x:c r="D6" s="1" t="s">
        <x:v>81</x:v>
      </x:c>
      <x:c r="E6" s="1" t="s">
        <x:v>82</x:v>
      </x:c>
      <x:c r="F6" s="1" t="s">
        <x:v>83</x:v>
      </x:c>
      <x:c r="G6" s="1" t="s">
        <x:v>84</x:v>
      </x:c>
      <x:c r="H6" s="1" t="s">
        <x:v>85</x:v>
      </x:c>
      <x:c r="I6" s="1">
        <x:v>4</x:v>
      </x:c>
      <x:c r="J6" s="1" t="s">
        <x:v>69</x:v>
      </x:c>
      <x:c r="K6" s="1" t="s">
        <x:v>70</x:v>
      </x:c>
      <x:c r="L6" s="1" t="s">
        <x:v>71</x:v>
      </x:c>
      <x:c r="M6" s="1" t="str">
        <x:v>确认通过－完全一致</x:v>
      </x:c>
      <x:c r="N6" s="1" t="s">
        <x:v>86</x:v>
      </x:c>
      <x:c r="O6" s="1" t="s">
        <x:v>87</x:v>
      </x:c>
      <x:c r="P6" s="1" t="s">
        <x:v>88</x:v>
      </x:c>
      <x:c r="Q6" s="1" t="s">
        <x:v>89</x:v>
      </x:c>
      <x:c r="R6" s="1" t="str">
        <x:v>自动校验结果已验收。</x:v>
      </x:c>
    </x:row>
    <x:row r="7" ht="28">
      <x:c r="A7" s="1" t="s">
        <x:v>90</x:v>
      </x:c>
      <x:c r="B7" s="1" t="s">
        <x:v>79</x:v>
      </x:c>
      <x:c r="C7" s="1" t="s">
        <x:v>80</x:v>
      </x:c>
      <x:c r="D7" s="1" t="s">
        <x:v>81</x:v>
      </x:c>
      <x:c r="E7" s="1" t="s">
        <x:v>82</x:v>
      </x:c>
      <x:c r="F7" s="1" t="s">
        <x:v>91</x:v>
      </x:c>
      <x:c r="G7" s="1" t="s">
        <x:v>84</x:v>
      </x:c>
      <x:c r="H7" s="1" t="s">
        <x:v>85</x:v>
      </x:c>
      <x:c r="I7" s="1">
        <x:v>4</x:v>
      </x:c>
      <x:c r="J7" s="1" t="s">
        <x:v>69</x:v>
      </x:c>
      <x:c r="K7" s="1" t="s">
        <x:v>70</x:v>
      </x:c>
      <x:c r="L7" s="1" t="s">
        <x:v>71</x:v>
      </x:c>
      <x:c r="M7" s="1" t="str">
        <x:v>确认通过－完全一致</x:v>
      </x:c>
      <x:c r="N7" s="1" t="s">
        <x:v>86</x:v>
      </x:c>
      <x:c r="O7" s="1" t="s">
        <x:v>87</x:v>
      </x:c>
      <x:c r="P7" s="1" t="s">
        <x:v>88</x:v>
      </x:c>
      <x:c r="Q7" s="1" t="s">
        <x:v>89</x:v>
      </x:c>
      <x:c r="R7" s="1" t="str">
        <x:v>自动校验结果已验收。</x:v>
      </x:c>
    </x:row>
    <x:row r="8">
      <x:c r="A8" s="1" t="s">
        <x:v>92</x:v>
      </x:c>
      <x:c r="B8" s="1" t="s">
        <x:v>93</x:v>
      </x:c>
      <x:c r="C8" s="1" t="s">
        <x:v>80</x:v>
      </x:c>
      <x:c r="D8" s="1" t="s">
        <x:v>94</x:v>
      </x:c>
      <x:c r="E8" s="1" t="s">
        <x:v>95</x:v>
      </x:c>
      <x:c r="F8" s="1" t="s">
        <x:v>96</x:v>
      </x:c>
      <x:c r="G8" s="1" t="s">
        <x:v>97</x:v>
      </x:c>
      <x:c r="H8" s="1" t="s">
        <x:v>85</x:v>
      </x:c>
      <x:c r="I8" s="1">
        <x:v>4</x:v>
      </x:c>
      <x:c r="J8" s="1" t="s">
        <x:v>69</x:v>
      </x:c>
      <x:c r="K8" s="1" t="s">
        <x:v>70</x:v>
      </x:c>
      <x:c r="L8" s="1" t="s">
        <x:v>71</x:v>
      </x:c>
      <x:c r="M8" s="1" t="str">
        <x:v>确认通过－完全一致</x:v>
      </x:c>
      <x:c r="N8" s="1" t="s">
        <x:v>86</x:v>
      </x:c>
      <x:c r="O8" s="1" t="s">
        <x:v>87</x:v>
      </x:c>
      <x:c r="P8" s="1" t="s">
        <x:v>88</x:v>
      </x:c>
      <x:c r="Q8" s="1" t="s">
        <x:v>98</x:v>
      </x:c>
      <x:c r="R8" s="1" t="str">
        <x:v>自动校验结果已验收。</x:v>
      </x:c>
    </x:row>
    <x:row r="9">
      <x:c r="A9" s="1" t="s">
        <x:v>99</x:v>
      </x:c>
      <x:c r="B9" s="1" t="s">
        <x:v>93</x:v>
      </x:c>
      <x:c r="C9" s="1" t="s">
        <x:v>80</x:v>
      </x:c>
      <x:c r="D9" s="1" t="s">
        <x:v>94</x:v>
      </x:c>
      <x:c r="E9" s="1" t="s">
        <x:v>95</x:v>
      </x:c>
      <x:c r="F9" s="1" t="s">
        <x:v>100</x:v>
      </x:c>
      <x:c r="G9" s="1" t="s">
        <x:v>97</x:v>
      </x:c>
      <x:c r="H9" s="1" t="s">
        <x:v>85</x:v>
      </x:c>
      <x:c r="I9" s="1">
        <x:v>4</x:v>
      </x:c>
      <x:c r="J9" s="1" t="s">
        <x:v>69</x:v>
      </x:c>
      <x:c r="K9" s="1" t="s">
        <x:v>70</x:v>
      </x:c>
      <x:c r="L9" s="1" t="s">
        <x:v>71</x:v>
      </x:c>
      <x:c r="M9" s="1" t="str">
        <x:v>确认通过－完全一致</x:v>
      </x:c>
      <x:c r="N9" s="1" t="s">
        <x:v>86</x:v>
      </x:c>
      <x:c r="O9" s="1" t="s">
        <x:v>87</x:v>
      </x:c>
      <x:c r="P9" s="1" t="s">
        <x:v>88</x:v>
      </x:c>
      <x:c r="Q9" s="1" t="s">
        <x:v>101</x:v>
      </x:c>
      <x:c r="R9" s="1" t="str">
        <x:v>自动校验结果已验收。</x:v>
      </x:c>
    </x:row>
    <x:row r="10">
      <x:c r="A10" s="1" t="s">
        <x:v>102</x:v>
      </x:c>
      <x:c r="B10" s="1" t="s">
        <x:v>93</x:v>
      </x:c>
      <x:c r="C10" s="1" t="s">
        <x:v>80</x:v>
      </x:c>
      <x:c r="D10" s="1" t="s">
        <x:v>81</x:v>
      </x:c>
      <x:c r="E10" s="1" t="s">
        <x:v>95</x:v>
      </x:c>
      <x:c r="F10" s="1" t="s">
        <x:v>103</x:v>
      </x:c>
      <x:c r="G10" s="1" t="s">
        <x:v>97</x:v>
      </x:c>
      <x:c r="H10" s="1" t="s">
        <x:v>85</x:v>
      </x:c>
      <x:c r="I10" s="1">
        <x:v>2</x:v>
      </x:c>
      <x:c r="J10" s="1" t="s">
        <x:v>69</x:v>
      </x:c>
      <x:c r="K10" s="1" t="s">
        <x:v>70</x:v>
      </x:c>
      <x:c r="L10" s="1" t="s">
        <x:v>71</x:v>
      </x:c>
      <x:c r="M10" s="1" t="str">
        <x:v>确认通过－完全一致</x:v>
      </x:c>
      <x:c r="N10" s="1" t="s">
        <x:v>86</x:v>
      </x:c>
      <x:c r="O10" s="1" t="s">
        <x:v>87</x:v>
      </x:c>
      <x:c r="P10" s="1" t="s">
        <x:v>88</x:v>
      </x:c>
      <x:c r="Q10" s="1" t="s">
        <x:v>104</x:v>
      </x:c>
      <x:c r="R10" s="1" t="str">
        <x:v>自动校验结果已验收。</x:v>
      </x:c>
    </x:row>
    <x:row r="11">
      <x:c r="A11" s="1" t="s">
        <x:v>105</x:v>
      </x:c>
      <x:c r="B11" s="1" t="s">
        <x:v>93</x:v>
      </x:c>
      <x:c r="C11" s="1" t="s">
        <x:v>80</x:v>
      </x:c>
      <x:c r="D11" s="1" t="s">
        <x:v>81</x:v>
      </x:c>
      <x:c r="E11" s="1" t="s">
        <x:v>95</x:v>
      </x:c>
      <x:c r="F11" s="1" t="s">
        <x:v>106</x:v>
      </x:c>
      <x:c r="G11" s="1" t="s">
        <x:v>97</x:v>
      </x:c>
      <x:c r="H11" s="1" t="s">
        <x:v>85</x:v>
      </x:c>
      <x:c r="I11" s="1">
        <x:v>2</x:v>
      </x:c>
      <x:c r="J11" s="1" t="s">
        <x:v>69</x:v>
      </x:c>
      <x:c r="K11" s="1" t="s">
        <x:v>70</x:v>
      </x:c>
      <x:c r="L11" s="1" t="s">
        <x:v>71</x:v>
      </x:c>
      <x:c r="M11" s="1" t="str">
        <x:v>确认通过－完全一致</x:v>
      </x:c>
      <x:c r="N11" s="1" t="s">
        <x:v>86</x:v>
      </x:c>
      <x:c r="O11" s="1" t="s">
        <x:v>87</x:v>
      </x:c>
      <x:c r="P11" s="1" t="s">
        <x:v>88</x:v>
      </x:c>
      <x:c r="Q11" s="1" t="s">
        <x:v>104</x:v>
      </x:c>
      <x:c r="R11" s="1" t="str">
        <x:v>自动校验结果已验收。</x:v>
      </x:c>
    </x:row>
    <x:row r="12" ht="28">
      <x:c r="A12" s="1" t="s">
        <x:v>107</x:v>
      </x:c>
      <x:c r="B12" s="1" t="s">
        <x:v>108</x:v>
      </x:c>
      <x:c r="C12" s="1" t="s">
        <x:v>109</x:v>
      </x:c>
      <x:c r="D12" s="1" t="s">
        <x:v>110</x:v>
      </x:c>
      <x:c r="E12" s="1" t="s">
        <x:v>111</x:v>
      </x:c>
      <x:c r="F12" s="1" t="s">
        <x:v>112</x:v>
      </x:c>
      <x:c r="G12" s="1" t="s">
        <x:v>97</x:v>
      </x:c>
      <x:c r="H12" s="1" t="s">
        <x:v>85</x:v>
      </x:c>
      <x:c r="I12" s="1">
        <x:v>2</x:v>
      </x:c>
      <x:c r="J12" s="1" t="s">
        <x:v>69</x:v>
      </x:c>
      <x:c r="K12" s="1" t="s">
        <x:v>70</x:v>
      </x:c>
      <x:c r="L12" s="1" t="s">
        <x:v>71</x:v>
      </x:c>
      <x:c r="M12" s="1" t="str">
        <x:v>确认通过－完全一致</x:v>
      </x:c>
      <x:c r="N12" s="1" t="s">
        <x:v>86</x:v>
      </x:c>
      <x:c r="O12" s="1" t="s">
        <x:v>87</x:v>
      </x:c>
      <x:c r="P12" s="1" t="s">
        <x:v>113</x:v>
      </x:c>
      <x:c r="Q12" s="1" t="s">
        <x:v>114</x:v>
      </x:c>
      <x:c r="R12" s="1" t="str">
        <x:v>自动校验结果已验收。</x:v>
      </x:c>
    </x:row>
    <x:row r="13" ht="28">
      <x:c r="A13" s="1" t="s">
        <x:v>115</x:v>
      </x:c>
      <x:c r="B13" s="1" t="s">
        <x:v>108</x:v>
      </x:c>
      <x:c r="C13" s="1" t="s">
        <x:v>109</x:v>
      </x:c>
      <x:c r="D13" s="1" t="s">
        <x:v>110</x:v>
      </x:c>
      <x:c r="E13" s="1" t="s">
        <x:v>111</x:v>
      </x:c>
      <x:c r="F13" s="1" t="s">
        <x:v>116</x:v>
      </x:c>
      <x:c r="G13" s="1" t="s">
        <x:v>97</x:v>
      </x:c>
      <x:c r="H13" s="1" t="s">
        <x:v>85</x:v>
      </x:c>
      <x:c r="I13" s="1">
        <x:v>2</x:v>
      </x:c>
      <x:c r="J13" s="1" t="s">
        <x:v>69</x:v>
      </x:c>
      <x:c r="K13" s="1" t="s">
        <x:v>70</x:v>
      </x:c>
      <x:c r="L13" s="1" t="s">
        <x:v>71</x:v>
      </x:c>
      <x:c r="M13" s="1" t="str">
        <x:v>确认通过－完全一致</x:v>
      </x:c>
      <x:c r="N13" s="1" t="s">
        <x:v>86</x:v>
      </x:c>
      <x:c r="O13" s="1" t="s">
        <x:v>87</x:v>
      </x:c>
      <x:c r="P13" s="1" t="s">
        <x:v>113</x:v>
      </x:c>
      <x:c r="Q13" s="1" t="s">
        <x:v>117</x:v>
      </x:c>
      <x:c r="R13" s="1" t="str">
        <x:v>自动校验结果已验收。</x:v>
      </x:c>
    </x:row>
    <x:row r="14" ht="28">
      <x:c r="A14" s="1" t="s">
        <x:v>118</x:v>
      </x:c>
      <x:c r="B14" s="1" t="s">
        <x:v>108</x:v>
      </x:c>
      <x:c r="C14" s="1" t="s">
        <x:v>109</x:v>
      </x:c>
      <x:c r="D14" s="1" t="s">
        <x:v>110</x:v>
      </x:c>
      <x:c r="E14" s="1" t="s">
        <x:v>111</x:v>
      </x:c>
      <x:c r="F14" s="1" t="s">
        <x:v>119</x:v>
      </x:c>
      <x:c r="G14" s="1" t="s">
        <x:v>97</x:v>
      </x:c>
      <x:c r="H14" s="1" t="s">
        <x:v>85</x:v>
      </x:c>
      <x:c r="I14" s="1">
        <x:v>2</x:v>
      </x:c>
      <x:c r="J14" s="1" t="s">
        <x:v>69</x:v>
      </x:c>
      <x:c r="K14" s="1" t="s">
        <x:v>70</x:v>
      </x:c>
      <x:c r="L14" s="1" t="s">
        <x:v>71</x:v>
      </x:c>
      <x:c r="M14" s="1" t="str">
        <x:v>确认通过－完全一致</x:v>
      </x:c>
      <x:c r="N14" s="1" t="s">
        <x:v>86</x:v>
      </x:c>
      <x:c r="O14" s="1" t="s">
        <x:v>87</x:v>
      </x:c>
      <x:c r="P14" s="1" t="s">
        <x:v>113</x:v>
      </x:c>
      <x:c r="Q14" s="1" t="s">
        <x:v>120</x:v>
      </x:c>
      <x:c r="R14" s="1" t="str">
        <x:v>自动校验结果已验收。</x:v>
      </x:c>
    </x:row>
    <x:row r="15" ht="28">
      <x:c r="A15" s="1" t="s">
        <x:v>121</x:v>
      </x:c>
      <x:c r="B15" s="1" t="s">
        <x:v>122</x:v>
      </x:c>
      <x:c r="C15" s="1" t="s">
        <x:v>17</x:v>
      </x:c>
      <x:c r="D15" s="1" t="s">
        <x:v>123</x:v>
      </x:c>
      <x:c r="E15" s="1" t="s">
        <x:v>124</x:v>
      </x:c>
      <x:c r="F15" s="1" t="s">
        <x:v>125</x:v>
      </x:c>
      <x:c r="G15" s="1" t="s">
        <x:v>97</x:v>
      </x:c>
      <x:c r="H15" s="1" t="s">
        <x:v>85</x:v>
      </x:c>
      <x:c r="I15" s="1">
        <x:v>4</x:v>
      </x:c>
      <x:c r="J15" s="1" t="s">
        <x:v>126</x:v>
      </x:c>
      <x:c r="K15" s="1" t="s">
        <x:v>127</x:v>
      </x:c>
      <x:c r="L15" s="1" t="str">
        <x:v>人工复核完成</x:v>
      </x:c>
      <x:c r="M15" s="1" t="str">
        <x:v>确认原文存在差异并保留</x:v>
      </x:c>
      <x:c r="N15" s="1" t="s">
        <x:v>86</x:v>
      </x:c>
      <x:c r="O15" s="1" t="s">
        <x:v>87</x:v>
      </x:c>
      <x:c r="P15" s="1" t="s">
        <x:v>128</x:v>
      </x:c>
      <x:c r="Q15" s="1" t="s">
        <x:v>129</x:v>
      </x:c>
      <x:c r="R15" s="1" t="str">
        <x:v>用户确认原文输入及公式；差异0.00574万元不能由四位小数显示精度解释，保留为原文披露差异。</x:v>
      </x:c>
    </x:row>
    <x:row r="16" ht="42">
      <x:c r="A16" s="1" t="s">
        <x:v>130</x:v>
      </x:c>
      <x:c r="B16" s="1" t="s">
        <x:v>131</x:v>
      </x:c>
      <x:c r="C16" s="1" t="s">
        <x:v>132</x:v>
      </x:c>
      <x:c r="D16" s="1" t="s">
        <x:v>133</x:v>
      </x:c>
      <x:c r="E16" s="1" t="s">
        <x:v>134</x:v>
      </x:c>
      <x:c r="F16" s="1" t="s">
        <x:v>135</x:v>
      </x:c>
      <x:c r="G16" s="1" t="s">
        <x:v>97</x:v>
      </x:c>
      <x:c r="H16" s="1" t="s">
        <x:v>85</x:v>
      </x:c>
      <x:c r="I16" s="1">
        <x:v>4</x:v>
      </x:c>
      <x:c r="J16" s="1" t="s">
        <x:v>69</x:v>
      </x:c>
      <x:c r="K16" s="1" t="s">
        <x:v>127</x:v>
      </x:c>
      <x:c r="L16" s="1" t="str">
        <x:v>人工复核完成</x:v>
      </x:c>
      <x:c r="M16" s="1" t="str">
        <x:v>确认通过－完全一致</x:v>
      </x:c>
      <x:c r="N16" s="1" t="s">
        <x:v>86</x:v>
      </x:c>
      <x:c r="O16" s="1" t="s">
        <x:v>87</x:v>
      </x:c>
      <x:c r="P16" s="1" t="s">
        <x:v>136</x:v>
      </x:c>
      <x:c r="Q16" s="1" t="s">
        <x:v>137</x:v>
      </x:c>
      <x:c r="R16" s="1" t="str">
        <x:v>用户确认坚持使用原文披露期初注册资本136.9864万元，不以CE-005计算值替换。</x:v>
      </x:c>
    </x:row>
    <x:row r="17" ht="28">
      <x:c r="A17" s="1" t="s">
        <x:v>138</x:v>
      </x:c>
      <x:c r="B17" s="1" t="s">
        <x:v>139</x:v>
      </x:c>
      <x:c r="C17" s="1" t="s">
        <x:v>140</x:v>
      </x:c>
      <x:c r="D17" s="1" t="s">
        <x:v>141</x:v>
      </x:c>
      <x:c r="E17" s="1" t="s">
        <x:v>142</x:v>
      </x:c>
      <x:c r="F17" s="1" t="s">
        <x:v>143</x:v>
      </x:c>
      <x:c r="G17" s="1" t="s">
        <x:v>97</x:v>
      </x:c>
      <x:c r="H17" s="1" t="s">
        <x:v>144</x:v>
      </x:c>
      <x:c r="I17" s="1">
        <x:v>0</x:v>
      </x:c>
      <x:c r="J17" s="1" t="s">
        <x:v>69</x:v>
      </x:c>
      <x:c r="K17" s="1" t="s">
        <x:v>70</x:v>
      </x:c>
      <x:c r="L17" s="1" t="s">
        <x:v>71</x:v>
      </x:c>
      <x:c r="M17" s="1" t="str">
        <x:v>确认通过－完全一致</x:v>
      </x:c>
      <x:c r="N17" s="1" t="s">
        <x:v>145</x:v>
      </x:c>
      <x:c r="O17" s="1" t="s">
        <x:v>146</x:v>
      </x:c>
      <x:c r="P17" s="1" t="s">
        <x:v>147</x:v>
      </x:c>
      <x:c r="Q17" s="1" t="s">
        <x:v>148</x:v>
      </x:c>
      <x:c r="R17" s="1" t="str">
        <x:v>自动校验结果已验收。</x:v>
      </x:c>
    </x:row>
    <x:row r="18" ht="28">
      <x:c r="A18" s="1" t="s">
        <x:v>149</x:v>
      </x:c>
      <x:c r="B18" s="1" t="s">
        <x:v>139</x:v>
      </x:c>
      <x:c r="C18" s="1" t="s">
        <x:v>140</x:v>
      </x:c>
      <x:c r="D18" s="1" t="s">
        <x:v>141</x:v>
      </x:c>
      <x:c r="E18" s="1" t="s">
        <x:v>142</x:v>
      </x:c>
      <x:c r="F18" s="1" t="s">
        <x:v>150</x:v>
      </x:c>
      <x:c r="G18" s="1" t="s">
        <x:v>97</x:v>
      </x:c>
      <x:c r="H18" s="1" t="s">
        <x:v>144</x:v>
      </x:c>
      <x:c r="I18" s="1">
        <x:v>0</x:v>
      </x:c>
      <x:c r="J18" s="1" t="s">
        <x:v>69</x:v>
      </x:c>
      <x:c r="K18" s="1" t="s">
        <x:v>70</x:v>
      </x:c>
      <x:c r="L18" s="1" t="s">
        <x:v>71</x:v>
      </x:c>
      <x:c r="M18" s="1" t="str">
        <x:v>确认通过－完全一致</x:v>
      </x:c>
      <x:c r="N18" s="1" t="s">
        <x:v>145</x:v>
      </x:c>
      <x:c r="O18" s="1" t="s">
        <x:v>146</x:v>
      </x:c>
      <x:c r="P18" s="1" t="s">
        <x:v>147</x:v>
      </x:c>
      <x:c r="Q18" s="1" t="s">
        <x:v>151</x:v>
      </x:c>
      <x:c r="R18" s="1" t="str">
        <x:v>自动校验结果已验收。</x:v>
      </x:c>
    </x:row>
    <x:row r="19" ht="28">
      <x:c r="A19" s="1" t="s">
        <x:v>152</x:v>
      </x:c>
      <x:c r="B19" s="1" t="s">
        <x:v>153</x:v>
      </x:c>
      <x:c r="C19" s="1" t="s">
        <x:v>140</x:v>
      </x:c>
      <x:c r="D19" s="1"/>
      <x:c r="E19" s="1" t="s">
        <x:v>154</x:v>
      </x:c>
      <x:c r="F19" s="1" t="s">
        <x:v>155</x:v>
      </x:c>
      <x:c r="G19" s="1" t="s">
        <x:v>156</x:v>
      </x:c>
      <x:c r="H19" s="1" t="s">
        <x:v>157</x:v>
      </x:c>
      <x:c r="I19" s="1">
        <x:v>6</x:v>
      </x:c>
      <x:c r="J19" s="1" t="s">
        <x:v>69</x:v>
      </x:c>
      <x:c r="K19" s="1" t="s">
        <x:v>70</x:v>
      </x:c>
      <x:c r="L19" s="1" t="s">
        <x:v>71</x:v>
      </x:c>
      <x:c r="M19" s="1" t="str">
        <x:v>确认通过－完全一致</x:v>
      </x:c>
      <x:c r="N19" s="1" t="s">
        <x:v>145</x:v>
      </x:c>
      <x:c r="O19" s="1" t="s">
        <x:v>146</x:v>
      </x:c>
      <x:c r="P19" s="1" t="s">
        <x:v>147</x:v>
      </x:c>
      <x:c r="Q19" s="1" t="s">
        <x:v>158</x:v>
      </x:c>
      <x:c r="R19" s="1" t="str">
        <x:v>自动校验结果已验收。</x:v>
      </x:c>
    </x:row>
    <x:row r="20" ht="28">
      <x:c r="A20" s="1" t="s">
        <x:v>159</x:v>
      </x:c>
      <x:c r="B20" s="1" t="s">
        <x:v>160</x:v>
      </x:c>
      <x:c r="C20" s="1" t="s">
        <x:v>161</x:v>
      </x:c>
      <x:c r="D20" s="1" t="s">
        <x:v>162</x:v>
      </x:c>
      <x:c r="E20" s="1" t="s">
        <x:v>163</x:v>
      </x:c>
      <x:c r="F20" s="1" t="s">
        <x:v>164</x:v>
      </x:c>
      <x:c r="G20" s="1" t="s">
        <x:v>84</x:v>
      </x:c>
      <x:c r="H20" s="1" t="s">
        <x:v>144</x:v>
      </x:c>
      <x:c r="I20" s="1">
        <x:v>0</x:v>
      </x:c>
      <x:c r="J20" s="1" t="s">
        <x:v>69</x:v>
      </x:c>
      <x:c r="K20" s="1" t="s">
        <x:v>70</x:v>
      </x:c>
      <x:c r="L20" s="1" t="s">
        <x:v>71</x:v>
      </x:c>
      <x:c r="M20" s="1" t="str">
        <x:v>确认通过－完全一致</x:v>
      </x:c>
      <x:c r="N20" s="1" t="s">
        <x:v>165</x:v>
      </x:c>
      <x:c r="O20" s="1" t="s">
        <x:v>166</x:v>
      </x:c>
      <x:c r="P20" s="1" t="s">
        <x:v>167</x:v>
      </x:c>
      <x:c r="Q20" s="1" t="s">
        <x:v>168</x:v>
      </x:c>
      <x:c r="R20" s="1" t="str">
        <x:v>自动校验结果已验收。</x:v>
      </x:c>
    </x:row>
    <x:row r="21" ht="28">
      <x:c r="A21" s="1" t="s">
        <x:v>169</x:v>
      </x:c>
      <x:c r="B21" s="1" t="s">
        <x:v>160</x:v>
      </x:c>
      <x:c r="C21" s="1" t="s">
        <x:v>161</x:v>
      </x:c>
      <x:c r="D21" s="1" t="s">
        <x:v>162</x:v>
      </x:c>
      <x:c r="E21" s="1" t="s">
        <x:v>163</x:v>
      </x:c>
      <x:c r="F21" s="1" t="s">
        <x:v>170</x:v>
      </x:c>
      <x:c r="G21" s="1" t="s">
        <x:v>84</x:v>
      </x:c>
      <x:c r="H21" s="1" t="s">
        <x:v>144</x:v>
      </x:c>
      <x:c r="I21" s="1">
        <x:v>0</x:v>
      </x:c>
      <x:c r="J21" s="1" t="s">
        <x:v>69</x:v>
      </x:c>
      <x:c r="K21" s="1" t="s">
        <x:v>70</x:v>
      </x:c>
      <x:c r="L21" s="1" t="s">
        <x:v>71</x:v>
      </x:c>
      <x:c r="M21" s="1" t="str">
        <x:v>确认通过－完全一致</x:v>
      </x:c>
      <x:c r="N21" s="1" t="s">
        <x:v>165</x:v>
      </x:c>
      <x:c r="O21" s="1" t="s">
        <x:v>166</x:v>
      </x:c>
      <x:c r="P21" s="1" t="s">
        <x:v>167</x:v>
      </x:c>
      <x:c r="Q21" s="1" t="s">
        <x:v>168</x:v>
      </x:c>
      <x:c r="R21" s="1" t="str">
        <x:v>自动校验结果已验收。</x:v>
      </x:c>
    </x:row>
    <x:row r="22" ht="28">
      <x:c r="A22" s="1" t="s">
        <x:v>171</x:v>
      </x:c>
      <x:c r="B22" s="1" t="s">
        <x:v>160</x:v>
      </x:c>
      <x:c r="C22" s="1" t="s">
        <x:v>161</x:v>
      </x:c>
      <x:c r="D22" s="1" t="s">
        <x:v>162</x:v>
      </x:c>
      <x:c r="E22" s="1" t="s">
        <x:v>163</x:v>
      </x:c>
      <x:c r="F22" s="1" t="s">
        <x:v>172</x:v>
      </x:c>
      <x:c r="G22" s="1" t="s">
        <x:v>84</x:v>
      </x:c>
      <x:c r="H22" s="1" t="s">
        <x:v>144</x:v>
      </x:c>
      <x:c r="I22" s="1">
        <x:v>0</x:v>
      </x:c>
      <x:c r="J22" s="1" t="s">
        <x:v>69</x:v>
      </x:c>
      <x:c r="K22" s="1" t="s">
        <x:v>70</x:v>
      </x:c>
      <x:c r="L22" s="1" t="s">
        <x:v>71</x:v>
      </x:c>
      <x:c r="M22" s="1" t="str">
        <x:v>确认通过－完全一致</x:v>
      </x:c>
      <x:c r="N22" s="1" t="s">
        <x:v>165</x:v>
      </x:c>
      <x:c r="O22" s="1" t="s">
        <x:v>166</x:v>
      </x:c>
      <x:c r="P22" s="1" t="s">
        <x:v>167</x:v>
      </x:c>
      <x:c r="Q22" s="1" t="s">
        <x:v>168</x:v>
      </x:c>
      <x:c r="R22" s="1" t="str">
        <x:v>自动校验结果已验收。</x:v>
      </x:c>
    </x:row>
    <x:row r="23" ht="28">
      <x:c r="A23" s="1" t="s">
        <x:v>173</x:v>
      </x:c>
      <x:c r="B23" s="1" t="s">
        <x:v>160</x:v>
      </x:c>
      <x:c r="C23" s="1" t="s">
        <x:v>161</x:v>
      </x:c>
      <x:c r="D23" s="1" t="s">
        <x:v>162</x:v>
      </x:c>
      <x:c r="E23" s="1" t="s">
        <x:v>163</x:v>
      </x:c>
      <x:c r="F23" s="1" t="s">
        <x:v>174</x:v>
      </x:c>
      <x:c r="G23" s="1" t="s">
        <x:v>84</x:v>
      </x:c>
      <x:c r="H23" s="1" t="s">
        <x:v>144</x:v>
      </x:c>
      <x:c r="I23" s="1">
        <x:v>0</x:v>
      </x:c>
      <x:c r="J23" s="1" t="s">
        <x:v>69</x:v>
      </x:c>
      <x:c r="K23" s="1" t="s">
        <x:v>70</x:v>
      </x:c>
      <x:c r="L23" s="1" t="s">
        <x:v>71</x:v>
      </x:c>
      <x:c r="M23" s="1" t="str">
        <x:v>确认通过－完全一致</x:v>
      </x:c>
      <x:c r="N23" s="1" t="s">
        <x:v>165</x:v>
      </x:c>
      <x:c r="O23" s="1" t="s">
        <x:v>166</x:v>
      </x:c>
      <x:c r="P23" s="1" t="s">
        <x:v>167</x:v>
      </x:c>
      <x:c r="Q23" s="1" t="s">
        <x:v>168</x:v>
      </x:c>
      <x:c r="R23" s="1" t="str">
        <x:v>自动校验结果已验收。</x:v>
      </x:c>
    </x:row>
    <x:row r="24" ht="28">
      <x:c r="A24" s="1" t="s">
        <x:v>175</x:v>
      </x:c>
      <x:c r="B24" s="1" t="s">
        <x:v>160</x:v>
      </x:c>
      <x:c r="C24" s="1" t="s">
        <x:v>161</x:v>
      </x:c>
      <x:c r="D24" s="1" t="s">
        <x:v>162</x:v>
      </x:c>
      <x:c r="E24" s="1" t="s">
        <x:v>163</x:v>
      </x:c>
      <x:c r="F24" s="1" t="s">
        <x:v>176</x:v>
      </x:c>
      <x:c r="G24" s="1" t="s">
        <x:v>84</x:v>
      </x:c>
      <x:c r="H24" s="1" t="s">
        <x:v>144</x:v>
      </x:c>
      <x:c r="I24" s="1">
        <x:v>0</x:v>
      </x:c>
      <x:c r="J24" s="1" t="s">
        <x:v>69</x:v>
      </x:c>
      <x:c r="K24" s="1" t="s">
        <x:v>70</x:v>
      </x:c>
      <x:c r="L24" s="1" t="s">
        <x:v>71</x:v>
      </x:c>
      <x:c r="M24" s="1" t="str">
        <x:v>确认通过－完全一致</x:v>
      </x:c>
      <x:c r="N24" s="1" t="s">
        <x:v>165</x:v>
      </x:c>
      <x:c r="O24" s="1" t="s">
        <x:v>166</x:v>
      </x:c>
      <x:c r="P24" s="1" t="s">
        <x:v>167</x:v>
      </x:c>
      <x:c r="Q24" s="1" t="s">
        <x:v>168</x:v>
      </x:c>
      <x:c r="R24" s="1" t="str">
        <x:v>自动校验结果已验收。</x:v>
      </x:c>
    </x:row>
    <x:row r="25" ht="28">
      <x:c r="A25" s="1" t="s">
        <x:v>177</x:v>
      </x:c>
      <x:c r="B25" s="1" t="s">
        <x:v>160</x:v>
      </x:c>
      <x:c r="C25" s="1" t="s">
        <x:v>161</x:v>
      </x:c>
      <x:c r="D25" s="1" t="s">
        <x:v>162</x:v>
      </x:c>
      <x:c r="E25" s="1" t="s">
        <x:v>163</x:v>
      </x:c>
      <x:c r="F25" s="1" t="s">
        <x:v>178</x:v>
      </x:c>
      <x:c r="G25" s="1" t="s">
        <x:v>84</x:v>
      </x:c>
      <x:c r="H25" s="1" t="s">
        <x:v>144</x:v>
      </x:c>
      <x:c r="I25" s="1">
        <x:v>0</x:v>
      </x:c>
      <x:c r="J25" s="1" t="s">
        <x:v>69</x:v>
      </x:c>
      <x:c r="K25" s="1" t="s">
        <x:v>70</x:v>
      </x:c>
      <x:c r="L25" s="1" t="s">
        <x:v>71</x:v>
      </x:c>
      <x:c r="M25" s="1" t="str">
        <x:v>确认通过－完全一致</x:v>
      </x:c>
      <x:c r="N25" s="1" t="s">
        <x:v>165</x:v>
      </x:c>
      <x:c r="O25" s="1" t="s">
        <x:v>166</x:v>
      </x:c>
      <x:c r="P25" s="1" t="s">
        <x:v>167</x:v>
      </x:c>
      <x:c r="Q25" s="1" t="s">
        <x:v>168</x:v>
      </x:c>
      <x:c r="R25" s="1" t="str">
        <x:v>自动校验结果已验收。</x:v>
      </x:c>
    </x:row>
    <x:row r="26" ht="28">
      <x:c r="A26" s="1" t="s">
        <x:v>179</x:v>
      </x:c>
      <x:c r="B26" s="1" t="s">
        <x:v>160</x:v>
      </x:c>
      <x:c r="C26" s="1" t="s">
        <x:v>161</x:v>
      </x:c>
      <x:c r="D26" s="1" t="s">
        <x:v>162</x:v>
      </x:c>
      <x:c r="E26" s="1" t="s">
        <x:v>180</x:v>
      </x:c>
      <x:c r="F26" s="1" t="s">
        <x:v>181</x:v>
      </x:c>
      <x:c r="G26" s="1" t="s">
        <x:v>97</x:v>
      </x:c>
      <x:c r="H26" s="1" t="s">
        <x:v>144</x:v>
      </x:c>
      <x:c r="I26" s="1">
        <x:v>0</x:v>
      </x:c>
      <x:c r="J26" s="1" t="s">
        <x:v>69</x:v>
      </x:c>
      <x:c r="K26" s="1" t="s">
        <x:v>70</x:v>
      </x:c>
      <x:c r="L26" s="1" t="s">
        <x:v>71</x:v>
      </x:c>
      <x:c r="M26" s="1" t="str">
        <x:v>确认通过－完全一致</x:v>
      </x:c>
      <x:c r="N26" s="1" t="s">
        <x:v>165</x:v>
      </x:c>
      <x:c r="O26" s="1" t="s">
        <x:v>166</x:v>
      </x:c>
      <x:c r="P26" s="1" t="s">
        <x:v>167</x:v>
      </x:c>
      <x:c r="Q26" s="1" t="s">
        <x:v>182</x:v>
      </x:c>
      <x:c r="R26" s="1" t="str">
        <x:v>自动校验结果已验收。</x:v>
      </x:c>
    </x:row>
    <x:row r="27" ht="28">
      <x:c r="A27" s="1" t="s">
        <x:v>183</x:v>
      </x:c>
      <x:c r="B27" s="1" t="s">
        <x:v>184</x:v>
      </x:c>
      <x:c r="C27" s="1" t="s">
        <x:v>161</x:v>
      </x:c>
      <x:c r="D27" s="1" t="s">
        <x:v>162</x:v>
      </x:c>
      <x:c r="E27" s="1" t="s">
        <x:v>163</x:v>
      </x:c>
      <x:c r="F27" s="1" t="s">
        <x:v>185</x:v>
      </x:c>
      <x:c r="G27" s="1" t="s">
        <x:v>84</x:v>
      </x:c>
      <x:c r="H27" s="1" t="s">
        <x:v>144</x:v>
      </x:c>
      <x:c r="I27" s="1">
        <x:v>0</x:v>
      </x:c>
      <x:c r="J27" s="1" t="s">
        <x:v>69</x:v>
      </x:c>
      <x:c r="K27" s="1" t="s">
        <x:v>70</x:v>
      </x:c>
      <x:c r="L27" s="1" t="s">
        <x:v>71</x:v>
      </x:c>
      <x:c r="M27" s="1" t="str">
        <x:v>确认通过－完全一致</x:v>
      </x:c>
      <x:c r="N27" s="1" t="s">
        <x:v>165</x:v>
      </x:c>
      <x:c r="O27" s="1" t="s">
        <x:v>166</x:v>
      </x:c>
      <x:c r="P27" s="1" t="s">
        <x:v>167</x:v>
      </x:c>
      <x:c r="Q27" s="1" t="s">
        <x:v>186</x:v>
      </x:c>
      <x:c r="R27" s="1" t="str">
        <x:v>自动校验结果已验收。</x:v>
      </x:c>
    </x:row>
    <x:row r="28" ht="28">
      <x:c r="A28" s="1" t="s">
        <x:v>187</x:v>
      </x:c>
      <x:c r="B28" s="1" t="s">
        <x:v>184</x:v>
      </x:c>
      <x:c r="C28" s="1" t="s">
        <x:v>161</x:v>
      </x:c>
      <x:c r="D28" s="1" t="s">
        <x:v>162</x:v>
      </x:c>
      <x:c r="E28" s="1" t="s">
        <x:v>163</x:v>
      </x:c>
      <x:c r="F28" s="1" t="s">
        <x:v>188</x:v>
      </x:c>
      <x:c r="G28" s="1" t="s">
        <x:v>84</x:v>
      </x:c>
      <x:c r="H28" s="1" t="s">
        <x:v>144</x:v>
      </x:c>
      <x:c r="I28" s="1">
        <x:v>0</x:v>
      </x:c>
      <x:c r="J28" s="1" t="s">
        <x:v>69</x:v>
      </x:c>
      <x:c r="K28" s="1" t="s">
        <x:v>70</x:v>
      </x:c>
      <x:c r="L28" s="1" t="s">
        <x:v>71</x:v>
      </x:c>
      <x:c r="M28" s="1" t="str">
        <x:v>确认通过－完全一致</x:v>
      </x:c>
      <x:c r="N28" s="1" t="s">
        <x:v>165</x:v>
      </x:c>
      <x:c r="O28" s="1" t="s">
        <x:v>166</x:v>
      </x:c>
      <x:c r="P28" s="1" t="s">
        <x:v>167</x:v>
      </x:c>
      <x:c r="Q28" s="1" t="s">
        <x:v>186</x:v>
      </x:c>
      <x:c r="R28" s="1" t="str">
        <x:v>自动校验结果已验收。</x:v>
      </x:c>
    </x:row>
    <x:row r="29" ht="28">
      <x:c r="A29" s="1" t="s">
        <x:v>189</x:v>
      </x:c>
      <x:c r="B29" s="1" t="s">
        <x:v>184</x:v>
      </x:c>
      <x:c r="C29" s="1" t="s">
        <x:v>161</x:v>
      </x:c>
      <x:c r="D29" s="1" t="s">
        <x:v>162</x:v>
      </x:c>
      <x:c r="E29" s="1" t="s">
        <x:v>163</x:v>
      </x:c>
      <x:c r="F29" s="1" t="s">
        <x:v>190</x:v>
      </x:c>
      <x:c r="G29" s="1" t="s">
        <x:v>84</x:v>
      </x:c>
      <x:c r="H29" s="1" t="s">
        <x:v>144</x:v>
      </x:c>
      <x:c r="I29" s="1">
        <x:v>0</x:v>
      </x:c>
      <x:c r="J29" s="1" t="s">
        <x:v>69</x:v>
      </x:c>
      <x:c r="K29" s="1" t="s">
        <x:v>70</x:v>
      </x:c>
      <x:c r="L29" s="1" t="s">
        <x:v>71</x:v>
      </x:c>
      <x:c r="M29" s="1" t="str">
        <x:v>确认通过－完全一致</x:v>
      </x:c>
      <x:c r="N29" s="1" t="s">
        <x:v>165</x:v>
      </x:c>
      <x:c r="O29" s="1" t="s">
        <x:v>166</x:v>
      </x:c>
      <x:c r="P29" s="1" t="s">
        <x:v>167</x:v>
      </x:c>
      <x:c r="Q29" s="1" t="s">
        <x:v>186</x:v>
      </x:c>
      <x:c r="R29" s="1" t="str">
        <x:v>自动校验结果已验收。</x:v>
      </x:c>
    </x:row>
    <x:row r="30" ht="28">
      <x:c r="A30" s="1" t="s">
        <x:v>191</x:v>
      </x:c>
      <x:c r="B30" s="1" t="s">
        <x:v>184</x:v>
      </x:c>
      <x:c r="C30" s="1" t="s">
        <x:v>161</x:v>
      </x:c>
      <x:c r="D30" s="1" t="s">
        <x:v>162</x:v>
      </x:c>
      <x:c r="E30" s="1" t="s">
        <x:v>163</x:v>
      </x:c>
      <x:c r="F30" s="1" t="s">
        <x:v>192</x:v>
      </x:c>
      <x:c r="G30" s="1" t="s">
        <x:v>84</x:v>
      </x:c>
      <x:c r="H30" s="1" t="s">
        <x:v>144</x:v>
      </x:c>
      <x:c r="I30" s="1">
        <x:v>0</x:v>
      </x:c>
      <x:c r="J30" s="1" t="s">
        <x:v>69</x:v>
      </x:c>
      <x:c r="K30" s="1" t="s">
        <x:v>70</x:v>
      </x:c>
      <x:c r="L30" s="1" t="s">
        <x:v>71</x:v>
      </x:c>
      <x:c r="M30" s="1" t="str">
        <x:v>确认通过－完全一致</x:v>
      </x:c>
      <x:c r="N30" s="1" t="s">
        <x:v>165</x:v>
      </x:c>
      <x:c r="O30" s="1" t="s">
        <x:v>166</x:v>
      </x:c>
      <x:c r="P30" s="1" t="s">
        <x:v>167</x:v>
      </x:c>
      <x:c r="Q30" s="1" t="s">
        <x:v>186</x:v>
      </x:c>
      <x:c r="R30" s="1" t="str">
        <x:v>自动校验结果已验收。</x:v>
      </x:c>
    </x:row>
    <x:row r="31" ht="28">
      <x:c r="A31" s="1" t="s">
        <x:v>193</x:v>
      </x:c>
      <x:c r="B31" s="1" t="s">
        <x:v>184</x:v>
      </x:c>
      <x:c r="C31" s="1" t="s">
        <x:v>161</x:v>
      </x:c>
      <x:c r="D31" s="1" t="s">
        <x:v>162</x:v>
      </x:c>
      <x:c r="E31" s="1" t="s">
        <x:v>180</x:v>
      </x:c>
      <x:c r="F31" s="1" t="s">
        <x:v>194</x:v>
      </x:c>
      <x:c r="G31" s="1" t="s">
        <x:v>97</x:v>
      </x:c>
      <x:c r="H31" s="1" t="s">
        <x:v>144</x:v>
      </x:c>
      <x:c r="I31" s="1">
        <x:v>0</x:v>
      </x:c>
      <x:c r="J31" s="1" t="s">
        <x:v>69</x:v>
      </x:c>
      <x:c r="K31" s="1" t="s">
        <x:v>70</x:v>
      </x:c>
      <x:c r="L31" s="1" t="s">
        <x:v>71</x:v>
      </x:c>
      <x:c r="M31" s="1" t="str">
        <x:v>确认通过－完全一致</x:v>
      </x:c>
      <x:c r="N31" s="1" t="s">
        <x:v>165</x:v>
      </x:c>
      <x:c r="O31" s="1" t="s">
        <x:v>166</x:v>
      </x:c>
      <x:c r="P31" s="1" t="s">
        <x:v>167</x:v>
      </x:c>
      <x:c r="Q31" s="1" t="s">
        <x:v>182</x:v>
      </x:c>
      <x:c r="R31" s="1" t="str">
        <x:v>自动校验结果已验收。</x:v>
      </x:c>
    </x:row>
    <x:row r="32" ht="28">
      <x:c r="A32" s="1" t="s">
        <x:v>195</x:v>
      </x:c>
      <x:c r="B32" s="1" t="s">
        <x:v>196</x:v>
      </x:c>
      <x:c r="C32" s="1" t="s">
        <x:v>161</x:v>
      </x:c>
      <x:c r="D32" s="1" t="s">
        <x:v>162</x:v>
      </x:c>
      <x:c r="E32" s="1" t="s">
        <x:v>197</x:v>
      </x:c>
      <x:c r="F32" s="1" t="s">
        <x:v>198</x:v>
      </x:c>
      <x:c r="G32" s="1" t="s">
        <x:v>97</x:v>
      </x:c>
      <x:c r="H32" s="1" t="s">
        <x:v>144</x:v>
      </x:c>
      <x:c r="I32" s="1">
        <x:v>0</x:v>
      </x:c>
      <x:c r="J32" s="1" t="s">
        <x:v>69</x:v>
      </x:c>
      <x:c r="K32" s="1" t="s">
        <x:v>70</x:v>
      </x:c>
      <x:c r="L32" s="1" t="s">
        <x:v>71</x:v>
      </x:c>
      <x:c r="M32" s="1" t="str">
        <x:v>确认通过－完全一致</x:v>
      </x:c>
      <x:c r="N32" s="1" t="s">
        <x:v>165</x:v>
      </x:c>
      <x:c r="O32" s="1" t="s">
        <x:v>166</x:v>
      </x:c>
      <x:c r="P32" s="1" t="s">
        <x:v>167</x:v>
      </x:c>
      <x:c r="Q32" s="1" t="s">
        <x:v>199</x:v>
      </x:c>
      <x:c r="R32" s="1" t="str">
        <x:v>自动校验结果已验收。</x:v>
      </x:c>
    </x:row>
    <x:row r="33" ht="28">
      <x:c r="A33" s="1" t="s">
        <x:v>200</x:v>
      </x:c>
      <x:c r="B33" s="1" t="s">
        <x:v>196</x:v>
      </x:c>
      <x:c r="C33" s="1" t="s">
        <x:v>161</x:v>
      </x:c>
      <x:c r="D33" s="1" t="s">
        <x:v>162</x:v>
      </x:c>
      <x:c r="E33" s="1" t="s">
        <x:v>201</x:v>
      </x:c>
      <x:c r="F33" s="1" t="s">
        <x:v>202</x:v>
      </x:c>
      <x:c r="G33" s="1" t="s">
        <x:v>97</x:v>
      </x:c>
      <x:c r="H33" s="1" t="s">
        <x:v>85</x:v>
      </x:c>
      <x:c r="I33" s="1">
        <x:v>4</x:v>
      </x:c>
      <x:c r="J33" s="1" t="s">
        <x:v>69</x:v>
      </x:c>
      <x:c r="K33" s="1" t="s">
        <x:v>70</x:v>
      </x:c>
      <x:c r="L33" s="1" t="s">
        <x:v>71</x:v>
      </x:c>
      <x:c r="M33" s="1" t="str">
        <x:v>确认通过－完全一致</x:v>
      </x:c>
      <x:c r="N33" s="1" t="s">
        <x:v>165</x:v>
      </x:c>
      <x:c r="O33" s="1" t="s">
        <x:v>166</x:v>
      </x:c>
      <x:c r="P33" s="1" t="s">
        <x:v>167</x:v>
      </x:c>
      <x:c r="Q33" s="1" t="s">
        <x:v>203</x:v>
      </x:c>
      <x:c r="R33" s="1" t="str">
        <x:v>自动校验结果已验收。</x:v>
      </x:c>
    </x:row>
    <x:row r="34" ht="28">
      <x:c r="A34" s="1" t="s">
        <x:v>204</x:v>
      </x:c>
      <x:c r="B34" s="1" t="s">
        <x:v>205</x:v>
      </x:c>
      <x:c r="C34" s="1" t="s">
        <x:v>161</x:v>
      </x:c>
      <x:c r="D34" s="1"/>
      <x:c r="E34" s="1" t="s">
        <x:v>154</x:v>
      </x:c>
      <x:c r="F34" s="1" t="s">
        <x:v>206</x:v>
      </x:c>
      <x:c r="G34" s="1" t="s">
        <x:v>156</x:v>
      </x:c>
      <x:c r="H34" s="1" t="s">
        <x:v>157</x:v>
      </x:c>
      <x:c r="I34" s="1">
        <x:v>2</x:v>
      </x:c>
      <x:c r="J34" s="1" t="s">
        <x:v>69</x:v>
      </x:c>
      <x:c r="K34" s="1" t="s">
        <x:v>127</x:v>
      </x:c>
      <x:c r="L34" s="1" t="str">
        <x:v>人工复核完成</x:v>
      </x:c>
      <x:c r="M34" s="1" t="str">
        <x:v>确认通过－舍入一致</x:v>
      </x:c>
      <x:c r="N34" s="1" t="s">
        <x:v>165</x:v>
      </x:c>
      <x:c r="O34" s="1" t="s">
        <x:v>166</x:v>
      </x:c>
      <x:c r="P34" s="1" t="s">
        <x:v>167</x:v>
      </x:c>
      <x:c r="Q34" s="1" t="s">
        <x:v>207</x:v>
      </x:c>
      <x:c r="R34" s="1" t="str">
        <x:v>用户确认原文为约数，按约数/舍入一致处理。</x:v>
      </x:c>
    </x:row>
    <x:row r="35" ht="28">
      <x:c r="A35" s="1" t="s">
        <x:v>208</x:v>
      </x:c>
      <x:c r="B35" s="1" t="s">
        <x:v>205</x:v>
      </x:c>
      <x:c r="C35" s="1" t="s">
        <x:v>161</x:v>
      </x:c>
      <x:c r="D35" s="1"/>
      <x:c r="E35" s="1" t="s">
        <x:v>154</x:v>
      </x:c>
      <x:c r="F35" s="1" t="s">
        <x:v>209</x:v>
      </x:c>
      <x:c r="G35" s="1" t="s">
        <x:v>156</x:v>
      </x:c>
      <x:c r="H35" s="1" t="s">
        <x:v>157</x:v>
      </x:c>
      <x:c r="I35" s="1">
        <x:v>2</x:v>
      </x:c>
      <x:c r="J35" s="1" t="s">
        <x:v>69</x:v>
      </x:c>
      <x:c r="K35" s="1" t="s">
        <x:v>127</x:v>
      </x:c>
      <x:c r="L35" s="1" t="str">
        <x:v>人工复核完成</x:v>
      </x:c>
      <x:c r="M35" s="1" t="str">
        <x:v>确认通过－舍入一致</x:v>
      </x:c>
      <x:c r="N35" s="1" t="s">
        <x:v>165</x:v>
      </x:c>
      <x:c r="O35" s="1" t="s">
        <x:v>166</x:v>
      </x:c>
      <x:c r="P35" s="1" t="s">
        <x:v>167</x:v>
      </x:c>
      <x:c r="Q35" s="1" t="s">
        <x:v>207</x:v>
      </x:c>
      <x:c r="R35" s="1" t="str">
        <x:v>用户确认原文为约数，按约数/舍入一致处理。</x:v>
      </x:c>
    </x:row>
    <x:row r="36" ht="28">
      <x:c r="A36" s="1" t="s">
        <x:v>210</x:v>
      </x:c>
      <x:c r="B36" s="1" t="s">
        <x:v>205</x:v>
      </x:c>
      <x:c r="C36" s="1" t="s">
        <x:v>161</x:v>
      </x:c>
      <x:c r="D36" s="1"/>
      <x:c r="E36" s="1" t="s">
        <x:v>154</x:v>
      </x:c>
      <x:c r="F36" s="1" t="s">
        <x:v>211</x:v>
      </x:c>
      <x:c r="G36" s="1" t="s">
        <x:v>156</x:v>
      </x:c>
      <x:c r="H36" s="1" t="s">
        <x:v>157</x:v>
      </x:c>
      <x:c r="I36" s="1">
        <x:v>2</x:v>
      </x:c>
      <x:c r="J36" s="1" t="s">
        <x:v>69</x:v>
      </x:c>
      <x:c r="K36" s="1" t="s">
        <x:v>127</x:v>
      </x:c>
      <x:c r="L36" s="1" t="str">
        <x:v>人工复核完成</x:v>
      </x:c>
      <x:c r="M36" s="1" t="str">
        <x:v>确认通过－舍入一致</x:v>
      </x:c>
      <x:c r="N36" s="1" t="s">
        <x:v>165</x:v>
      </x:c>
      <x:c r="O36" s="1" t="s">
        <x:v>166</x:v>
      </x:c>
      <x:c r="P36" s="1" t="s">
        <x:v>167</x:v>
      </x:c>
      <x:c r="Q36" s="1" t="s">
        <x:v>207</x:v>
      </x:c>
      <x:c r="R36" s="1" t="str">
        <x:v>用户确认原文为约数，按约数/舍入一致处理。</x:v>
      </x:c>
    </x:row>
    <x:row r="37" ht="28">
      <x:c r="A37" s="1" t="s">
        <x:v>212</x:v>
      </x:c>
      <x:c r="B37" s="1" t="s">
        <x:v>205</x:v>
      </x:c>
      <x:c r="C37" s="1" t="s">
        <x:v>161</x:v>
      </x:c>
      <x:c r="D37" s="1"/>
      <x:c r="E37" s="1" t="s">
        <x:v>154</x:v>
      </x:c>
      <x:c r="F37" s="1" t="s">
        <x:v>213</x:v>
      </x:c>
      <x:c r="G37" s="1" t="s">
        <x:v>156</x:v>
      </x:c>
      <x:c r="H37" s="1" t="s">
        <x:v>157</x:v>
      </x:c>
      <x:c r="I37" s="1">
        <x:v>2</x:v>
      </x:c>
      <x:c r="J37" s="1" t="s">
        <x:v>69</x:v>
      </x:c>
      <x:c r="K37" s="1" t="s">
        <x:v>127</x:v>
      </x:c>
      <x:c r="L37" s="1" t="str">
        <x:v>人工复核完成</x:v>
      </x:c>
      <x:c r="M37" s="1" t="str">
        <x:v>确认通过－舍入一致</x:v>
      </x:c>
      <x:c r="N37" s="1" t="s">
        <x:v>165</x:v>
      </x:c>
      <x:c r="O37" s="1" t="s">
        <x:v>166</x:v>
      </x:c>
      <x:c r="P37" s="1" t="s">
        <x:v>167</x:v>
      </x:c>
      <x:c r="Q37" s="1" t="s">
        <x:v>207</x:v>
      </x:c>
      <x:c r="R37" s="1" t="str">
        <x:v>用户确认原文为约数，按约数/舍入一致处理。</x:v>
      </x:c>
    </x:row>
    <x:row r="38" ht="28">
      <x:c r="A38" s="1" t="s">
        <x:v>214</x:v>
      </x:c>
      <x:c r="B38" s="1" t="s">
        <x:v>215</x:v>
      </x:c>
      <x:c r="C38" s="1" t="s">
        <x:v>216</x:v>
      </x:c>
      <x:c r="D38" s="1" t="s">
        <x:v>217</x:v>
      </x:c>
      <x:c r="E38" s="1" t="s">
        <x:v>142</x:v>
      </x:c>
      <x:c r="F38" s="1" t="s">
        <x:v>218</x:v>
      </x:c>
      <x:c r="G38" s="1" t="s">
        <x:v>97</x:v>
      </x:c>
      <x:c r="H38" s="1" t="s">
        <x:v>144</x:v>
      </x:c>
      <x:c r="I38" s="1">
        <x:v>0</x:v>
      </x:c>
      <x:c r="J38" s="1" t="s">
        <x:v>69</x:v>
      </x:c>
      <x:c r="K38" s="1" t="s">
        <x:v>70</x:v>
      </x:c>
      <x:c r="L38" s="1" t="s">
        <x:v>71</x:v>
      </x:c>
      <x:c r="M38" s="1" t="str">
        <x:v>确认通过－完全一致</x:v>
      </x:c>
      <x:c r="N38" s="1" t="s">
        <x:v>219</x:v>
      </x:c>
      <x:c r="O38" s="1" t="s">
        <x:v>220</x:v>
      </x:c>
      <x:c r="P38" s="1" t="s">
        <x:v>221</x:v>
      </x:c>
      <x:c r="Q38" s="1" t="s">
        <x:v>222</x:v>
      </x:c>
      <x:c r="R38" s="1" t="str">
        <x:v>自动校验结果已验收。</x:v>
      </x:c>
    </x:row>
    <x:row r="39" ht="28">
      <x:c r="A39" s="1" t="s">
        <x:v>223</x:v>
      </x:c>
      <x:c r="B39" s="1" t="s">
        <x:v>215</x:v>
      </x:c>
      <x:c r="C39" s="1" t="s">
        <x:v>216</x:v>
      </x:c>
      <x:c r="D39" s="1" t="s">
        <x:v>217</x:v>
      </x:c>
      <x:c r="E39" s="1" t="s">
        <x:v>142</x:v>
      </x:c>
      <x:c r="F39" s="1" t="s">
        <x:v>224</x:v>
      </x:c>
      <x:c r="G39" s="1" t="s">
        <x:v>97</x:v>
      </x:c>
      <x:c r="H39" s="1" t="s">
        <x:v>144</x:v>
      </x:c>
      <x:c r="I39" s="1">
        <x:v>0</x:v>
      </x:c>
      <x:c r="J39" s="1" t="s">
        <x:v>69</x:v>
      </x:c>
      <x:c r="K39" s="1" t="s">
        <x:v>70</x:v>
      </x:c>
      <x:c r="L39" s="1" t="s">
        <x:v>71</x:v>
      </x:c>
      <x:c r="M39" s="1" t="str">
        <x:v>确认通过－完全一致</x:v>
      </x:c>
      <x:c r="N39" s="1" t="s">
        <x:v>219</x:v>
      </x:c>
      <x:c r="O39" s="1" t="s">
        <x:v>220</x:v>
      </x:c>
      <x:c r="P39" s="1" t="s">
        <x:v>221</x:v>
      </x:c>
      <x:c r="Q39" s="1"/>
      <x:c r="R39" s="1" t="str">
        <x:v>自动校验结果已验收。</x:v>
      </x:c>
    </x:row>
    <x:row r="40" ht="28">
      <x:c r="A40" s="1" t="s">
        <x:v>225</x:v>
      </x:c>
      <x:c r="B40" s="1" t="s">
        <x:v>215</x:v>
      </x:c>
      <x:c r="C40" s="1" t="s">
        <x:v>216</x:v>
      </x:c>
      <x:c r="D40" s="1" t="s">
        <x:v>217</x:v>
      </x:c>
      <x:c r="E40" s="1" t="s">
        <x:v>142</x:v>
      </x:c>
      <x:c r="F40" s="1" t="s">
        <x:v>226</x:v>
      </x:c>
      <x:c r="G40" s="1" t="s">
        <x:v>97</x:v>
      </x:c>
      <x:c r="H40" s="1" t="s">
        <x:v>144</x:v>
      </x:c>
      <x:c r="I40" s="1">
        <x:v>0</x:v>
      </x:c>
      <x:c r="J40" s="1" t="s">
        <x:v>69</x:v>
      </x:c>
      <x:c r="K40" s="1" t="s">
        <x:v>70</x:v>
      </x:c>
      <x:c r="L40" s="1" t="s">
        <x:v>71</x:v>
      </x:c>
      <x:c r="M40" s="1" t="str">
        <x:v>确认通过－完全一致</x:v>
      </x:c>
      <x:c r="N40" s="1" t="s">
        <x:v>219</x:v>
      </x:c>
      <x:c r="O40" s="1" t="s">
        <x:v>220</x:v>
      </x:c>
      <x:c r="P40" s="1" t="s">
        <x:v>221</x:v>
      </x:c>
      <x:c r="Q40" s="1"/>
      <x:c r="R40" s="1" t="str">
        <x:v>自动校验结果已验收。</x:v>
      </x:c>
    </x:row>
    <x:row r="41" ht="28">
      <x:c r="A41" s="1" t="s">
        <x:v>227</x:v>
      </x:c>
      <x:c r="B41" s="1" t="s">
        <x:v>228</x:v>
      </x:c>
      <x:c r="C41" s="1" t="s">
        <x:v>229</x:v>
      </x:c>
      <x:c r="D41" s="1" t="s">
        <x:v>230</x:v>
      </x:c>
      <x:c r="E41" s="1" t="s">
        <x:v>134</x:v>
      </x:c>
      <x:c r="F41" s="1" t="s">
        <x:v>231</x:v>
      </x:c>
      <x:c r="G41" s="1" t="s">
        <x:v>232</x:v>
      </x:c>
      <x:c r="H41" s="1" t="s">
        <x:v>85</x:v>
      </x:c>
      <x:c r="I41" s="1">
        <x:v>4</x:v>
      </x:c>
      <x:c r="J41" s="1" t="s">
        <x:v>69</x:v>
      </x:c>
      <x:c r="K41" s="1" t="s">
        <x:v>70</x:v>
      </x:c>
      <x:c r="L41" s="1" t="s">
        <x:v>71</x:v>
      </x:c>
      <x:c r="M41" s="1" t="str">
        <x:v>确认通过－完全一致</x:v>
      </x:c>
      <x:c r="N41" s="1" t="s">
        <x:v>233</x:v>
      </x:c>
      <x:c r="O41" s="1" t="s">
        <x:v>219</x:v>
      </x:c>
      <x:c r="P41" s="1" t="s">
        <x:v>234</x:v>
      </x:c>
      <x:c r="Q41" s="1" t="s">
        <x:v>235</x:v>
      </x:c>
      <x:c r="R41" s="1" t="str">
        <x:v>自动校验结果已验收。</x:v>
      </x:c>
    </x:row>
    <x:row r="42" ht="28">
      <x:c r="A42" s="1" t="s">
        <x:v>236</x:v>
      </x:c>
      <x:c r="B42" s="1" t="s">
        <x:v>228</x:v>
      </x:c>
      <x:c r="C42" s="1" t="s">
        <x:v>229</x:v>
      </x:c>
      <x:c r="D42" s="1" t="s">
        <x:v>230</x:v>
      </x:c>
      <x:c r="E42" s="1" t="s">
        <x:v>134</x:v>
      </x:c>
      <x:c r="F42" s="1" t="s">
        <x:v>237</x:v>
      </x:c>
      <x:c r="G42" s="1" t="s">
        <x:v>97</x:v>
      </x:c>
      <x:c r="H42" s="1" t="s">
        <x:v>85</x:v>
      </x:c>
      <x:c r="I42" s="1">
        <x:v>4</x:v>
      </x:c>
      <x:c r="J42" s="1" t="s">
        <x:v>69</x:v>
      </x:c>
      <x:c r="K42" s="1" t="s">
        <x:v>70</x:v>
      </x:c>
      <x:c r="L42" s="1" t="s">
        <x:v>71</x:v>
      </x:c>
      <x:c r="M42" s="1" t="str">
        <x:v>确认通过－完全一致</x:v>
      </x:c>
      <x:c r="N42" s="1" t="s">
        <x:v>233</x:v>
      </x:c>
      <x:c r="O42" s="1" t="s">
        <x:v>219</x:v>
      </x:c>
      <x:c r="P42" s="1" t="s">
        <x:v>234</x:v>
      </x:c>
      <x:c r="Q42" s="1"/>
      <x:c r="R42" s="1" t="str">
        <x:v>自动校验结果已验收。</x:v>
      </x:c>
    </x:row>
    <x:row r="43" ht="28">
      <x:c r="A43" s="1" t="s">
        <x:v>238</x:v>
      </x:c>
      <x:c r="B43" s="1" t="s">
        <x:v>239</x:v>
      </x:c>
      <x:c r="C43" s="1" t="s">
        <x:v>229</x:v>
      </x:c>
      <x:c r="D43" s="1" t="s">
        <x:v>230</x:v>
      </x:c>
      <x:c r="E43" s="1" t="s">
        <x:v>240</x:v>
      </x:c>
      <x:c r="F43" s="1" t="s">
        <x:v>241</x:v>
      </x:c>
      <x:c r="G43" s="1" t="s">
        <x:v>97</x:v>
      </x:c>
      <x:c r="H43" s="1" t="s">
        <x:v>144</x:v>
      </x:c>
      <x:c r="I43" s="1">
        <x:v>0</x:v>
      </x:c>
      <x:c r="J43" s="1" t="s">
        <x:v>69</x:v>
      </x:c>
      <x:c r="K43" s="1" t="s">
        <x:v>70</x:v>
      </x:c>
      <x:c r="L43" s="1" t="s">
        <x:v>71</x:v>
      </x:c>
      <x:c r="M43" s="1" t="str">
        <x:v>确认通过－完全一致</x:v>
      </x:c>
      <x:c r="N43" s="1" t="s">
        <x:v>233</x:v>
      </x:c>
      <x:c r="O43" s="1" t="s">
        <x:v>219</x:v>
      </x:c>
      <x:c r="P43" s="1" t="s">
        <x:v>234</x:v>
      </x:c>
      <x:c r="Q43" s="1" t="s">
        <x:v>242</x:v>
      </x:c>
      <x:c r="R43" s="1" t="str">
        <x:v>自动校验结果已验收。</x:v>
      </x:c>
    </x:row>
    <x:row r="44" ht="28">
      <x:c r="A44" s="1" t="s">
        <x:v>243</x:v>
      </x:c>
      <x:c r="B44" s="1" t="s">
        <x:v>244</x:v>
      </x:c>
      <x:c r="C44" s="1" t="s">
        <x:v>245</x:v>
      </x:c>
      <x:c r="D44" s="1" t="s">
        <x:v>246</x:v>
      </x:c>
      <x:c r="E44" s="1" t="s">
        <x:v>247</x:v>
      </x:c>
      <x:c r="F44" s="1" t="s">
        <x:v>248</x:v>
      </x:c>
      <x:c r="G44" s="1" t="s">
        <x:v>97</x:v>
      </x:c>
      <x:c r="H44" s="1" t="s">
        <x:v>144</x:v>
      </x:c>
      <x:c r="I44" s="1">
        <x:v>0</x:v>
      </x:c>
      <x:c r="J44" s="1" t="s">
        <x:v>69</x:v>
      </x:c>
      <x:c r="K44" s="1" t="s">
        <x:v>70</x:v>
      </x:c>
      <x:c r="L44" s="1" t="s">
        <x:v>71</x:v>
      </x:c>
      <x:c r="M44" s="1" t="str">
        <x:v>确认通过－完全一致</x:v>
      </x:c>
      <x:c r="N44" s="1" t="s">
        <x:v>249</x:v>
      </x:c>
      <x:c r="O44" s="1" t="s">
        <x:v>250</x:v>
      </x:c>
      <x:c r="P44" s="1" t="s">
        <x:v>251</x:v>
      </x:c>
      <x:c r="Q44" s="1"/>
      <x:c r="R44" s="1" t="str">
        <x:v>自动校验结果已验收。</x:v>
      </x:c>
    </x:row>
    <x:row r="45" ht="28">
      <x:c r="A45" s="1" t="s">
        <x:v>252</x:v>
      </x:c>
      <x:c r="B45" s="1" t="s">
        <x:v>244</x:v>
      </x:c>
      <x:c r="C45" s="1" t="s">
        <x:v>245</x:v>
      </x:c>
      <x:c r="D45" s="1" t="s">
        <x:v>246</x:v>
      </x:c>
      <x:c r="E45" s="1" t="s">
        <x:v>134</x:v>
      </x:c>
      <x:c r="F45" s="1" t="s">
        <x:v>253</x:v>
      </x:c>
      <x:c r="G45" s="1" t="s">
        <x:v>232</x:v>
      </x:c>
      <x:c r="H45" s="1" t="s">
        <x:v>85</x:v>
      </x:c>
      <x:c r="I45" s="1">
        <x:v>4</x:v>
      </x:c>
      <x:c r="J45" s="1" t="s">
        <x:v>69</x:v>
      </x:c>
      <x:c r="K45" s="1" t="s">
        <x:v>70</x:v>
      </x:c>
      <x:c r="L45" s="1" t="s">
        <x:v>71</x:v>
      </x:c>
      <x:c r="M45" s="1" t="str">
        <x:v>确认通过－完全一致</x:v>
      </x:c>
      <x:c r="N45" s="1" t="s">
        <x:v>249</x:v>
      </x:c>
      <x:c r="O45" s="1" t="s">
        <x:v>250</x:v>
      </x:c>
      <x:c r="P45" s="1" t="s">
        <x:v>251</x:v>
      </x:c>
      <x:c r="Q45" s="1" t="s">
        <x:v>235</x:v>
      </x:c>
      <x:c r="R45" s="1" t="str">
        <x:v>自动校验结果已验收。</x:v>
      </x:c>
    </x:row>
    <x:row r="46" ht="28">
      <x:c r="A46" s="1" t="s">
        <x:v>254</x:v>
      </x:c>
      <x:c r="B46" s="1" t="s">
        <x:v>244</x:v>
      </x:c>
      <x:c r="C46" s="1" t="s">
        <x:v>245</x:v>
      </x:c>
      <x:c r="D46" s="1" t="s">
        <x:v>246</x:v>
      </x:c>
      <x:c r="E46" s="1" t="s">
        <x:v>134</x:v>
      </x:c>
      <x:c r="F46" s="1" t="s">
        <x:v>255</x:v>
      </x:c>
      <x:c r="G46" s="1" t="s">
        <x:v>97</x:v>
      </x:c>
      <x:c r="H46" s="1" t="s">
        <x:v>85</x:v>
      </x:c>
      <x:c r="I46" s="1">
        <x:v>4</x:v>
      </x:c>
      <x:c r="J46" s="1" t="s">
        <x:v>69</x:v>
      </x:c>
      <x:c r="K46" s="1" t="s">
        <x:v>70</x:v>
      </x:c>
      <x:c r="L46" s="1" t="s">
        <x:v>71</x:v>
      </x:c>
      <x:c r="M46" s="1" t="str">
        <x:v>确认通过－完全一致</x:v>
      </x:c>
      <x:c r="N46" s="1" t="s">
        <x:v>249</x:v>
      </x:c>
      <x:c r="O46" s="1" t="s">
        <x:v>250</x:v>
      </x:c>
      <x:c r="P46" s="1" t="s">
        <x:v>251</x:v>
      </x:c>
      <x:c r="Q46" s="1"/>
      <x:c r="R46" s="1" t="str">
        <x:v>自动校验结果已验收。</x:v>
      </x:c>
    </x:row>
    <x:row r="47" ht="28">
      <x:c r="A47" s="1" t="s">
        <x:v>256</x:v>
      </x:c>
      <x:c r="B47" s="1" t="s">
        <x:v>257</x:v>
      </x:c>
      <x:c r="C47" s="1" t="s">
        <x:v>245</x:v>
      </x:c>
      <x:c r="D47" s="1" t="s">
        <x:v>246</x:v>
      </x:c>
      <x:c r="E47" s="1" t="s">
        <x:v>197</x:v>
      </x:c>
      <x:c r="F47" s="1" t="s">
        <x:v>258</x:v>
      </x:c>
      <x:c r="G47" s="1" t="s">
        <x:v>97</x:v>
      </x:c>
      <x:c r="H47" s="1" t="s">
        <x:v>144</x:v>
      </x:c>
      <x:c r="I47" s="1">
        <x:v>0</x:v>
      </x:c>
      <x:c r="J47" s="1" t="s">
        <x:v>126</x:v>
      </x:c>
      <x:c r="K47" s="1" t="s">
        <x:v>127</x:v>
      </x:c>
      <x:c r="L47" s="1" t="str">
        <x:v>人工复核完成</x:v>
      </x:c>
      <x:c r="M47" s="1" t="str">
        <x:v>确认通过－完全一致</x:v>
      </x:c>
      <x:c r="N47" s="1" t="s">
        <x:v>249</x:v>
      </x:c>
      <x:c r="O47" s="1" t="s">
        <x:v>250</x:v>
      </x:c>
      <x:c r="P47" s="1" t="s">
        <x:v>251</x:v>
      </x:c>
      <x:c r="Q47" s="1" t="s">
        <x:v>259</x:v>
      </x:c>
      <x:c r="R47" s="1" t="str">
        <x:v>已按PDF第64页逐笔展开十笔转让股数，合计1,659,535股，与原文合计一致。</x:v>
      </x:c>
    </x:row>
    <x:row r="48" ht="42">
      <x:c r="A48" s="1" t="s">
        <x:v>260</x:v>
      </x:c>
      <x:c r="B48" s="1" t="s">
        <x:v>257</x:v>
      </x:c>
      <x:c r="C48" s="1" t="s">
        <x:v>245</x:v>
      </x:c>
      <x:c r="D48" s="1" t="s">
        <x:v>246</x:v>
      </x:c>
      <x:c r="E48" s="1" t="s">
        <x:v>201</x:v>
      </x:c>
      <x:c r="F48" s="1" t="s">
        <x:v>261</x:v>
      </x:c>
      <x:c r="G48" s="1" t="s">
        <x:v>97</x:v>
      </x:c>
      <x:c r="H48" s="1" t="s">
        <x:v>85</x:v>
      </x:c>
      <x:c r="I48" s="1">
        <x:v>2</x:v>
      </x:c>
      <x:c r="J48" s="1" t="s">
        <x:v>126</x:v>
      </x:c>
      <x:c r="K48" s="1" t="s">
        <x:v>127</x:v>
      </x:c>
      <x:c r="L48" s="1" t="str">
        <x:v>人工复核完成</x:v>
      </x:c>
      <x:c r="M48" s="1" t="str">
        <x:v>确认通过－完全一致</x:v>
      </x:c>
      <x:c r="N48" s="1" t="s">
        <x:v>249</x:v>
      </x:c>
      <x:c r="O48" s="1" t="s">
        <x:v>250</x:v>
      </x:c>
      <x:c r="P48" s="1" t="s">
        <x:v>251</x:v>
      </x:c>
      <x:c r="Q48" s="1" t="s">
        <x:v>262</x:v>
      </x:c>
      <x:c r="R48" s="1" t="str">
        <x:v>已按PDF第64页逐笔展开十笔转让价款，合计8,563.19万元；旧误录8,563.79万元未沿用。</x:v>
      </x:c>
    </x:row>
    <x:row r="49" ht="28">
      <x:c r="A49" s="1" t="s">
        <x:v>263</x:v>
      </x:c>
      <x:c r="B49" s="1" t="s">
        <x:v>264</x:v>
      </x:c>
      <x:c r="C49" s="1" t="s">
        <x:v>245</x:v>
      </x:c>
      <x:c r="D49" s="1" t="s">
        <x:v>246</x:v>
      </x:c>
      <x:c r="E49" s="1" t="s">
        <x:v>240</x:v>
      </x:c>
      <x:c r="F49" s="1" t="s">
        <x:v>265</x:v>
      </x:c>
      <x:c r="G49" s="1" t="s">
        <x:v>97</x:v>
      </x:c>
      <x:c r="H49" s="1" t="s">
        <x:v>144</x:v>
      </x:c>
      <x:c r="I49" s="1">
        <x:v>0</x:v>
      </x:c>
      <x:c r="J49" s="1" t="s">
        <x:v>69</x:v>
      </x:c>
      <x:c r="K49" s="1" t="s">
        <x:v>127</x:v>
      </x:c>
      <x:c r="L49" s="1" t="str">
        <x:v>人工复核完成</x:v>
      </x:c>
      <x:c r="M49" s="1" t="str">
        <x:v>确认通过－完全一致</x:v>
      </x:c>
      <x:c r="N49" s="1" t="s">
        <x:v>249</x:v>
      </x:c>
      <x:c r="O49" s="1" t="s">
        <x:v>250</x:v>
      </x:c>
      <x:c r="P49" s="1" t="s">
        <x:v>251</x:v>
      </x:c>
      <x:c r="Q49" s="1" t="s">
        <x:v>266</x:v>
      </x:c>
      <x:c r="R49" s="1" t="str">
        <x:v>用户确认总股本勾稽一致；逐股东滚动沿用阶段六完整快照。</x:v>
      </x:c>
    </x:row>
    <x:row r="50" ht="28">
      <x:c r="A50" s="1" t="s">
        <x:v>267</x:v>
      </x:c>
      <x:c r="B50" s="1" t="s">
        <x:v>268</x:v>
      </x:c>
      <x:c r="C50" s="1" t="s">
        <x:v>269</x:v>
      </x:c>
      <x:c r="D50" s="1" t="s">
        <x:v>270</x:v>
      </x:c>
      <x:c r="E50" s="1" t="s">
        <x:v>271</x:v>
      </x:c>
      <x:c r="F50" s="1" t="s">
        <x:v>272</x:v>
      </x:c>
      <x:c r="G50" s="1" t="s">
        <x:v>97</x:v>
      </x:c>
      <x:c r="H50" s="1" t="s">
        <x:v>144</x:v>
      </x:c>
      <x:c r="I50" s="1">
        <x:v>0</x:v>
      </x:c>
      <x:c r="J50" s="1" t="s">
        <x:v>69</x:v>
      </x:c>
      <x:c r="K50" s="1" t="s">
        <x:v>70</x:v>
      </x:c>
      <x:c r="L50" s="1" t="s">
        <x:v>71</x:v>
      </x:c>
      <x:c r="M50" s="1" t="str">
        <x:v>确认通过－完全一致</x:v>
      </x:c>
      <x:c r="N50" s="1" t="s">
        <x:v>273</x:v>
      </x:c>
      <x:c r="O50" s="1" t="s">
        <x:v>274</x:v>
      </x:c>
      <x:c r="P50" s="1" t="s">
        <x:v>275</x:v>
      </x:c>
      <x:c r="Q50" s="1" t="s">
        <x:v>276</x:v>
      </x:c>
      <x:c r="R50" s="1" t="str">
        <x:v>自动校验结果已验收。</x:v>
      </x:c>
    </x:row>
    <x:row r="51">
      <x:c r="A51" s="1" t="s">
        <x:v>277</x:v>
      </x:c>
      <x:c r="B51" s="1" t="s">
        <x:v>278</x:v>
      </x:c>
      <x:c r="C51" s="1" t="s">
        <x:v>279</x:v>
      </x:c>
      <x:c r="D51" s="1" t="s">
        <x:v>280</x:v>
      </x:c>
      <x:c r="E51" s="1" t="s">
        <x:v>65</x:v>
      </x:c>
      <x:c r="F51" s="1" t="s">
        <x:v>281</x:v>
      </x:c>
      <x:c r="G51" s="1" t="s">
        <x:v>67</x:v>
      </x:c>
      <x:c r="H51" s="1" t="s">
        <x:v>68</x:v>
      </x:c>
      <x:c r="I51" s="1">
        <x:v>2</x:v>
      </x:c>
      <x:c r="J51" s="1" t="s">
        <x:v>69</x:v>
      </x:c>
      <x:c r="K51" s="1" t="s">
        <x:v>70</x:v>
      </x:c>
      <x:c r="L51" s="1" t="s">
        <x:v>71</x:v>
      </x:c>
      <x:c r="M51" s="1" t="str">
        <x:v>确认通过－完全一致</x:v>
      </x:c>
      <x:c r="N51" s="1" t="s">
        <x:v>282</x:v>
      </x:c>
      <x:c r="O51" s="1" t="s">
        <x:v>283</x:v>
      </x:c>
      <x:c r="P51" s="1" t="s">
        <x:v>284</x:v>
      </x:c>
      <x:c r="Q51" s="1" t="s">
        <x:v>285</x:v>
      </x:c>
      <x:c r="R51" s="1" t="str">
        <x:v>自动校验结果已验收。</x:v>
      </x:c>
    </x:row>
    <x:row r="52">
      <x:c r="A52" s="1" t="s">
        <x:v>286</x:v>
      </x:c>
      <x:c r="B52" s="1" t="s">
        <x:v>278</x:v>
      </x:c>
      <x:c r="C52" s="1" t="s">
        <x:v>279</x:v>
      </x:c>
      <x:c r="D52" s="1" t="s">
        <x:v>280</x:v>
      </x:c>
      <x:c r="E52" s="1" t="s">
        <x:v>65</x:v>
      </x:c>
      <x:c r="F52" s="1" t="s">
        <x:v>287</x:v>
      </x:c>
      <x:c r="G52" s="1" t="s">
        <x:v>67</x:v>
      </x:c>
      <x:c r="H52" s="1" t="s">
        <x:v>68</x:v>
      </x:c>
      <x:c r="I52" s="1">
        <x:v>2</x:v>
      </x:c>
      <x:c r="J52" s="1" t="s">
        <x:v>69</x:v>
      </x:c>
      <x:c r="K52" s="1" t="s">
        <x:v>70</x:v>
      </x:c>
      <x:c r="L52" s="1" t="s">
        <x:v>71</x:v>
      </x:c>
      <x:c r="M52" s="1" t="str">
        <x:v>确认通过－舍入一致</x:v>
      </x:c>
      <x:c r="N52" s="1" t="s">
        <x:v>282</x:v>
      </x:c>
      <x:c r="O52" s="1" t="s">
        <x:v>283</x:v>
      </x:c>
      <x:c r="P52" s="1" t="s">
        <x:v>284</x:v>
      </x:c>
      <x:c r="Q52" s="1" t="s">
        <x:v>285</x:v>
      </x:c>
      <x:c r="R52" s="1" t="str">
        <x:v>自动校验结果已验收。</x:v>
      </x:c>
    </x:row>
    <x:row r="53">
      <x:c r="A53" s="1" t="s">
        <x:v>288</x:v>
      </x:c>
      <x:c r="B53" s="1" t="s">
        <x:v>278</x:v>
      </x:c>
      <x:c r="C53" s="1" t="s">
        <x:v>279</x:v>
      </x:c>
      <x:c r="D53" s="1" t="s">
        <x:v>280</x:v>
      </x:c>
      <x:c r="E53" s="1" t="s">
        <x:v>65</x:v>
      </x:c>
      <x:c r="F53" s="1" t="s">
        <x:v>289</x:v>
      </x:c>
      <x:c r="G53" s="1" t="s">
        <x:v>67</x:v>
      </x:c>
      <x:c r="H53" s="1" t="s">
        <x:v>68</x:v>
      </x:c>
      <x:c r="I53" s="1">
        <x:v>2</x:v>
      </x:c>
      <x:c r="J53" s="1" t="s">
        <x:v>69</x:v>
      </x:c>
      <x:c r="K53" s="1" t="s">
        <x:v>70</x:v>
      </x:c>
      <x:c r="L53" s="1" t="s">
        <x:v>71</x:v>
      </x:c>
      <x:c r="M53" s="1" t="str">
        <x:v>确认通过－完全一致</x:v>
      </x:c>
      <x:c r="N53" s="1" t="s">
        <x:v>282</x:v>
      </x:c>
      <x:c r="O53" s="1" t="s">
        <x:v>283</x:v>
      </x:c>
      <x:c r="P53" s="1" t="s">
        <x:v>284</x:v>
      </x:c>
      <x:c r="Q53" s="1" t="s">
        <x:v>285</x:v>
      </x:c>
      <x:c r="R53" s="1" t="str">
        <x:v>自动校验结果已验收。</x:v>
      </x:c>
    </x:row>
    <x:row r="54">
      <x:c r="A54" s="1" t="s">
        <x:v>290</x:v>
      </x:c>
      <x:c r="B54" s="1" t="s">
        <x:v>278</x:v>
      </x:c>
      <x:c r="C54" s="1" t="s">
        <x:v>279</x:v>
      </x:c>
      <x:c r="D54" s="1" t="s">
        <x:v>280</x:v>
      </x:c>
      <x:c r="E54" s="1" t="s">
        <x:v>65</x:v>
      </x:c>
      <x:c r="F54" s="1" t="s">
        <x:v>291</x:v>
      </x:c>
      <x:c r="G54" s="1" t="s">
        <x:v>67</x:v>
      </x:c>
      <x:c r="H54" s="1" t="s">
        <x:v>68</x:v>
      </x:c>
      <x:c r="I54" s="1">
        <x:v>2</x:v>
      </x:c>
      <x:c r="J54" s="1" t="s">
        <x:v>69</x:v>
      </x:c>
      <x:c r="K54" s="1" t="s">
        <x:v>70</x:v>
      </x:c>
      <x:c r="L54" s="1" t="s">
        <x:v>71</x:v>
      </x:c>
      <x:c r="M54" s="1" t="str">
        <x:v>确认通过－舍入一致</x:v>
      </x:c>
      <x:c r="N54" s="1" t="s">
        <x:v>282</x:v>
      </x:c>
      <x:c r="O54" s="1" t="s">
        <x:v>283</x:v>
      </x:c>
      <x:c r="P54" s="1" t="s">
        <x:v>284</x:v>
      </x:c>
      <x:c r="Q54" s="1" t="s">
        <x:v>285</x:v>
      </x:c>
      <x:c r="R54" s="1" t="str">
        <x:v>自动校验结果已验收。</x:v>
      </x:c>
    </x:row>
    <x:row r="55">
      <x:c r="A55" s="1" t="s">
        <x:v>292</x:v>
      </x:c>
      <x:c r="B55" s="1" t="s">
        <x:v>278</x:v>
      </x:c>
      <x:c r="C55" s="1" t="s">
        <x:v>279</x:v>
      </x:c>
      <x:c r="D55" s="1" t="s">
        <x:v>280</x:v>
      </x:c>
      <x:c r="E55" s="1" t="s">
        <x:v>65</x:v>
      </x:c>
      <x:c r="F55" s="1" t="s">
        <x:v>293</x:v>
      </x:c>
      <x:c r="G55" s="1" t="s">
        <x:v>67</x:v>
      </x:c>
      <x:c r="H55" s="1" t="s">
        <x:v>68</x:v>
      </x:c>
      <x:c r="I55" s="1">
        <x:v>2</x:v>
      </x:c>
      <x:c r="J55" s="1" t="s">
        <x:v>69</x:v>
      </x:c>
      <x:c r="K55" s="1" t="s">
        <x:v>70</x:v>
      </x:c>
      <x:c r="L55" s="1" t="s">
        <x:v>71</x:v>
      </x:c>
      <x:c r="M55" s="1" t="str">
        <x:v>确认通过－舍入一致</x:v>
      </x:c>
      <x:c r="N55" s="1" t="s">
        <x:v>282</x:v>
      </x:c>
      <x:c r="O55" s="1" t="s">
        <x:v>283</x:v>
      </x:c>
      <x:c r="P55" s="1" t="s">
        <x:v>284</x:v>
      </x:c>
      <x:c r="Q55" s="1" t="s">
        <x:v>285</x:v>
      </x:c>
      <x:c r="R55" s="1" t="str">
        <x:v>自动校验结果已验收。</x:v>
      </x:c>
    </x:row>
    <x:row r="56">
      <x:c r="A56" s="1" t="s">
        <x:v>294</x:v>
      </x:c>
      <x:c r="B56" s="1" t="s">
        <x:v>278</x:v>
      </x:c>
      <x:c r="C56" s="1" t="s">
        <x:v>279</x:v>
      </x:c>
      <x:c r="D56" s="1" t="s">
        <x:v>280</x:v>
      </x:c>
      <x:c r="E56" s="1" t="s">
        <x:v>65</x:v>
      </x:c>
      <x:c r="F56" s="1" t="s">
        <x:v>295</x:v>
      </x:c>
      <x:c r="G56" s="1" t="s">
        <x:v>67</x:v>
      </x:c>
      <x:c r="H56" s="1" t="s">
        <x:v>68</x:v>
      </x:c>
      <x:c r="I56" s="1">
        <x:v>2</x:v>
      </x:c>
      <x:c r="J56" s="1" t="s">
        <x:v>69</x:v>
      </x:c>
      <x:c r="K56" s="1" t="s">
        <x:v>70</x:v>
      </x:c>
      <x:c r="L56" s="1" t="s">
        <x:v>71</x:v>
      </x:c>
      <x:c r="M56" s="1" t="str">
        <x:v>确认通过－舍入一致</x:v>
      </x:c>
      <x:c r="N56" s="1" t="s">
        <x:v>282</x:v>
      </x:c>
      <x:c r="O56" s="1" t="s">
        <x:v>283</x:v>
      </x:c>
      <x:c r="P56" s="1" t="s">
        <x:v>284</x:v>
      </x:c>
      <x:c r="Q56" s="1" t="s">
        <x:v>285</x:v>
      </x:c>
      <x:c r="R56" s="1" t="str">
        <x:v>自动校验结果已验收。</x:v>
      </x:c>
    </x:row>
    <x:row r="57">
      <x:c r="A57" s="1" t="s">
        <x:v>296</x:v>
      </x:c>
      <x:c r="B57" s="1" t="s">
        <x:v>278</x:v>
      </x:c>
      <x:c r="C57" s="1" t="s">
        <x:v>279</x:v>
      </x:c>
      <x:c r="D57" s="1" t="s">
        <x:v>280</x:v>
      </x:c>
      <x:c r="E57" s="1" t="s">
        <x:v>65</x:v>
      </x:c>
      <x:c r="F57" s="1" t="s">
        <x:v>297</x:v>
      </x:c>
      <x:c r="G57" s="1" t="s">
        <x:v>67</x:v>
      </x:c>
      <x:c r="H57" s="1" t="s">
        <x:v>68</x:v>
      </x:c>
      <x:c r="I57" s="1">
        <x:v>2</x:v>
      </x:c>
      <x:c r="J57" s="1" t="s">
        <x:v>69</x:v>
      </x:c>
      <x:c r="K57" s="1" t="s">
        <x:v>70</x:v>
      </x:c>
      <x:c r="L57" s="1" t="s">
        <x:v>71</x:v>
      </x:c>
      <x:c r="M57" s="1" t="str">
        <x:v>确认通过－舍入一致</x:v>
      </x:c>
      <x:c r="N57" s="1" t="s">
        <x:v>282</x:v>
      </x:c>
      <x:c r="O57" s="1" t="s">
        <x:v>283</x:v>
      </x:c>
      <x:c r="P57" s="1" t="s">
        <x:v>284</x:v>
      </x:c>
      <x:c r="Q57" s="1" t="s">
        <x:v>285</x:v>
      </x:c>
      <x:c r="R57" s="1" t="str">
        <x:v>自动校验结果已验收。</x:v>
      </x:c>
    </x:row>
    <x:row r="58">
      <x:c r="A58" s="1" t="s">
        <x:v>298</x:v>
      </x:c>
      <x:c r="B58" s="1" t="s">
        <x:v>278</x:v>
      </x:c>
      <x:c r="C58" s="1" t="s">
        <x:v>279</x:v>
      </x:c>
      <x:c r="D58" s="1" t="s">
        <x:v>280</x:v>
      </x:c>
      <x:c r="E58" s="1" t="s">
        <x:v>65</x:v>
      </x:c>
      <x:c r="F58" s="1" t="s">
        <x:v>299</x:v>
      </x:c>
      <x:c r="G58" s="1" t="s">
        <x:v>67</x:v>
      </x:c>
      <x:c r="H58" s="1" t="s">
        <x:v>68</x:v>
      </x:c>
      <x:c r="I58" s="1">
        <x:v>2</x:v>
      </x:c>
      <x:c r="J58" s="1" t="s">
        <x:v>69</x:v>
      </x:c>
      <x:c r="K58" s="1" t="s">
        <x:v>70</x:v>
      </x:c>
      <x:c r="L58" s="1" t="s">
        <x:v>71</x:v>
      </x:c>
      <x:c r="M58" s="1" t="str">
        <x:v>确认通过－舍入一致</x:v>
      </x:c>
      <x:c r="N58" s="1" t="s">
        <x:v>282</x:v>
      </x:c>
      <x:c r="O58" s="1" t="s">
        <x:v>283</x:v>
      </x:c>
      <x:c r="P58" s="1" t="s">
        <x:v>284</x:v>
      </x:c>
      <x:c r="Q58" s="1" t="s">
        <x:v>285</x:v>
      </x:c>
      <x:c r="R58" s="1" t="str">
        <x:v>自动校验结果已验收。</x:v>
      </x:c>
    </x:row>
  </x:sheetData>
  <x:mergeCells>
    <x:mergeCell ref="A1:R1"/>
  </x:mergeCells>
  <x:conditionalFormatting sqref="J4:J58">
    <x:cfRule type="expression" dxfId="5" priority="2">
      <x:formula>J4="重点"</x:formula>
    </x:cfRule>
  </x:conditionalFormatting>
  <x:conditionalFormatting sqref="K4:K58">
    <x:cfRule type="expression" dxfId="4" priority="1">
      <x:formula>K4="是"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2ba7b86ff548f2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20" customWidth="1"/>
    <x:col min="2" max="2" width="12" customWidth="1"/>
    <x:col min="3" max="3" width="16" customWidth="1"/>
    <x:col min="4" max="4" width="18" customWidth="1"/>
    <x:col min="5" max="5" width="13" customWidth="1"/>
    <x:col min="6" max="6" width="12" customWidth="1"/>
    <x:col min="7" max="7" width="15" customWidth="1"/>
    <x:col min="8" max="8" width="13" customWidth="1"/>
    <x:col min="9" max="9" width="23" customWidth="1"/>
    <x:col min="10" max="10" width="22" customWidth="1"/>
    <x:col min="11" max="12" width="10" customWidth="1"/>
    <x:col min="13" max="13" width="48" customWidth="1"/>
    <x:col min="14" max="14" width="18" customWidth="1"/>
    <x:col min="15" max="15" width="15" customWidth="1"/>
    <x:col min="16" max="16" width="12" customWidth="1"/>
    <x:col min="17" max="17" width="25" customWidth="1"/>
  </x:cols>
  <x:sheetData>
    <x:row r="1" ht="18.649999618530273" customHeight="1">
      <x:c r="A1" s="18" t="s">
        <x:v>300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1.399999618530273" customHeight="1">
      <x:c r="A3" s="5" t="s">
        <x:v>301</x:v>
      </x:c>
      <x:c r="B3" s="5" t="s">
        <x:v>45</x:v>
      </x:c>
      <x:c r="C3" s="5" t="s">
        <x:v>302</x:v>
      </x:c>
      <x:c r="D3" s="5" t="s">
        <x:v>303</x:v>
      </x:c>
      <x:c r="E3" s="5" t="s">
        <x:v>304</x:v>
      </x:c>
      <x:c r="F3" s="5" t="s">
        <x:v>305</x:v>
      </x:c>
      <x:c r="G3" s="5" t="s">
        <x:v>306</x:v>
      </x:c>
      <x:c r="H3" s="5" t="s">
        <x:v>307</x:v>
      </x:c>
      <x:c r="I3" s="5" t="s">
        <x:v>308</x:v>
      </x:c>
      <x:c r="J3" s="5" t="s">
        <x:v>58</x:v>
      </x:c>
      <x:c r="K3" s="5" t="s">
        <x:v>56</x:v>
      </x:c>
      <x:c r="L3" s="5" t="s">
        <x:v>57</x:v>
      </x:c>
      <x:c r="M3" s="5" t="s">
        <x:v>309</x:v>
      </x:c>
      <x:c r="N3" s="5" t="s">
        <x:v>310</x:v>
      </x:c>
      <x:c r="O3" s="5" t="s">
        <x:v>311</x:v>
      </x:c>
      <x:c r="P3" s="5" t="s">
        <x:v>312</x:v>
      </x:c>
      <x:c r="Q3" s="5" t="s">
        <x:v>313</x:v>
      </x:c>
    </x:row>
    <x:row r="4" ht="28">
      <x:c r="A4" s="1" t="s">
        <x:v>314</x:v>
      </x:c>
      <x:c r="B4" s="1" t="s">
        <x:v>63</x:v>
      </x:c>
      <x:c r="C4" s="1" t="s">
        <x:v>315</x:v>
      </x:c>
      <x:c r="D4" s="1" t="s">
        <x:v>316</x:v>
      </x:c>
      <x:c r="E4" s="6">
        <x:v>25</x:v>
      </x:c>
      <x:c r="F4" s="6" t="s">
        <x:v>85</x:v>
      </x:c>
      <x:c r="G4" s="6">
        <x:v>25</x:v>
      </x:c>
      <x:c r="H4" s="6" t="s">
        <x:v>85</x:v>
      </x:c>
      <x:c r="I4" s="1" t="s">
        <x:v>317</x:v>
      </x:c>
      <x:c r="J4" s="1" t="s">
        <x:v>74</x:v>
      </x:c>
      <x:c r="K4" s="1" t="s">
        <x:v>72</x:v>
      </x:c>
      <x:c r="L4" s="1" t="s">
        <x:v>73</x:v>
      </x:c>
      <x:c r="M4" s="1" t="s">
        <x:v>318</x:v>
      </x:c>
      <x:c r="N4" s="1" t="s">
        <x:v>319</x:v>
      </x:c>
      <x:c r="O4" s="1" t="s">
        <x:v>320</x:v>
      </x:c>
      <x:c r="P4" s="1"/>
      <x:c r="Q4" s="1" t="s">
        <x:v>321</x:v>
      </x:c>
    </x:row>
    <x:row r="5" ht="28">
      <x:c r="A5" s="1" t="s">
        <x:v>322</x:v>
      </x:c>
      <x:c r="B5" s="1" t="s">
        <x:v>63</x:v>
      </x:c>
      <x:c r="C5" s="1" t="s">
        <x:v>323</x:v>
      </x:c>
      <x:c r="D5" s="1" t="s">
        <x:v>324</x:v>
      </x:c>
      <x:c r="E5" s="6">
        <x:v>50</x:v>
      </x:c>
      <x:c r="F5" s="6" t="s">
        <x:v>85</x:v>
      </x:c>
      <x:c r="G5" s="6">
        <x:v>50</x:v>
      </x:c>
      <x:c r="H5" s="6" t="s">
        <x:v>85</x:v>
      </x:c>
      <x:c r="I5" s="1" t="s">
        <x:v>317</x:v>
      </x:c>
      <x:c r="J5" s="1" t="s">
        <x:v>74</x:v>
      </x:c>
      <x:c r="K5" s="1" t="s">
        <x:v>72</x:v>
      </x:c>
      <x:c r="L5" s="1" t="s">
        <x:v>73</x:v>
      </x:c>
      <x:c r="M5" s="1" t="s">
        <x:v>318</x:v>
      </x:c>
      <x:c r="N5" s="1" t="s">
        <x:v>319</x:v>
      </x:c>
      <x:c r="O5" s="1" t="s">
        <x:v>320</x:v>
      </x:c>
      <x:c r="P5" s="1"/>
      <x:c r="Q5" s="1" t="s">
        <x:v>325</x:v>
      </x:c>
    </x:row>
    <x:row r="6" ht="28">
      <x:c r="A6" s="1" t="s">
        <x:v>326</x:v>
      </x:c>
      <x:c r="B6" s="1" t="s">
        <x:v>63</x:v>
      </x:c>
      <x:c r="C6" s="1" t="s">
        <x:v>327</x:v>
      </x:c>
      <x:c r="D6" s="1" t="s">
        <x:v>328</x:v>
      </x:c>
      <x:c r="E6" s="6">
        <x:v>50</x:v>
      </x:c>
      <x:c r="F6" s="6" t="s">
        <x:v>68</x:v>
      </x:c>
      <x:c r="G6" s="6">
        <x:v>50</x:v>
      </x:c>
      <x:c r="H6" s="6" t="s">
        <x:v>68</x:v>
      </x:c>
      <x:c r="I6" s="1" t="s">
        <x:v>317</x:v>
      </x:c>
      <x:c r="J6" s="1" t="s">
        <x:v>74</x:v>
      </x:c>
      <x:c r="K6" s="1" t="s">
        <x:v>72</x:v>
      </x:c>
      <x:c r="L6" s="1" t="s">
        <x:v>73</x:v>
      </x:c>
      <x:c r="M6" s="1" t="s">
        <x:v>318</x:v>
      </x:c>
      <x:c r="N6" s="1" t="s">
        <x:v>319</x:v>
      </x:c>
      <x:c r="O6" s="1" t="s">
        <x:v>320</x:v>
      </x:c>
      <x:c r="P6" s="1"/>
      <x:c r="Q6" s="1" t="s">
        <x:v>329</x:v>
      </x:c>
    </x:row>
    <x:row r="7" ht="28">
      <x:c r="A7" s="1" t="s">
        <x:v>330</x:v>
      </x:c>
      <x:c r="B7" s="1" t="s">
        <x:v>63</x:v>
      </x:c>
      <x:c r="C7" s="1" t="s">
        <x:v>315</x:v>
      </x:c>
      <x:c r="D7" s="1" t="s">
        <x:v>316</x:v>
      </x:c>
      <x:c r="E7" s="6">
        <x:v>25</x:v>
      </x:c>
      <x:c r="F7" s="6" t="s">
        <x:v>85</x:v>
      </x:c>
      <x:c r="G7" s="6">
        <x:v>25</x:v>
      </x:c>
      <x:c r="H7" s="6" t="s">
        <x:v>85</x:v>
      </x:c>
      <x:c r="I7" s="1" t="s">
        <x:v>317</x:v>
      </x:c>
      <x:c r="J7" s="1" t="s">
        <x:v>74</x:v>
      </x:c>
      <x:c r="K7" s="1" t="s">
        <x:v>72</x:v>
      </x:c>
      <x:c r="L7" s="1" t="s">
        <x:v>73</x:v>
      </x:c>
      <x:c r="M7" s="1" t="s">
        <x:v>318</x:v>
      </x:c>
      <x:c r="N7" s="1" t="s">
        <x:v>319</x:v>
      </x:c>
      <x:c r="O7" s="1" t="s">
        <x:v>320</x:v>
      </x:c>
      <x:c r="P7" s="1"/>
      <x:c r="Q7" s="1" t="s">
        <x:v>321</x:v>
      </x:c>
    </x:row>
    <x:row r="8" ht="28">
      <x:c r="A8" s="1" t="s">
        <x:v>331</x:v>
      </x:c>
      <x:c r="B8" s="1" t="s">
        <x:v>63</x:v>
      </x:c>
      <x:c r="C8" s="1" t="s">
        <x:v>327</x:v>
      </x:c>
      <x:c r="D8" s="1" t="s">
        <x:v>328</x:v>
      </x:c>
      <x:c r="E8" s="6">
        <x:v>50</x:v>
      </x:c>
      <x:c r="F8" s="6" t="s">
        <x:v>68</x:v>
      </x:c>
      <x:c r="G8" s="6">
        <x:v>50</x:v>
      </x:c>
      <x:c r="H8" s="6" t="s">
        <x:v>68</x:v>
      </x:c>
      <x:c r="I8" s="1" t="s">
        <x:v>317</x:v>
      </x:c>
      <x:c r="J8" s="1" t="s">
        <x:v>74</x:v>
      </x:c>
      <x:c r="K8" s="1" t="s">
        <x:v>72</x:v>
      </x:c>
      <x:c r="L8" s="1" t="s">
        <x:v>73</x:v>
      </x:c>
      <x:c r="M8" s="1" t="s">
        <x:v>318</x:v>
      </x:c>
      <x:c r="N8" s="1" t="s">
        <x:v>319</x:v>
      </x:c>
      <x:c r="O8" s="1" t="s">
        <x:v>320</x:v>
      </x:c>
      <x:c r="P8" s="1"/>
      <x:c r="Q8" s="1" t="s">
        <x:v>329</x:v>
      </x:c>
    </x:row>
    <x:row r="9" ht="42">
      <x:c r="A9" s="1" t="s">
        <x:v>332</x:v>
      </x:c>
      <x:c r="B9" s="1" t="s">
        <x:v>80</x:v>
      </x:c>
      <x:c r="C9" s="1" t="s">
        <x:v>333</x:v>
      </x:c>
      <x:c r="D9" s="1" t="s">
        <x:v>328</x:v>
      </x:c>
      <x:c r="E9" s="6">
        <x:v>50</x:v>
      </x:c>
      <x:c r="F9" s="6" t="s">
        <x:v>85</x:v>
      </x:c>
      <x:c r="G9" s="6">
        <x:v>50</x:v>
      </x:c>
      <x:c r="H9" s="6" t="s">
        <x:v>85</x:v>
      </x:c>
      <x:c r="I9" s="1" t="s">
        <x:v>317</x:v>
      </x:c>
      <x:c r="J9" s="1" t="s">
        <x:v>88</x:v>
      </x:c>
      <x:c r="K9" s="1" t="s">
        <x:v>86</x:v>
      </x:c>
      <x:c r="L9" s="1" t="s">
        <x:v>87</x:v>
      </x:c>
      <x:c r="M9" s="1" t="s">
        <x:v>334</x:v>
      </x:c>
      <x:c r="N9" s="1" t="s">
        <x:v>319</x:v>
      </x:c>
      <x:c r="O9" s="1" t="s">
        <x:v>320</x:v>
      </x:c>
      <x:c r="P9" s="1"/>
      <x:c r="Q9" s="1" t="s">
        <x:v>335</x:v>
      </x:c>
    </x:row>
    <x:row r="10" ht="42">
      <x:c r="A10" s="1" t="s">
        <x:v>336</x:v>
      </x:c>
      <x:c r="B10" s="1" t="s">
        <x:v>80</x:v>
      </x:c>
      <x:c r="C10" s="1" t="s">
        <x:v>337</x:v>
      </x:c>
      <x:c r="D10" s="1" t="s">
        <x:v>338</x:v>
      </x:c>
      <x:c r="E10" s="6">
        <x:v>25</x:v>
      </x:c>
      <x:c r="F10" s="6" t="s">
        <x:v>85</x:v>
      </x:c>
      <x:c r="G10" s="6">
        <x:v>25</x:v>
      </x:c>
      <x:c r="H10" s="6" t="s">
        <x:v>85</x:v>
      </x:c>
      <x:c r="I10" s="1" t="s">
        <x:v>339</x:v>
      </x:c>
      <x:c r="J10" s="1" t="s">
        <x:v>88</x:v>
      </x:c>
      <x:c r="K10" s="1" t="s">
        <x:v>86</x:v>
      </x:c>
      <x:c r="L10" s="1" t="s">
        <x:v>87</x:v>
      </x:c>
      <x:c r="M10" s="1" t="s">
        <x:v>334</x:v>
      </x:c>
      <x:c r="N10" s="1" t="s">
        <x:v>319</x:v>
      </x:c>
      <x:c r="O10" s="1" t="s">
        <x:v>320</x:v>
      </x:c>
      <x:c r="P10" s="1"/>
      <x:c r="Q10" s="1" t="s">
        <x:v>340</x:v>
      </x:c>
    </x:row>
    <x:row r="11" ht="42">
      <x:c r="A11" s="1" t="s">
        <x:v>341</x:v>
      </x:c>
      <x:c r="B11" s="1" t="s">
        <x:v>80</x:v>
      </x:c>
      <x:c r="C11" s="1" t="s">
        <x:v>342</x:v>
      </x:c>
      <x:c r="D11" s="1" t="s">
        <x:v>343</x:v>
      </x:c>
      <x:c r="E11" s="6">
        <x:v>25</x:v>
      </x:c>
      <x:c r="F11" s="6" t="s">
        <x:v>85</x:v>
      </x:c>
      <x:c r="G11" s="6">
        <x:v>25</x:v>
      </x:c>
      <x:c r="H11" s="6" t="s">
        <x:v>85</x:v>
      </x:c>
      <x:c r="I11" s="1" t="s">
        <x:v>317</x:v>
      </x:c>
      <x:c r="J11" s="1" t="s">
        <x:v>88</x:v>
      </x:c>
      <x:c r="K11" s="1" t="s">
        <x:v>86</x:v>
      </x:c>
      <x:c r="L11" s="1" t="s">
        <x:v>87</x:v>
      </x:c>
      <x:c r="M11" s="1" t="s">
        <x:v>334</x:v>
      </x:c>
      <x:c r="N11" s="1" t="s">
        <x:v>319</x:v>
      </x:c>
      <x:c r="O11" s="1" t="s">
        <x:v>320</x:v>
      </x:c>
      <x:c r="P11" s="1"/>
      <x:c r="Q11" s="1" t="s">
        <x:v>344</x:v>
      </x:c>
    </x:row>
    <x:row r="12" ht="42">
      <x:c r="A12" s="1" t="s">
        <x:v>345</x:v>
      </x:c>
      <x:c r="B12" s="1" t="s">
        <x:v>80</x:v>
      </x:c>
      <x:c r="C12" s="1" t="s">
        <x:v>342</x:v>
      </x:c>
      <x:c r="D12" s="1" t="s">
        <x:v>343</x:v>
      </x:c>
      <x:c r="E12" s="6">
        <x:v>25</x:v>
      </x:c>
      <x:c r="F12" s="6" t="s">
        <x:v>85</x:v>
      </x:c>
      <x:c r="G12" s="6">
        <x:v>25</x:v>
      </x:c>
      <x:c r="H12" s="6" t="s">
        <x:v>85</x:v>
      </x:c>
      <x:c r="I12" s="1" t="s">
        <x:v>317</x:v>
      </x:c>
      <x:c r="J12" s="1" t="s">
        <x:v>88</x:v>
      </x:c>
      <x:c r="K12" s="1" t="s">
        <x:v>86</x:v>
      </x:c>
      <x:c r="L12" s="1" t="s">
        <x:v>87</x:v>
      </x:c>
      <x:c r="M12" s="1" t="s">
        <x:v>334</x:v>
      </x:c>
      <x:c r="N12" s="1" t="s">
        <x:v>319</x:v>
      </x:c>
      <x:c r="O12" s="1" t="s">
        <x:v>320</x:v>
      </x:c>
      <x:c r="P12" s="1"/>
      <x:c r="Q12" s="1" t="s">
        <x:v>344</x:v>
      </x:c>
    </x:row>
    <x:row r="13" ht="42">
      <x:c r="A13" s="1" t="s">
        <x:v>346</x:v>
      </x:c>
      <x:c r="B13" s="1" t="s">
        <x:v>109</x:v>
      </x:c>
      <x:c r="C13" s="1" t="s">
        <x:v>337</x:v>
      </x:c>
      <x:c r="D13" s="1" t="s">
        <x:v>347</x:v>
      </x:c>
      <x:c r="E13" s="6">
        <x:v>15.75</x:v>
      </x:c>
      <x:c r="F13" s="6" t="s">
        <x:v>85</x:v>
      </x:c>
      <x:c r="G13" s="6">
        <x:v>15.75</x:v>
      </x:c>
      <x:c r="H13" s="6" t="s">
        <x:v>85</x:v>
      </x:c>
      <x:c r="I13" s="1" t="s">
        <x:v>348</x:v>
      </x:c>
      <x:c r="J13" s="1" t="s">
        <x:v>113</x:v>
      </x:c>
      <x:c r="K13" s="1" t="s">
        <x:v>86</x:v>
      </x:c>
      <x:c r="L13" s="1" t="s">
        <x:v>87</x:v>
      </x:c>
      <x:c r="M13" s="1" t="s">
        <x:v>349</x:v>
      </x:c>
      <x:c r="N13" s="1" t="s">
        <x:v>319</x:v>
      </x:c>
      <x:c r="O13" s="1" t="s">
        <x:v>320</x:v>
      </x:c>
      <x:c r="P13" s="1"/>
      <x:c r="Q13" s="1" t="s">
        <x:v>350</x:v>
      </x:c>
    </x:row>
    <x:row r="14" ht="42">
      <x:c r="A14" s="1" t="s">
        <x:v>351</x:v>
      </x:c>
      <x:c r="B14" s="1" t="s">
        <x:v>109</x:v>
      </x:c>
      <x:c r="C14" s="1" t="s">
        <x:v>352</x:v>
      </x:c>
      <x:c r="D14" s="1" t="s">
        <x:v>353</x:v>
      </x:c>
      <x:c r="E14" s="6">
        <x:v>6.85</x:v>
      </x:c>
      <x:c r="F14" s="6" t="s">
        <x:v>85</x:v>
      </x:c>
      <x:c r="G14" s="6">
        <x:v>6.85</x:v>
      </x:c>
      <x:c r="H14" s="6" t="s">
        <x:v>85</x:v>
      </x:c>
      <x:c r="I14" s="1" t="s">
        <x:v>354</x:v>
      </x:c>
      <x:c r="J14" s="1" t="s">
        <x:v>113</x:v>
      </x:c>
      <x:c r="K14" s="1" t="s">
        <x:v>86</x:v>
      </x:c>
      <x:c r="L14" s="1" t="s">
        <x:v>87</x:v>
      </x:c>
      <x:c r="M14" s="1" t="s">
        <x:v>349</x:v>
      </x:c>
      <x:c r="N14" s="1" t="s">
        <x:v>319</x:v>
      </x:c>
      <x:c r="O14" s="1" t="s">
        <x:v>320</x:v>
      </x:c>
      <x:c r="P14" s="1"/>
      <x:c r="Q14" s="1" t="s">
        <x:v>355</x:v>
      </x:c>
    </x:row>
    <x:row r="15" ht="42">
      <x:c r="A15" s="1" t="s">
        <x:v>356</x:v>
      </x:c>
      <x:c r="B15" s="1" t="s">
        <x:v>17</x:v>
      </x:c>
      <x:c r="C15" s="1" t="s">
        <x:v>357</x:v>
      </x:c>
      <x:c r="D15" s="1" t="s">
        <x:v>358</x:v>
      </x:c>
      <x:c r="E15" s="6">
        <x:v>128.20500000000001</x:v>
      </x:c>
      <x:c r="F15" s="6" t="s">
        <x:v>85</x:v>
      </x:c>
      <x:c r="G15" s="6">
        <x:v>128.20500000000001</x:v>
      </x:c>
      <x:c r="H15" s="6" t="s">
        <x:v>85</x:v>
      </x:c>
      <x:c r="I15" s="1" t="s">
        <x:v>317</x:v>
      </x:c>
      <x:c r="J15" s="1" t="s">
        <x:v>128</x:v>
      </x:c>
      <x:c r="K15" s="1" t="s">
        <x:v>86</x:v>
      </x:c>
      <x:c r="L15" s="1" t="s">
        <x:v>87</x:v>
      </x:c>
      <x:c r="M15" s="1" t="s">
        <x:v>359</x:v>
      </x:c>
      <x:c r="N15" s="1" t="s">
        <x:v>319</x:v>
      </x:c>
      <x:c r="O15" s="1" t="s">
        <x:v>320</x:v>
      </x:c>
      <x:c r="P15" s="1"/>
      <x:c r="Q15" s="1" t="s">
        <x:v>360</x:v>
      </x:c>
    </x:row>
    <x:row r="16" ht="42">
      <x:c r="A16" s="1" t="s">
        <x:v>361</x:v>
      </x:c>
      <x:c r="B16" s="1" t="s">
        <x:v>17</x:v>
      </x:c>
      <x:c r="C16" s="1" t="s">
        <x:v>362</x:v>
      </x:c>
      <x:c r="D16" s="1" t="s">
        <x:v>363</x:v>
      </x:c>
      <x:c r="E16" s="6">
        <x:v>8.7871400000000008</x:v>
      </x:c>
      <x:c r="F16" s="6" t="s">
        <x:v>85</x:v>
      </x:c>
      <x:c r="G16" s="6">
        <x:v>8.7871400000000008</x:v>
      </x:c>
      <x:c r="H16" s="6" t="s">
        <x:v>85</x:v>
      </x:c>
      <x:c r="I16" s="1" t="s">
        <x:v>317</x:v>
      </x:c>
      <x:c r="J16" s="1" t="s">
        <x:v>128</x:v>
      </x:c>
      <x:c r="K16" s="1" t="s">
        <x:v>86</x:v>
      </x:c>
      <x:c r="L16" s="1" t="s">
        <x:v>87</x:v>
      </x:c>
      <x:c r="M16" s="1" t="s">
        <x:v>359</x:v>
      </x:c>
      <x:c r="N16" s="1" t="s">
        <x:v>319</x:v>
      </x:c>
      <x:c r="O16" s="1" t="s">
        <x:v>320</x:v>
      </x:c>
      <x:c r="P16" s="1"/>
      <x:c r="Q16" s="1" t="s">
        <x:v>364</x:v>
      </x:c>
    </x:row>
    <x:row r="17" ht="42">
      <x:c r="A17" s="1" t="s">
        <x:v>365</x:v>
      </x:c>
      <x:c r="B17" s="1" t="s">
        <x:v>17</x:v>
      </x:c>
      <x:c r="C17" s="1" t="s">
        <x:v>327</x:v>
      </x:c>
      <x:c r="D17" s="1" t="s">
        <x:v>366</x:v>
      </x:c>
      <x:c r="E17" s="6">
        <x:v>136.9864</x:v>
      </x:c>
      <x:c r="F17" s="6" t="s">
        <x:v>85</x:v>
      </x:c>
      <x:c r="G17" s="6">
        <x:v>136.9864</x:v>
      </x:c>
      <x:c r="H17" s="6" t="s">
        <x:v>85</x:v>
      </x:c>
      <x:c r="I17" s="1" t="s">
        <x:v>317</x:v>
      </x:c>
      <x:c r="J17" s="1" t="s">
        <x:v>128</x:v>
      </x:c>
      <x:c r="K17" s="1" t="s">
        <x:v>86</x:v>
      </x:c>
      <x:c r="L17" s="1" t="s">
        <x:v>87</x:v>
      </x:c>
      <x:c r="M17" s="1" t="s">
        <x:v>359</x:v>
      </x:c>
      <x:c r="N17" s="1" t="s">
        <x:v>319</x:v>
      </x:c>
      <x:c r="O17" s="1" t="s">
        <x:v>320</x:v>
      </x:c>
      <x:c r="P17" s="1"/>
      <x:c r="Q17" s="1" t="s">
        <x:v>329</x:v>
      </x:c>
    </x:row>
    <x:row r="18" ht="28">
      <x:c r="A18" s="1" t="s">
        <x:v>367</x:v>
      </x:c>
      <x:c r="B18" s="1" t="s">
        <x:v>132</x:v>
      </x:c>
      <x:c r="C18" s="1" t="s">
        <x:v>368</x:v>
      </x:c>
      <x:c r="D18" s="1" t="s">
        <x:v>369</x:v>
      </x:c>
      <x:c r="E18" s="6">
        <x:v>2000</x:v>
      </x:c>
      <x:c r="F18" s="6" t="s">
        <x:v>85</x:v>
      </x:c>
      <x:c r="G18" s="6">
        <x:v>2000</x:v>
      </x:c>
      <x:c r="H18" s="6" t="s">
        <x:v>85</x:v>
      </x:c>
      <x:c r="I18" s="1" t="s">
        <x:v>317</x:v>
      </x:c>
      <x:c r="J18" s="1" t="s">
        <x:v>136</x:v>
      </x:c>
      <x:c r="K18" s="1" t="s">
        <x:v>86</x:v>
      </x:c>
      <x:c r="L18" s="1" t="s">
        <x:v>87</x:v>
      </x:c>
      <x:c r="M18" s="1" t="s">
        <x:v>370</x:v>
      </x:c>
      <x:c r="N18" s="1" t="s">
        <x:v>319</x:v>
      </x:c>
      <x:c r="O18" s="1" t="s">
        <x:v>320</x:v>
      </x:c>
      <x:c r="P18" s="1"/>
      <x:c r="Q18" s="1" t="s">
        <x:v>371</x:v>
      </x:c>
    </x:row>
    <x:row r="19" ht="42">
      <x:c r="A19" s="1" t="s">
        <x:v>372</x:v>
      </x:c>
      <x:c r="B19" s="1" t="s">
        <x:v>140</x:v>
      </x:c>
      <x:c r="C19" s="1" t="s">
        <x:v>373</x:v>
      </x:c>
      <x:c r="D19" s="1" t="s">
        <x:v>374</x:v>
      </x:c>
      <x:c r="E19" s="6">
        <x:v>666680</x:v>
      </x:c>
      <x:c r="F19" s="6" t="s">
        <x:v>144</x:v>
      </x:c>
      <x:c r="G19" s="6">
        <x:v>666680</x:v>
      </x:c>
      <x:c r="H19" s="6" t="s">
        <x:v>144</x:v>
      </x:c>
      <x:c r="I19" s="1" t="s">
        <x:v>317</x:v>
      </x:c>
      <x:c r="J19" s="1" t="s">
        <x:v>147</x:v>
      </x:c>
      <x:c r="K19" s="1" t="s">
        <x:v>145</x:v>
      </x:c>
      <x:c r="L19" s="1" t="s">
        <x:v>146</x:v>
      </x:c>
      <x:c r="M19" s="1" t="s">
        <x:v>375</x:v>
      </x:c>
      <x:c r="N19" s="1" t="s">
        <x:v>319</x:v>
      </x:c>
      <x:c r="O19" s="1" t="s">
        <x:v>320</x:v>
      </x:c>
      <x:c r="P19" s="1"/>
      <x:c r="Q19" s="1" t="s">
        <x:v>376</x:v>
      </x:c>
    </x:row>
    <x:row r="20" ht="42">
      <x:c r="A20" s="1" t="s">
        <x:v>377</x:v>
      </x:c>
      <x:c r="B20" s="1" t="s">
        <x:v>140</x:v>
      </x:c>
      <x:c r="C20" s="1" t="s">
        <x:v>327</x:v>
      </x:c>
      <x:c r="D20" s="1" t="s">
        <x:v>378</x:v>
      </x:c>
      <x:c r="E20" s="6">
        <x:v>666680</x:v>
      </x:c>
      <x:c r="F20" s="6" t="s">
        <x:v>144</x:v>
      </x:c>
      <x:c r="G20" s="6">
        <x:v>666680</x:v>
      </x:c>
      <x:c r="H20" s="6" t="s">
        <x:v>144</x:v>
      </x:c>
      <x:c r="I20" s="1" t="s">
        <x:v>317</x:v>
      </x:c>
      <x:c r="J20" s="1" t="s">
        <x:v>147</x:v>
      </x:c>
      <x:c r="K20" s="1" t="s">
        <x:v>145</x:v>
      </x:c>
      <x:c r="L20" s="1" t="s">
        <x:v>146</x:v>
      </x:c>
      <x:c r="M20" s="1" t="s">
        <x:v>375</x:v>
      </x:c>
      <x:c r="N20" s="1" t="s">
        <x:v>319</x:v>
      </x:c>
      <x:c r="O20" s="1" t="s">
        <x:v>320</x:v>
      </x:c>
      <x:c r="P20" s="1"/>
      <x:c r="Q20" s="1" t="s">
        <x:v>329</x:v>
      </x:c>
    </x:row>
    <x:row r="21" ht="42">
      <x:c r="A21" s="1" t="s">
        <x:v>379</x:v>
      </x:c>
      <x:c r="B21" s="1" t="s">
        <x:v>140</x:v>
      </x:c>
      <x:c r="C21" s="1" t="s">
        <x:v>380</x:v>
      </x:c>
      <x:c r="D21" s="1" t="s">
        <x:v>381</x:v>
      </x:c>
      <x:c r="E21" s="6">
        <x:v>1000</x:v>
      </x:c>
      <x:c r="F21" s="6" t="s">
        <x:v>85</x:v>
      </x:c>
      <x:c r="G21" s="6">
        <x:v>1000</x:v>
      </x:c>
      <x:c r="H21" s="6" t="s">
        <x:v>85</x:v>
      </x:c>
      <x:c r="I21" s="1" t="s">
        <x:v>382</x:v>
      </x:c>
      <x:c r="J21" s="1" t="s">
        <x:v>147</x:v>
      </x:c>
      <x:c r="K21" s="1" t="s">
        <x:v>145</x:v>
      </x:c>
      <x:c r="L21" s="1" t="s">
        <x:v>146</x:v>
      </x:c>
      <x:c r="M21" s="1" t="s">
        <x:v>375</x:v>
      </x:c>
      <x:c r="N21" s="1" t="s">
        <x:v>319</x:v>
      </x:c>
      <x:c r="O21" s="1" t="s">
        <x:v>320</x:v>
      </x:c>
      <x:c r="P21" s="1"/>
      <x:c r="Q21" s="1" t="s">
        <x:v>383</x:v>
      </x:c>
    </x:row>
    <x:row r="22" ht="42">
      <x:c r="A22" s="1" t="s">
        <x:v>384</x:v>
      </x:c>
      <x:c r="B22" s="1" t="s">
        <x:v>161</x:v>
      </x:c>
      <x:c r="C22" s="1" t="s">
        <x:v>333</x:v>
      </x:c>
      <x:c r="D22" s="1" t="s">
        <x:v>385</x:v>
      </x:c>
      <x:c r="E22" s="6">
        <x:v>254.4787</x:v>
      </x:c>
      <x:c r="F22" s="6" t="s">
        <x:v>85</x:v>
      </x:c>
      <x:c r="G22" s="6">
        <x:v>254.4787</x:v>
      </x:c>
      <x:c r="H22" s="6" t="s">
        <x:v>85</x:v>
      </x:c>
      <x:c r="I22" s="1" t="s">
        <x:v>386</x:v>
      </x:c>
      <x:c r="J22" s="1" t="s">
        <x:v>167</x:v>
      </x:c>
      <x:c r="K22" s="1" t="s">
        <x:v>165</x:v>
      </x:c>
      <x:c r="L22" s="1" t="s">
        <x:v>166</x:v>
      </x:c>
      <x:c r="M22" s="1" t="s">
        <x:v>387</x:v>
      </x:c>
      <x:c r="N22" s="1" t="s">
        <x:v>319</x:v>
      </x:c>
      <x:c r="O22" s="1" t="s">
        <x:v>320</x:v>
      </x:c>
      <x:c r="P22" s="1"/>
      <x:c r="Q22" s="1" t="s">
        <x:v>388</x:v>
      </x:c>
    </x:row>
    <x:row r="23" ht="42">
      <x:c r="A23" s="1" t="s">
        <x:v>389</x:v>
      </x:c>
      <x:c r="B23" s="1" t="s">
        <x:v>161</x:v>
      </x:c>
      <x:c r="C23" s="1" t="s">
        <x:v>333</x:v>
      </x:c>
      <x:c r="D23" s="1" t="s">
        <x:v>390</x:v>
      </x:c>
      <x:c r="E23" s="6">
        <x:v>61.8</x:v>
      </x:c>
      <x:c r="F23" s="6" t="s">
        <x:v>85</x:v>
      </x:c>
      <x:c r="G23" s="6">
        <x:v>61.8</x:v>
      </x:c>
      <x:c r="H23" s="6" t="s">
        <x:v>85</x:v>
      </x:c>
      <x:c r="I23" s="1" t="s">
        <x:v>386</x:v>
      </x:c>
      <x:c r="J23" s="1" t="s">
        <x:v>167</x:v>
      </x:c>
      <x:c r="K23" s="1" t="s">
        <x:v>165</x:v>
      </x:c>
      <x:c r="L23" s="1" t="s">
        <x:v>166</x:v>
      </x:c>
      <x:c r="M23" s="1" t="s">
        <x:v>387</x:v>
      </x:c>
      <x:c r="N23" s="1" t="s">
        <x:v>319</x:v>
      </x:c>
      <x:c r="O23" s="1" t="s">
        <x:v>320</x:v>
      </x:c>
      <x:c r="P23" s="1"/>
      <x:c r="Q23" s="1" t="s">
        <x:v>388</x:v>
      </x:c>
    </x:row>
    <x:row r="24" ht="42">
      <x:c r="A24" s="1" t="s">
        <x:v>391</x:v>
      </x:c>
      <x:c r="B24" s="1" t="s">
        <x:v>161</x:v>
      </x:c>
      <x:c r="C24" s="1" t="s">
        <x:v>333</x:v>
      </x:c>
      <x:c r="D24" s="1" t="s">
        <x:v>392</x:v>
      </x:c>
      <x:c r="E24" s="6">
        <x:v>54.384</x:v>
      </x:c>
      <x:c r="F24" s="6" t="s">
        <x:v>85</x:v>
      </x:c>
      <x:c r="G24" s="6">
        <x:v>54.384</x:v>
      </x:c>
      <x:c r="H24" s="6" t="s">
        <x:v>85</x:v>
      </x:c>
      <x:c r="I24" s="1" t="s">
        <x:v>386</x:v>
      </x:c>
      <x:c r="J24" s="1" t="s">
        <x:v>167</x:v>
      </x:c>
      <x:c r="K24" s="1" t="s">
        <x:v>165</x:v>
      </x:c>
      <x:c r="L24" s="1" t="s">
        <x:v>166</x:v>
      </x:c>
      <x:c r="M24" s="1" t="s">
        <x:v>387</x:v>
      </x:c>
      <x:c r="N24" s="1" t="s">
        <x:v>319</x:v>
      </x:c>
      <x:c r="O24" s="1" t="s">
        <x:v>320</x:v>
      </x:c>
      <x:c r="P24" s="1"/>
      <x:c r="Q24" s="1" t="s">
        <x:v>388</x:v>
      </x:c>
    </x:row>
    <x:row r="25" ht="42">
      <x:c r="A25" s="1" t="s">
        <x:v>393</x:v>
      </x:c>
      <x:c r="B25" s="1" t="s">
        <x:v>161</x:v>
      </x:c>
      <x:c r="C25" s="1" t="s">
        <x:v>333</x:v>
      </x:c>
      <x:c r="D25" s="1" t="s">
        <x:v>394</x:v>
      </x:c>
      <x:c r="E25" s="6">
        <x:v>7.0039999999999996</x:v>
      </x:c>
      <x:c r="F25" s="6" t="s">
        <x:v>85</x:v>
      </x:c>
      <x:c r="G25" s="6">
        <x:v>7.0039999999999996</x:v>
      </x:c>
      <x:c r="H25" s="6" t="s">
        <x:v>85</x:v>
      </x:c>
      <x:c r="I25" s="1" t="s">
        <x:v>386</x:v>
      </x:c>
      <x:c r="J25" s="1" t="s">
        <x:v>167</x:v>
      </x:c>
      <x:c r="K25" s="1" t="s">
        <x:v>165</x:v>
      </x:c>
      <x:c r="L25" s="1" t="s">
        <x:v>166</x:v>
      </x:c>
      <x:c r="M25" s="1" t="s">
        <x:v>387</x:v>
      </x:c>
      <x:c r="N25" s="1" t="s">
        <x:v>319</x:v>
      </x:c>
      <x:c r="O25" s="1" t="s">
        <x:v>320</x:v>
      </x:c>
      <x:c r="P25" s="1"/>
      <x:c r="Q25" s="1" t="s">
        <x:v>388</x:v>
      </x:c>
    </x:row>
    <x:row r="26" ht="42">
      <x:c r="A26" s="1" t="s">
        <x:v>395</x:v>
      </x:c>
      <x:c r="B26" s="1" t="s">
        <x:v>161</x:v>
      </x:c>
      <x:c r="C26" s="1" t="s">
        <x:v>333</x:v>
      </x:c>
      <x:c r="D26" s="1" t="s">
        <x:v>396</x:v>
      </x:c>
      <x:c r="E26" s="6">
        <x:v>103</x:v>
      </x:c>
      <x:c r="F26" s="6" t="s">
        <x:v>85</x:v>
      </x:c>
      <x:c r="G26" s="6">
        <x:v>103</x:v>
      </x:c>
      <x:c r="H26" s="6" t="s">
        <x:v>85</x:v>
      </x:c>
      <x:c r="I26" s="1" t="s">
        <x:v>386</x:v>
      </x:c>
      <x:c r="J26" s="1" t="s">
        <x:v>167</x:v>
      </x:c>
      <x:c r="K26" s="1" t="s">
        <x:v>165</x:v>
      </x:c>
      <x:c r="L26" s="1" t="s">
        <x:v>166</x:v>
      </x:c>
      <x:c r="M26" s="1" t="s">
        <x:v>387</x:v>
      </x:c>
      <x:c r="N26" s="1" t="s">
        <x:v>319</x:v>
      </x:c>
      <x:c r="O26" s="1" t="s">
        <x:v>320</x:v>
      </x:c>
      <x:c r="P26" s="1"/>
      <x:c r="Q26" s="1" t="s">
        <x:v>388</x:v>
      </x:c>
    </x:row>
    <x:row r="27" ht="42">
      <x:c r="A27" s="1" t="s">
        <x:v>397</x:v>
      </x:c>
      <x:c r="B27" s="1" t="s">
        <x:v>161</x:v>
      </x:c>
      <x:c r="C27" s="1" t="s">
        <x:v>333</x:v>
      </x:c>
      <x:c r="D27" s="1" t="s">
        <x:v>398</x:v>
      </x:c>
      <x:c r="E27" s="6">
        <x:v>34.333300000000001</x:v>
      </x:c>
      <x:c r="F27" s="6" t="s">
        <x:v>85</x:v>
      </x:c>
      <x:c r="G27" s="6">
        <x:v>34.333300000000001</x:v>
      </x:c>
      <x:c r="H27" s="6" t="s">
        <x:v>85</x:v>
      </x:c>
      <x:c r="I27" s="1" t="s">
        <x:v>386</x:v>
      </x:c>
      <x:c r="J27" s="1" t="s">
        <x:v>167</x:v>
      </x:c>
      <x:c r="K27" s="1" t="s">
        <x:v>165</x:v>
      </x:c>
      <x:c r="L27" s="1" t="s">
        <x:v>166</x:v>
      </x:c>
      <x:c r="M27" s="1" t="s">
        <x:v>387</x:v>
      </x:c>
      <x:c r="N27" s="1" t="s">
        <x:v>319</x:v>
      </x:c>
      <x:c r="O27" s="1" t="s">
        <x:v>320</x:v>
      </x:c>
      <x:c r="P27" s="1"/>
      <x:c r="Q27" s="1" t="s">
        <x:v>388</x:v>
      </x:c>
    </x:row>
    <x:row r="28" ht="42">
      <x:c r="A28" s="1" t="s">
        <x:v>399</x:v>
      </x:c>
      <x:c r="B28" s="1" t="s">
        <x:v>161</x:v>
      </x:c>
      <x:c r="C28" s="1" t="s">
        <x:v>333</x:v>
      </x:c>
      <x:c r="D28" s="1" t="s">
        <x:v>400</x:v>
      </x:c>
      <x:c r="E28" s="6">
        <x:v>20</x:v>
      </x:c>
      <x:c r="F28" s="6" t="s">
        <x:v>85</x:v>
      </x:c>
      <x:c r="G28" s="6">
        <x:v>20</x:v>
      </x:c>
      <x:c r="H28" s="6" t="s">
        <x:v>85</x:v>
      </x:c>
      <x:c r="I28" s="1" t="s">
        <x:v>386</x:v>
      </x:c>
      <x:c r="J28" s="1" t="s">
        <x:v>167</x:v>
      </x:c>
      <x:c r="K28" s="1" t="s">
        <x:v>165</x:v>
      </x:c>
      <x:c r="L28" s="1" t="s">
        <x:v>166</x:v>
      </x:c>
      <x:c r="M28" s="1" t="s">
        <x:v>387</x:v>
      </x:c>
      <x:c r="N28" s="1" t="s">
        <x:v>319</x:v>
      </x:c>
      <x:c r="O28" s="1" t="s">
        <x:v>320</x:v>
      </x:c>
      <x:c r="P28" s="1"/>
      <x:c r="Q28" s="1" t="s">
        <x:v>388</x:v>
      </x:c>
    </x:row>
    <x:row r="29" ht="42">
      <x:c r="A29" s="1" t="s">
        <x:v>401</x:v>
      </x:c>
      <x:c r="B29" s="1" t="s">
        <x:v>161</x:v>
      </x:c>
      <x:c r="C29" s="1" t="s">
        <x:v>333</x:v>
      </x:c>
      <x:c r="D29" s="1" t="s">
        <x:v>400</x:v>
      </x:c>
      <x:c r="E29" s="6">
        <x:v>20</x:v>
      </x:c>
      <x:c r="F29" s="6" t="s">
        <x:v>85</x:v>
      </x:c>
      <x:c r="G29" s="6">
        <x:v>20</x:v>
      </x:c>
      <x:c r="H29" s="6" t="s">
        <x:v>85</x:v>
      </x:c>
      <x:c r="I29" s="1" t="s">
        <x:v>386</x:v>
      </x:c>
      <x:c r="J29" s="1" t="s">
        <x:v>167</x:v>
      </x:c>
      <x:c r="K29" s="1" t="s">
        <x:v>165</x:v>
      </x:c>
      <x:c r="L29" s="1" t="s">
        <x:v>166</x:v>
      </x:c>
      <x:c r="M29" s="1" t="s">
        <x:v>387</x:v>
      </x:c>
      <x:c r="N29" s="1" t="s">
        <x:v>319</x:v>
      </x:c>
      <x:c r="O29" s="1" t="s">
        <x:v>320</x:v>
      </x:c>
      <x:c r="P29" s="1"/>
      <x:c r="Q29" s="1" t="s">
        <x:v>388</x:v>
      </x:c>
    </x:row>
    <x:row r="30" ht="42">
      <x:c r="A30" s="1" t="s">
        <x:v>402</x:v>
      </x:c>
      <x:c r="B30" s="1" t="s">
        <x:v>161</x:v>
      </x:c>
      <x:c r="C30" s="1" t="s">
        <x:v>333</x:v>
      </x:c>
      <x:c r="D30" s="1" t="s">
        <x:v>400</x:v>
      </x:c>
      <x:c r="E30" s="6">
        <x:v>20</x:v>
      </x:c>
      <x:c r="F30" s="6" t="s">
        <x:v>85</x:v>
      </x:c>
      <x:c r="G30" s="6">
        <x:v>20</x:v>
      </x:c>
      <x:c r="H30" s="6" t="s">
        <x:v>85</x:v>
      </x:c>
      <x:c r="I30" s="1" t="s">
        <x:v>386</x:v>
      </x:c>
      <x:c r="J30" s="1" t="s">
        <x:v>167</x:v>
      </x:c>
      <x:c r="K30" s="1" t="s">
        <x:v>165</x:v>
      </x:c>
      <x:c r="L30" s="1" t="s">
        <x:v>166</x:v>
      </x:c>
      <x:c r="M30" s="1" t="s">
        <x:v>387</x:v>
      </x:c>
      <x:c r="N30" s="1" t="s">
        <x:v>319</x:v>
      </x:c>
      <x:c r="O30" s="1" t="s">
        <x:v>320</x:v>
      </x:c>
      <x:c r="P30" s="1"/>
      <x:c r="Q30" s="1" t="s">
        <x:v>388</x:v>
      </x:c>
    </x:row>
    <x:row r="31" ht="42">
      <x:c r="A31" s="1" t="s">
        <x:v>403</x:v>
      </x:c>
      <x:c r="B31" s="1" t="s">
        <x:v>161</x:v>
      </x:c>
      <x:c r="C31" s="1" t="s">
        <x:v>333</x:v>
      </x:c>
      <x:c r="D31" s="1" t="s">
        <x:v>404</x:v>
      </x:c>
      <x:c r="E31" s="6">
        <x:v>60</x:v>
      </x:c>
      <x:c r="F31" s="6" t="s">
        <x:v>85</x:v>
      </x:c>
      <x:c r="G31" s="6">
        <x:v>60</x:v>
      </x:c>
      <x:c r="H31" s="6" t="s">
        <x:v>85</x:v>
      </x:c>
      <x:c r="I31" s="1" t="s">
        <x:v>386</x:v>
      </x:c>
      <x:c r="J31" s="1" t="s">
        <x:v>167</x:v>
      </x:c>
      <x:c r="K31" s="1" t="s">
        <x:v>165</x:v>
      </x:c>
      <x:c r="L31" s="1" t="s">
        <x:v>166</x:v>
      </x:c>
      <x:c r="M31" s="1" t="s">
        <x:v>387</x:v>
      </x:c>
      <x:c r="N31" s="1" t="s">
        <x:v>319</x:v>
      </x:c>
      <x:c r="O31" s="1" t="s">
        <x:v>320</x:v>
      </x:c>
      <x:c r="P31" s="1"/>
      <x:c r="Q31" s="1" t="s">
        <x:v>388</x:v>
      </x:c>
    </x:row>
    <x:row r="32" ht="42">
      <x:c r="A32" s="1" t="s">
        <x:v>405</x:v>
      </x:c>
      <x:c r="B32" s="1" t="s">
        <x:v>161</x:v>
      </x:c>
      <x:c r="C32" s="1" t="s">
        <x:v>406</x:v>
      </x:c>
      <x:c r="D32" s="1" t="s">
        <x:v>407</x:v>
      </x:c>
      <x:c r="E32" s="6">
        <x:v>515000</x:v>
      </x:c>
      <x:c r="F32" s="6" t="s">
        <x:v>144</x:v>
      </x:c>
      <x:c r="G32" s="6">
        <x:v>515000</x:v>
      </x:c>
      <x:c r="H32" s="6" t="s">
        <x:v>144</x:v>
      </x:c>
      <x:c r="I32" s="1" t="s">
        <x:v>317</x:v>
      </x:c>
      <x:c r="J32" s="1" t="s">
        <x:v>167</x:v>
      </x:c>
      <x:c r="K32" s="1" t="s">
        <x:v>165</x:v>
      </x:c>
      <x:c r="L32" s="1" t="s">
        <x:v>166</x:v>
      </x:c>
      <x:c r="M32" s="1" t="s">
        <x:v>387</x:v>
      </x:c>
      <x:c r="N32" s="1" t="s">
        <x:v>319</x:v>
      </x:c>
      <x:c r="O32" s="1" t="s">
        <x:v>320</x:v>
      </x:c>
      <x:c r="P32" s="1"/>
      <x:c r="Q32" s="1" t="s">
        <x:v>408</x:v>
      </x:c>
    </x:row>
    <x:row r="33" ht="42">
      <x:c r="A33" s="1" t="s">
        <x:v>409</x:v>
      </x:c>
      <x:c r="B33" s="1" t="s">
        <x:v>161</x:v>
      </x:c>
      <x:c r="C33" s="1" t="s">
        <x:v>410</x:v>
      </x:c>
      <x:c r="D33" s="1" t="s">
        <x:v>411</x:v>
      </x:c>
      <x:c r="E33" s="6">
        <x:v>180250</x:v>
      </x:c>
      <x:c r="F33" s="6" t="s">
        <x:v>144</x:v>
      </x:c>
      <x:c r="G33" s="6">
        <x:v>180250</x:v>
      </x:c>
      <x:c r="H33" s="6" t="s">
        <x:v>144</x:v>
      </x:c>
      <x:c r="I33" s="1" t="s">
        <x:v>317</x:v>
      </x:c>
      <x:c r="J33" s="1" t="s">
        <x:v>167</x:v>
      </x:c>
      <x:c r="K33" s="1" t="s">
        <x:v>165</x:v>
      </x:c>
      <x:c r="L33" s="1" t="s">
        <x:v>166</x:v>
      </x:c>
      <x:c r="M33" s="1" t="s">
        <x:v>387</x:v>
      </x:c>
      <x:c r="N33" s="1" t="s">
        <x:v>319</x:v>
      </x:c>
      <x:c r="O33" s="1" t="s">
        <x:v>320</x:v>
      </x:c>
      <x:c r="P33" s="1"/>
      <x:c r="Q33" s="1" t="s">
        <x:v>412</x:v>
      </x:c>
    </x:row>
    <x:row r="34" ht="42">
      <x:c r="A34" s="1" t="s">
        <x:v>413</x:v>
      </x:c>
      <x:c r="B34" s="1" t="s">
        <x:v>161</x:v>
      </x:c>
      <x:c r="C34" s="1" t="s">
        <x:v>414</x:v>
      </x:c>
      <x:c r="D34" s="1" t="s">
        <x:v>415</x:v>
      </x:c>
      <x:c r="E34" s="6">
        <x:v>94417</x:v>
      </x:c>
      <x:c r="F34" s="6" t="s">
        <x:v>144</x:v>
      </x:c>
      <x:c r="G34" s="6">
        <x:v>94417</x:v>
      </x:c>
      <x:c r="H34" s="6" t="s">
        <x:v>144</x:v>
      </x:c>
      <x:c r="I34" s="1" t="s">
        <x:v>317</x:v>
      </x:c>
      <x:c r="J34" s="1" t="s">
        <x:v>167</x:v>
      </x:c>
      <x:c r="K34" s="1" t="s">
        <x:v>165</x:v>
      </x:c>
      <x:c r="L34" s="1" t="s">
        <x:v>166</x:v>
      </x:c>
      <x:c r="M34" s="1" t="s">
        <x:v>387</x:v>
      </x:c>
      <x:c r="N34" s="1" t="s">
        <x:v>319</x:v>
      </x:c>
      <x:c r="O34" s="1" t="s">
        <x:v>320</x:v>
      </x:c>
      <x:c r="P34" s="1"/>
      <x:c r="Q34" s="1" t="s">
        <x:v>416</x:v>
      </x:c>
    </x:row>
    <x:row r="35" ht="42">
      <x:c r="A35" s="1" t="s">
        <x:v>417</x:v>
      </x:c>
      <x:c r="B35" s="1" t="s">
        <x:v>161</x:v>
      </x:c>
      <x:c r="C35" s="1" t="s">
        <x:v>418</x:v>
      </x:c>
      <x:c r="D35" s="1" t="s">
        <x:v>419</x:v>
      </x:c>
      <x:c r="E35" s="6">
        <x:v>369083</x:v>
      </x:c>
      <x:c r="F35" s="6" t="s">
        <x:v>144</x:v>
      </x:c>
      <x:c r="G35" s="6">
        <x:v>369083</x:v>
      </x:c>
      <x:c r="H35" s="6" t="s">
        <x:v>144</x:v>
      </x:c>
      <x:c r="I35" s="1" t="s">
        <x:v>317</x:v>
      </x:c>
      <x:c r="J35" s="1" t="s">
        <x:v>167</x:v>
      </x:c>
      <x:c r="K35" s="1" t="s">
        <x:v>165</x:v>
      </x:c>
      <x:c r="L35" s="1" t="s">
        <x:v>166</x:v>
      </x:c>
      <x:c r="M35" s="1" t="s">
        <x:v>387</x:v>
      </x:c>
      <x:c r="N35" s="1" t="s">
        <x:v>319</x:v>
      </x:c>
      <x:c r="O35" s="1" t="s">
        <x:v>320</x:v>
      </x:c>
      <x:c r="P35" s="1"/>
      <x:c r="Q35" s="1" t="s">
        <x:v>420</x:v>
      </x:c>
    </x:row>
    <x:row r="36" ht="42">
      <x:c r="A36" s="1" t="s">
        <x:v>196</x:v>
      </x:c>
      <x:c r="B36" s="1" t="s">
        <x:v>161</x:v>
      </x:c>
      <x:c r="C36" s="1" t="s">
        <x:v>327</x:v>
      </x:c>
      <x:c r="D36" s="1" t="s">
        <x:v>421</x:v>
      </x:c>
      <x:c r="E36" s="6">
        <x:v>1158750</x:v>
      </x:c>
      <x:c r="F36" s="6" t="s">
        <x:v>144</x:v>
      </x:c>
      <x:c r="G36" s="6">
        <x:v>1158750</x:v>
      </x:c>
      <x:c r="H36" s="6" t="s">
        <x:v>144</x:v>
      </x:c>
      <x:c r="I36" s="1" t="s">
        <x:v>317</x:v>
      </x:c>
      <x:c r="J36" s="1" t="s">
        <x:v>167</x:v>
      </x:c>
      <x:c r="K36" s="1" t="s">
        <x:v>165</x:v>
      </x:c>
      <x:c r="L36" s="1" t="s">
        <x:v>166</x:v>
      </x:c>
      <x:c r="M36" s="1" t="s">
        <x:v>387</x:v>
      </x:c>
      <x:c r="N36" s="1" t="s">
        <x:v>319</x:v>
      </x:c>
      <x:c r="O36" s="1" t="s">
        <x:v>320</x:v>
      </x:c>
      <x:c r="P36" s="1"/>
      <x:c r="Q36" s="1" t="s">
        <x:v>329</x:v>
      </x:c>
    </x:row>
    <x:row r="37" ht="42">
      <x:c r="A37" s="1" t="s">
        <x:v>422</x:v>
      </x:c>
      <x:c r="B37" s="1" t="s">
        <x:v>161</x:v>
      </x:c>
      <x:c r="C37" s="1" t="s">
        <x:v>406</x:v>
      </x:c>
      <x:c r="D37" s="1" t="s">
        <x:v>423</x:v>
      </x:c>
      <x:c r="E37" s="6">
        <x:v>1500</x:v>
      </x:c>
      <x:c r="F37" s="6" t="s">
        <x:v>85</x:v>
      </x:c>
      <x:c r="G37" s="6">
        <x:v>1500</x:v>
      </x:c>
      <x:c r="H37" s="6" t="s">
        <x:v>85</x:v>
      </x:c>
      <x:c r="I37" s="1" t="s">
        <x:v>317</x:v>
      </x:c>
      <x:c r="J37" s="1" t="s">
        <x:v>167</x:v>
      </x:c>
      <x:c r="K37" s="1" t="s">
        <x:v>165</x:v>
      </x:c>
      <x:c r="L37" s="1" t="s">
        <x:v>166</x:v>
      </x:c>
      <x:c r="M37" s="1" t="s">
        <x:v>387</x:v>
      </x:c>
      <x:c r="N37" s="1" t="s">
        <x:v>319</x:v>
      </x:c>
      <x:c r="O37" s="1" t="s">
        <x:v>320</x:v>
      </x:c>
      <x:c r="P37" s="1"/>
      <x:c r="Q37" s="1" t="s">
        <x:v>408</x:v>
      </x:c>
    </x:row>
    <x:row r="38" ht="42">
      <x:c r="A38" s="1" t="s">
        <x:v>424</x:v>
      </x:c>
      <x:c r="B38" s="1" t="s">
        <x:v>161</x:v>
      </x:c>
      <x:c r="C38" s="1" t="s">
        <x:v>410</x:v>
      </x:c>
      <x:c r="D38" s="1" t="s">
        <x:v>425</x:v>
      </x:c>
      <x:c r="E38" s="6">
        <x:v>524.99940000000004</x:v>
      </x:c>
      <x:c r="F38" s="6" t="s">
        <x:v>85</x:v>
      </x:c>
      <x:c r="G38" s="6">
        <x:v>524.99940000000004</x:v>
      </x:c>
      <x:c r="H38" s="6" t="s">
        <x:v>85</x:v>
      </x:c>
      <x:c r="I38" s="1" t="s">
        <x:v>317</x:v>
      </x:c>
      <x:c r="J38" s="1" t="s">
        <x:v>167</x:v>
      </x:c>
      <x:c r="K38" s="1" t="s">
        <x:v>165</x:v>
      </x:c>
      <x:c r="L38" s="1" t="s">
        <x:v>166</x:v>
      </x:c>
      <x:c r="M38" s="1" t="s">
        <x:v>387</x:v>
      </x:c>
      <x:c r="N38" s="1" t="s">
        <x:v>319</x:v>
      </x:c>
      <x:c r="O38" s="1" t="s">
        <x:v>320</x:v>
      </x:c>
      <x:c r="P38" s="1"/>
      <x:c r="Q38" s="1" t="s">
        <x:v>412</x:v>
      </x:c>
    </x:row>
    <x:row r="39" ht="42">
      <x:c r="A39" s="1" t="s">
        <x:v>426</x:v>
      </x:c>
      <x:c r="B39" s="1" t="s">
        <x:v>161</x:v>
      </x:c>
      <x:c r="C39" s="1" t="s">
        <x:v>414</x:v>
      </x:c>
      <x:c r="D39" s="1" t="s">
        <x:v>427</x:v>
      </x:c>
      <x:c r="E39" s="6">
        <x:v>275.00599999999997</x:v>
      </x:c>
      <x:c r="F39" s="6" t="s">
        <x:v>85</x:v>
      </x:c>
      <x:c r="G39" s="6">
        <x:v>275.00599999999997</x:v>
      </x:c>
      <x:c r="H39" s="6" t="s">
        <x:v>85</x:v>
      </x:c>
      <x:c r="I39" s="1" t="s">
        <x:v>317</x:v>
      </x:c>
      <x:c r="J39" s="1" t="s">
        <x:v>167</x:v>
      </x:c>
      <x:c r="K39" s="1" t="s">
        <x:v>165</x:v>
      </x:c>
      <x:c r="L39" s="1" t="s">
        <x:v>166</x:v>
      </x:c>
      <x:c r="M39" s="1" t="s">
        <x:v>387</x:v>
      </x:c>
      <x:c r="N39" s="1" t="s">
        <x:v>319</x:v>
      </x:c>
      <x:c r="O39" s="1" t="s">
        <x:v>320</x:v>
      </x:c>
      <x:c r="P39" s="1"/>
      <x:c r="Q39" s="1" t="s">
        <x:v>416</x:v>
      </x:c>
    </x:row>
    <x:row r="40" ht="42">
      <x:c r="A40" s="1" t="s">
        <x:v>428</x:v>
      </x:c>
      <x:c r="B40" s="1" t="s">
        <x:v>161</x:v>
      </x:c>
      <x:c r="C40" s="1" t="s">
        <x:v>418</x:v>
      </x:c>
      <x:c r="D40" s="1" t="s">
        <x:v>429</x:v>
      </x:c>
      <x:c r="E40" s="6">
        <x:v>1075</x:v>
      </x:c>
      <x:c r="F40" s="6" t="s">
        <x:v>85</x:v>
      </x:c>
      <x:c r="G40" s="6">
        <x:v>1075</x:v>
      </x:c>
      <x:c r="H40" s="6" t="s">
        <x:v>85</x:v>
      </x:c>
      <x:c r="I40" s="1" t="s">
        <x:v>317</x:v>
      </x:c>
      <x:c r="J40" s="1" t="s">
        <x:v>167</x:v>
      </x:c>
      <x:c r="K40" s="1" t="s">
        <x:v>165</x:v>
      </x:c>
      <x:c r="L40" s="1" t="s">
        <x:v>166</x:v>
      </x:c>
      <x:c r="M40" s="1" t="s">
        <x:v>387</x:v>
      </x:c>
      <x:c r="N40" s="1" t="s">
        <x:v>319</x:v>
      </x:c>
      <x:c r="O40" s="1" t="s">
        <x:v>320</x:v>
      </x:c>
      <x:c r="P40" s="1"/>
      <x:c r="Q40" s="1" t="s">
        <x:v>420</x:v>
      </x:c>
    </x:row>
    <x:row r="41" ht="42">
      <x:c r="A41" s="1" t="s">
        <x:v>430</x:v>
      </x:c>
      <x:c r="B41" s="1" t="s">
        <x:v>161</x:v>
      </x:c>
      <x:c r="C41" s="1" t="s">
        <x:v>327</x:v>
      </x:c>
      <x:c r="D41" s="1" t="s">
        <x:v>431</x:v>
      </x:c>
      <x:c r="E41" s="6">
        <x:v>29.13</x:v>
      </x:c>
      <x:c r="F41" s="6" t="s">
        <x:v>157</x:v>
      </x:c>
      <x:c r="G41" s="6">
        <x:v>29.13</x:v>
      </x:c>
      <x:c r="H41" s="6" t="s">
        <x:v>157</x:v>
      </x:c>
      <x:c r="I41" s="1" t="s">
        <x:v>317</x:v>
      </x:c>
      <x:c r="J41" s="1" t="s">
        <x:v>167</x:v>
      </x:c>
      <x:c r="K41" s="1" t="s">
        <x:v>165</x:v>
      </x:c>
      <x:c r="L41" s="1" t="s">
        <x:v>166</x:v>
      </x:c>
      <x:c r="M41" s="1" t="s">
        <x:v>387</x:v>
      </x:c>
      <x:c r="N41" s="1" t="s">
        <x:v>319</x:v>
      </x:c>
      <x:c r="O41" s="1" t="s">
        <x:v>320</x:v>
      </x:c>
      <x:c r="P41" s="1"/>
      <x:c r="Q41" s="1" t="s">
        <x:v>329</x:v>
      </x:c>
    </x:row>
    <x:row r="42" ht="42">
      <x:c r="A42" s="1" t="s">
        <x:v>432</x:v>
      </x:c>
      <x:c r="B42" s="1" t="s">
        <x:v>216</x:v>
      </x:c>
      <x:c r="C42" s="1" t="s">
        <x:v>352</x:v>
      </x:c>
      <x:c r="D42" s="1" t="s">
        <x:v>433</x:v>
      </x:c>
      <x:c r="E42" s="6">
        <x:v>400000</x:v>
      </x:c>
      <x:c r="F42" s="6" t="s">
        <x:v>144</x:v>
      </x:c>
      <x:c r="G42" s="6">
        <x:v>400000</x:v>
      </x:c>
      <x:c r="H42" s="6" t="s">
        <x:v>144</x:v>
      </x:c>
      <x:c r="I42" s="1" t="s">
        <x:v>317</x:v>
      </x:c>
      <x:c r="J42" s="1" t="s">
        <x:v>221</x:v>
      </x:c>
      <x:c r="K42" s="1" t="s">
        <x:v>219</x:v>
      </x:c>
      <x:c r="L42" s="1" t="s">
        <x:v>220</x:v>
      </x:c>
      <x:c r="M42" s="1" t="s">
        <x:v>434</x:v>
      </x:c>
      <x:c r="N42" s="1" t="s">
        <x:v>319</x:v>
      </x:c>
      <x:c r="O42" s="1" t="s">
        <x:v>320</x:v>
      </x:c>
      <x:c r="P42" s="1"/>
      <x:c r="Q42" s="1" t="s">
        <x:v>435</x:v>
      </x:c>
    </x:row>
    <x:row r="43" ht="42">
      <x:c r="A43" s="1" t="s">
        <x:v>436</x:v>
      </x:c>
      <x:c r="B43" s="1" t="s">
        <x:v>216</x:v>
      </x:c>
      <x:c r="C43" s="1" t="s">
        <x:v>352</x:v>
      </x:c>
      <x:c r="D43" s="1" t="s">
        <x:v>433</x:v>
      </x:c>
      <x:c r="E43" s="6">
        <x:v>400000</x:v>
      </x:c>
      <x:c r="F43" s="6" t="s">
        <x:v>144</x:v>
      </x:c>
      <x:c r="G43" s="6">
        <x:v>400000</x:v>
      </x:c>
      <x:c r="H43" s="6" t="s">
        <x:v>144</x:v>
      </x:c>
      <x:c r="I43" s="1" t="s">
        <x:v>317</x:v>
      </x:c>
      <x:c r="J43" s="1" t="s">
        <x:v>221</x:v>
      </x:c>
      <x:c r="K43" s="1" t="s">
        <x:v>219</x:v>
      </x:c>
      <x:c r="L43" s="1" t="s">
        <x:v>220</x:v>
      </x:c>
      <x:c r="M43" s="1" t="s">
        <x:v>434</x:v>
      </x:c>
      <x:c r="N43" s="1" t="s">
        <x:v>319</x:v>
      </x:c>
      <x:c r="O43" s="1" t="s">
        <x:v>320</x:v>
      </x:c>
      <x:c r="P43" s="1"/>
      <x:c r="Q43" s="1" t="s">
        <x:v>437</x:v>
      </x:c>
    </x:row>
    <x:row r="44" ht="42">
      <x:c r="A44" s="1" t="s">
        <x:v>438</x:v>
      </x:c>
      <x:c r="B44" s="1" t="s">
        <x:v>216</x:v>
      </x:c>
      <x:c r="C44" s="1" t="s">
        <x:v>327</x:v>
      </x:c>
      <x:c r="D44" s="1" t="s">
        <x:v>439</x:v>
      </x:c>
      <x:c r="E44" s="6">
        <x:v>1053360</x:v>
      </x:c>
      <x:c r="F44" s="6" t="s">
        <x:v>144</x:v>
      </x:c>
      <x:c r="G44" s="6">
        <x:v>1053360</x:v>
      </x:c>
      <x:c r="H44" s="6" t="s">
        <x:v>144</x:v>
      </x:c>
      <x:c r="I44" s="1" t="s">
        <x:v>317</x:v>
      </x:c>
      <x:c r="J44" s="1" t="s">
        <x:v>221</x:v>
      </x:c>
      <x:c r="K44" s="1" t="s">
        <x:v>219</x:v>
      </x:c>
      <x:c r="L44" s="1" t="s">
        <x:v>220</x:v>
      </x:c>
      <x:c r="M44" s="1" t="s">
        <x:v>434</x:v>
      </x:c>
      <x:c r="N44" s="1" t="s">
        <x:v>319</x:v>
      </x:c>
      <x:c r="O44" s="1" t="s">
        <x:v>320</x:v>
      </x:c>
      <x:c r="P44" s="1"/>
      <x:c r="Q44" s="1" t="s">
        <x:v>329</x:v>
      </x:c>
    </x:row>
    <x:row r="45" ht="42">
      <x:c r="A45" s="1" t="s">
        <x:v>440</x:v>
      </x:c>
      <x:c r="B45" s="1" t="s">
        <x:v>229</x:v>
      </x:c>
      <x:c r="C45" s="1" t="s">
        <x:v>441</x:v>
      </x:c>
      <x:c r="D45" s="1" t="s">
        <x:v>442</x:v>
      </x:c>
      <x:c r="E45" s="6">
        <x:v>1130488</x:v>
      </x:c>
      <x:c r="F45" s="6" t="s">
        <x:v>144</x:v>
      </x:c>
      <x:c r="G45" s="6">
        <x:v>1130488</x:v>
      </x:c>
      <x:c r="H45" s="6" t="s">
        <x:v>144</x:v>
      </x:c>
      <x:c r="I45" s="1" t="s">
        <x:v>443</x:v>
      </x:c>
      <x:c r="J45" s="1" t="s">
        <x:v>234</x:v>
      </x:c>
      <x:c r="K45" s="1" t="s">
        <x:v>233</x:v>
      </x:c>
      <x:c r="L45" s="1" t="s">
        <x:v>219</x:v>
      </x:c>
      <x:c r="M45" s="1" t="s">
        <x:v>444</x:v>
      </x:c>
      <x:c r="N45" s="1" t="s">
        <x:v>319</x:v>
      </x:c>
      <x:c r="O45" s="1" t="s">
        <x:v>320</x:v>
      </x:c>
      <x:c r="P45" s="1"/>
      <x:c r="Q45" s="1" t="s">
        <x:v>445</x:v>
      </x:c>
    </x:row>
    <x:row r="46" ht="42">
      <x:c r="A46" s="1" t="s">
        <x:v>446</x:v>
      </x:c>
      <x:c r="B46" s="1" t="s">
        <x:v>229</x:v>
      </x:c>
      <x:c r="C46" s="1" t="s">
        <x:v>357</x:v>
      </x:c>
      <x:c r="D46" s="1" t="s">
        <x:v>447</x:v>
      </x:c>
      <x:c r="E46" s="6">
        <x:v>4635</x:v>
      </x:c>
      <x:c r="F46" s="6" t="s">
        <x:v>85</x:v>
      </x:c>
      <x:c r="G46" s="6">
        <x:v>4635</x:v>
      </x:c>
      <x:c r="H46" s="6" t="s">
        <x:v>85</x:v>
      </x:c>
      <x:c r="I46" s="1" t="s">
        <x:v>317</x:v>
      </x:c>
      <x:c r="J46" s="1" t="s">
        <x:v>234</x:v>
      </x:c>
      <x:c r="K46" s="1" t="s">
        <x:v>233</x:v>
      </x:c>
      <x:c r="L46" s="1" t="s">
        <x:v>219</x:v>
      </x:c>
      <x:c r="M46" s="1" t="s">
        <x:v>444</x:v>
      </x:c>
      <x:c r="N46" s="1" t="s">
        <x:v>319</x:v>
      </x:c>
      <x:c r="O46" s="1" t="s">
        <x:v>320</x:v>
      </x:c>
      <x:c r="P46" s="1"/>
      <x:c r="Q46" s="1" t="s">
        <x:v>448</x:v>
      </x:c>
    </x:row>
    <x:row r="47" ht="42">
      <x:c r="A47" s="1" t="s">
        <x:v>449</x:v>
      </x:c>
      <x:c r="B47" s="1" t="s">
        <x:v>229</x:v>
      </x:c>
      <x:c r="C47" s="1" t="s">
        <x:v>327</x:v>
      </x:c>
      <x:c r="D47" s="1" t="s">
        <x:v>450</x:v>
      </x:c>
      <x:c r="E47" s="6">
        <x:v>4748.0487999999996</x:v>
      </x:c>
      <x:c r="F47" s="6" t="s">
        <x:v>85</x:v>
      </x:c>
      <x:c r="G47" s="6">
        <x:v>4748.0487999999996</x:v>
      </x:c>
      <x:c r="H47" s="6" t="s">
        <x:v>85</x:v>
      </x:c>
      <x:c r="I47" s="1" t="s">
        <x:v>317</x:v>
      </x:c>
      <x:c r="J47" s="1" t="s">
        <x:v>234</x:v>
      </x:c>
      <x:c r="K47" s="1" t="s">
        <x:v>233</x:v>
      </x:c>
      <x:c r="L47" s="1" t="s">
        <x:v>219</x:v>
      </x:c>
      <x:c r="M47" s="1" t="s">
        <x:v>444</x:v>
      </x:c>
      <x:c r="N47" s="1" t="s">
        <x:v>319</x:v>
      </x:c>
      <x:c r="O47" s="1" t="s">
        <x:v>320</x:v>
      </x:c>
      <x:c r="P47" s="1"/>
      <x:c r="Q47" s="1" t="s">
        <x:v>329</x:v>
      </x:c>
    </x:row>
    <x:row r="48" ht="42">
      <x:c r="A48" s="1" t="s">
        <x:v>451</x:v>
      </x:c>
      <x:c r="B48" s="1" t="s">
        <x:v>229</x:v>
      </x:c>
      <x:c r="C48" s="1" t="s">
        <x:v>327</x:v>
      </x:c>
      <x:c r="D48" s="1" t="s">
        <x:v>452</x:v>
      </x:c>
      <x:c r="E48" s="6">
        <x:v>47480488</x:v>
      </x:c>
      <x:c r="F48" s="6" t="s">
        <x:v>144</x:v>
      </x:c>
      <x:c r="G48" s="6">
        <x:v>47480488</x:v>
      </x:c>
      <x:c r="H48" s="6" t="s">
        <x:v>144</x:v>
      </x:c>
      <x:c r="I48" s="1" t="s">
        <x:v>317</x:v>
      </x:c>
      <x:c r="J48" s="1" t="s">
        <x:v>234</x:v>
      </x:c>
      <x:c r="K48" s="1" t="s">
        <x:v>233</x:v>
      </x:c>
      <x:c r="L48" s="1" t="s">
        <x:v>219</x:v>
      </x:c>
      <x:c r="M48" s="1" t="s">
        <x:v>444</x:v>
      </x:c>
      <x:c r="N48" s="1" t="s">
        <x:v>319</x:v>
      </x:c>
      <x:c r="O48" s="1" t="s">
        <x:v>320</x:v>
      </x:c>
      <x:c r="P48" s="1"/>
      <x:c r="Q48" s="1" t="s">
        <x:v>329</x:v>
      </x:c>
    </x:row>
    <x:row r="49" ht="42">
      <x:c r="A49" s="1" t="s">
        <x:v>453</x:v>
      </x:c>
      <x:c r="B49" s="1" t="s">
        <x:v>245</x:v>
      </x:c>
      <x:c r="C49" s="1" t="s">
        <x:v>454</x:v>
      </x:c>
      <x:c r="D49" s="1" t="s">
        <x:v>455</x:v>
      </x:c>
      <x:c r="E49" s="6">
        <x:v>968990</x:v>
      </x:c>
      <x:c r="F49" s="6" t="s">
        <x:v>144</x:v>
      </x:c>
      <x:c r="G49" s="6">
        <x:v>968990</x:v>
      </x:c>
      <x:c r="H49" s="6" t="s">
        <x:v>144</x:v>
      </x:c>
      <x:c r="I49" s="1" t="s">
        <x:v>317</x:v>
      </x:c>
      <x:c r="J49" s="1" t="s">
        <x:v>251</x:v>
      </x:c>
      <x:c r="K49" s="1" t="s">
        <x:v>249</x:v>
      </x:c>
      <x:c r="L49" s="1" t="s">
        <x:v>250</x:v>
      </x:c>
      <x:c r="M49" s="1" t="s">
        <x:v>456</x:v>
      </x:c>
      <x:c r="N49" s="1" t="s">
        <x:v>319</x:v>
      </x:c>
      <x:c r="O49" s="1" t="s">
        <x:v>320</x:v>
      </x:c>
      <x:c r="P49" s="1"/>
      <x:c r="Q49" s="1" t="s">
        <x:v>457</x:v>
      </x:c>
    </x:row>
    <x:row r="50" ht="42">
      <x:c r="A50" s="1" t="s">
        <x:v>458</x:v>
      </x:c>
      <x:c r="B50" s="1" t="s">
        <x:v>245</x:v>
      </x:c>
      <x:c r="C50" s="1" t="s">
        <x:v>459</x:v>
      </x:c>
      <x:c r="D50" s="1" t="s">
        <x:v>460</x:v>
      </x:c>
      <x:c r="E50" s="6">
        <x:v>387596</x:v>
      </x:c>
      <x:c r="F50" s="6" t="s">
        <x:v>144</x:v>
      </x:c>
      <x:c r="G50" s="6">
        <x:v>387596</x:v>
      </x:c>
      <x:c r="H50" s="6" t="s">
        <x:v>144</x:v>
      </x:c>
      <x:c r="I50" s="1" t="s">
        <x:v>317</x:v>
      </x:c>
      <x:c r="J50" s="1" t="s">
        <x:v>251</x:v>
      </x:c>
      <x:c r="K50" s="1" t="s">
        <x:v>249</x:v>
      </x:c>
      <x:c r="L50" s="1" t="s">
        <x:v>250</x:v>
      </x:c>
      <x:c r="M50" s="1" t="s">
        <x:v>456</x:v>
      </x:c>
      <x:c r="N50" s="1" t="s">
        <x:v>319</x:v>
      </x:c>
      <x:c r="O50" s="1" t="s">
        <x:v>320</x:v>
      </x:c>
      <x:c r="P50" s="1"/>
      <x:c r="Q50" s="1" t="s">
        <x:v>461</x:v>
      </x:c>
    </x:row>
    <x:row r="51" ht="42">
      <x:c r="A51" s="1" t="s">
        <x:v>462</x:v>
      </x:c>
      <x:c r="B51" s="1" t="s">
        <x:v>245</x:v>
      </x:c>
      <x:c r="C51" s="1" t="s">
        <x:v>357</x:v>
      </x:c>
      <x:c r="D51" s="1" t="s">
        <x:v>463</x:v>
      </x:c>
      <x:c r="E51" s="6">
        <x:v>4748.0487999999996</x:v>
      </x:c>
      <x:c r="F51" s="6" t="s">
        <x:v>85</x:v>
      </x:c>
      <x:c r="G51" s="6">
        <x:v>4748.0487999999996</x:v>
      </x:c>
      <x:c r="H51" s="6" t="s">
        <x:v>85</x:v>
      </x:c>
      <x:c r="I51" s="1" t="s">
        <x:v>317</x:v>
      </x:c>
      <x:c r="J51" s="1" t="s">
        <x:v>251</x:v>
      </x:c>
      <x:c r="K51" s="1" t="s">
        <x:v>249</x:v>
      </x:c>
      <x:c r="L51" s="1" t="s">
        <x:v>250</x:v>
      </x:c>
      <x:c r="M51" s="1" t="s">
        <x:v>456</x:v>
      </x:c>
      <x:c r="N51" s="1" t="s">
        <x:v>319</x:v>
      </x:c>
      <x:c r="O51" s="1" t="s">
        <x:v>320</x:v>
      </x:c>
      <x:c r="P51" s="1"/>
      <x:c r="Q51" s="1" t="s">
        <x:v>448</x:v>
      </x:c>
    </x:row>
    <x:row r="52" ht="42">
      <x:c r="A52" s="1" t="s">
        <x:v>464</x:v>
      </x:c>
      <x:c r="B52" s="1" t="s">
        <x:v>245</x:v>
      </x:c>
      <x:c r="C52" s="1" t="s">
        <x:v>327</x:v>
      </x:c>
      <x:c r="D52" s="1" t="s">
        <x:v>465</x:v>
      </x:c>
      <x:c r="E52" s="6">
        <x:v>4883.7074000000002</x:v>
      </x:c>
      <x:c r="F52" s="6" t="s">
        <x:v>85</x:v>
      </x:c>
      <x:c r="G52" s="6">
        <x:v>4883.7074000000002</x:v>
      </x:c>
      <x:c r="H52" s="6" t="s">
        <x:v>85</x:v>
      </x:c>
      <x:c r="I52" s="1" t="s">
        <x:v>317</x:v>
      </x:c>
      <x:c r="J52" s="1" t="s">
        <x:v>251</x:v>
      </x:c>
      <x:c r="K52" s="1" t="s">
        <x:v>249</x:v>
      </x:c>
      <x:c r="L52" s="1" t="s">
        <x:v>250</x:v>
      </x:c>
      <x:c r="M52" s="1" t="s">
        <x:v>456</x:v>
      </x:c>
      <x:c r="N52" s="1" t="s">
        <x:v>319</x:v>
      </x:c>
      <x:c r="O52" s="1" t="s">
        <x:v>320</x:v>
      </x:c>
      <x:c r="P52" s="1"/>
      <x:c r="Q52" s="1" t="s">
        <x:v>329</x:v>
      </x:c>
    </x:row>
    <x:row r="53" ht="42">
      <x:c r="A53" s="1" t="s">
        <x:v>466</x:v>
      </x:c>
      <x:c r="B53" s="1" t="s">
        <x:v>245</x:v>
      </x:c>
      <x:c r="C53" s="1" t="s">
        <x:v>467</x:v>
      </x:c>
      <x:c r="D53" s="1" t="s">
        <x:v>468</x:v>
      </x:c>
      <x:c r="E53" s="6">
        <x:v>1659535</x:v>
      </x:c>
      <x:c r="F53" s="6" t="s">
        <x:v>144</x:v>
      </x:c>
      <x:c r="G53" s="6">
        <x:v>1659535</x:v>
      </x:c>
      <x:c r="H53" s="6" t="s">
        <x:v>144</x:v>
      </x:c>
      <x:c r="I53" s="1" t="s">
        <x:v>317</x:v>
      </x:c>
      <x:c r="J53" s="1" t="s">
        <x:v>251</x:v>
      </x:c>
      <x:c r="K53" s="1" t="s">
        <x:v>249</x:v>
      </x:c>
      <x:c r="L53" s="1" t="s">
        <x:v>250</x:v>
      </x:c>
      <x:c r="M53" s="1" t="s">
        <x:v>456</x:v>
      </x:c>
      <x:c r="N53" s="1" t="s">
        <x:v>319</x:v>
      </x:c>
      <x:c r="O53" s="1" t="s">
        <x:v>320</x:v>
      </x:c>
      <x:c r="P53" s="1"/>
      <x:c r="Q53" s="1" t="s">
        <x:v>469</x:v>
      </x:c>
    </x:row>
    <x:row r="54" ht="42">
      <x:c r="A54" s="1" t="s">
        <x:v>470</x:v>
      </x:c>
      <x:c r="B54" s="1" t="s">
        <x:v>245</x:v>
      </x:c>
      <x:c r="C54" s="1" t="s">
        <x:v>471</x:v>
      </x:c>
      <x:c r="D54" s="1" t="s">
        <x:v>472</x:v>
      </x:c>
      <x:c r="E54" s="6">
        <x:v>8563.19</x:v>
      </x:c>
      <x:c r="F54" s="6" t="s">
        <x:v>85</x:v>
      </x:c>
      <x:c r="G54" s="6">
        <x:v>8563.19</x:v>
      </x:c>
      <x:c r="H54" s="6" t="s">
        <x:v>85</x:v>
      </x:c>
      <x:c r="I54" s="1" t="s">
        <x:v>317</x:v>
      </x:c>
      <x:c r="J54" s="1" t="s">
        <x:v>251</x:v>
      </x:c>
      <x:c r="K54" s="1" t="s">
        <x:v>249</x:v>
      </x:c>
      <x:c r="L54" s="1" t="s">
        <x:v>250</x:v>
      </x:c>
      <x:c r="M54" s="1" t="s">
        <x:v>456</x:v>
      </x:c>
      <x:c r="N54" s="1" t="str">
        <x:v>上游最终版已验收</x:v>
      </x:c>
      <x:c r="O54" s="1" t="str">
        <x:v>上游计算值</x:v>
      </x:c>
      <x:c r="P54" s="1" t="str"/>
      <x:c r="Q54" s="1" t="str">
        <x:v>阶段六最终逐笔求和结果；不属于招股说明书直接披露的价款合计。</x:v>
      </x:c>
    </x:row>
    <x:row r="55" ht="42">
      <x:c r="A55" s="1" t="s">
        <x:v>473</x:v>
      </x:c>
      <x:c r="B55" s="1" t="s">
        <x:v>245</x:v>
      </x:c>
      <x:c r="C55" s="1" t="s">
        <x:v>327</x:v>
      </x:c>
      <x:c r="D55" s="1" t="s">
        <x:v>474</x:v>
      </x:c>
      <x:c r="E55" s="6">
        <x:v>48837074</x:v>
      </x:c>
      <x:c r="F55" s="6" t="s">
        <x:v>144</x:v>
      </x:c>
      <x:c r="G55" s="6">
        <x:v>48837074</x:v>
      </x:c>
      <x:c r="H55" s="6" t="s">
        <x:v>144</x:v>
      </x:c>
      <x:c r="I55" s="1" t="s">
        <x:v>317</x:v>
      </x:c>
      <x:c r="J55" s="1" t="s">
        <x:v>251</x:v>
      </x:c>
      <x:c r="K55" s="1" t="s">
        <x:v>249</x:v>
      </x:c>
      <x:c r="L55" s="1" t="s">
        <x:v>250</x:v>
      </x:c>
      <x:c r="M55" s="1" t="s">
        <x:v>456</x:v>
      </x:c>
      <x:c r="N55" s="1" t="s">
        <x:v>319</x:v>
      </x:c>
      <x:c r="O55" s="1" t="s">
        <x:v>320</x:v>
      </x:c>
      <x:c r="P55" s="1"/>
      <x:c r="Q55" s="1" t="s">
        <x:v>329</x:v>
      </x:c>
    </x:row>
    <x:row r="56" ht="28">
      <x:c r="A56" s="1" t="s">
        <x:v>475</x:v>
      </x:c>
      <x:c r="B56" s="1" t="s">
        <x:v>269</x:v>
      </x:c>
      <x:c r="C56" s="1" t="s">
        <x:v>476</x:v>
      </x:c>
      <x:c r="D56" s="1" t="s">
        <x:v>477</x:v>
      </x:c>
      <x:c r="E56" s="6">
        <x:v>48837074</x:v>
      </x:c>
      <x:c r="F56" s="6" t="s">
        <x:v>144</x:v>
      </x:c>
      <x:c r="G56" s="6">
        <x:v>48837074</x:v>
      </x:c>
      <x:c r="H56" s="6" t="s">
        <x:v>144</x:v>
      </x:c>
      <x:c r="I56" s="1" t="s">
        <x:v>317</x:v>
      </x:c>
      <x:c r="J56" s="1" t="s">
        <x:v>275</x:v>
      </x:c>
      <x:c r="K56" s="1" t="s">
        <x:v>273</x:v>
      </x:c>
      <x:c r="L56" s="1" t="s">
        <x:v>274</x:v>
      </x:c>
      <x:c r="M56" s="1" t="s">
        <x:v>478</x:v>
      </x:c>
      <x:c r="N56" s="1" t="s">
        <x:v>319</x:v>
      </x:c>
      <x:c r="O56" s="1" t="s">
        <x:v>320</x:v>
      </x:c>
      <x:c r="P56" s="1"/>
      <x:c r="Q56" s="1" t="s">
        <x:v>479</x:v>
      </x:c>
    </x:row>
    <x:row r="57" ht="28">
      <x:c r="A57" s="1" t="s">
        <x:v>268</x:v>
      </x:c>
      <x:c r="B57" s="1" t="s">
        <x:v>269</x:v>
      </x:c>
      <x:c r="C57" s="1" t="s">
        <x:v>327</x:v>
      </x:c>
      <x:c r="D57" s="1" t="s">
        <x:v>480</x:v>
      </x:c>
      <x:c r="E57" s="6">
        <x:v>0</x:v>
      </x:c>
      <x:c r="F57" s="6" t="s">
        <x:v>144</x:v>
      </x:c>
      <x:c r="G57" s="6">
        <x:v>0</x:v>
      </x:c>
      <x:c r="H57" s="6" t="s">
        <x:v>144</x:v>
      </x:c>
      <x:c r="I57" s="1" t="s">
        <x:v>317</x:v>
      </x:c>
      <x:c r="J57" s="1" t="s">
        <x:v>275</x:v>
      </x:c>
      <x:c r="K57" s="1" t="s">
        <x:v>273</x:v>
      </x:c>
      <x:c r="L57" s="1" t="s">
        <x:v>274</x:v>
      </x:c>
      <x:c r="M57" s="1" t="s">
        <x:v>478</x:v>
      </x:c>
      <x:c r="N57" s="1" t="s">
        <x:v>319</x:v>
      </x:c>
      <x:c r="O57" s="1" t="s">
        <x:v>320</x:v>
      </x:c>
      <x:c r="P57" s="1"/>
      <x:c r="Q57" s="1" t="s">
        <x:v>329</x:v>
      </x:c>
    </x:row>
    <x:row r="58" ht="28">
      <x:c r="A58" s="1" t="s">
        <x:v>481</x:v>
      </x:c>
      <x:c r="B58" s="1" t="s">
        <x:v>279</x:v>
      </x:c>
      <x:c r="C58" s="1" t="s">
        <x:v>315</x:v>
      </x:c>
      <x:c r="D58" s="1" t="s">
        <x:v>482</x:v>
      </x:c>
      <x:c r="E58" s="6">
        <x:v>17792000</x:v>
      </x:c>
      <x:c r="F58" s="6" t="s">
        <x:v>144</x:v>
      </x:c>
      <x:c r="G58" s="6">
        <x:v>17792000</x:v>
      </x:c>
      <x:c r="H58" s="6" t="s">
        <x:v>144</x:v>
      </x:c>
      <x:c r="I58" s="1" t="s">
        <x:v>317</x:v>
      </x:c>
      <x:c r="J58" s="1" t="s">
        <x:v>284</x:v>
      </x:c>
      <x:c r="K58" s="1" t="s">
        <x:v>282</x:v>
      </x:c>
      <x:c r="L58" s="1" t="s">
        <x:v>283</x:v>
      </x:c>
      <x:c r="M58" s="1" t="s">
        <x:v>483</x:v>
      </x:c>
      <x:c r="N58" s="1" t="s">
        <x:v>319</x:v>
      </x:c>
      <x:c r="O58" s="1" t="s">
        <x:v>320</x:v>
      </x:c>
      <x:c r="P58" s="1"/>
      <x:c r="Q58" s="1" t="s">
        <x:v>484</x:v>
      </x:c>
    </x:row>
    <x:row r="59" ht="28">
      <x:c r="A59" s="1" t="s">
        <x:v>485</x:v>
      </x:c>
      <x:c r="B59" s="1" t="s">
        <x:v>279</x:v>
      </x:c>
      <x:c r="C59" s="1" t="s">
        <x:v>323</x:v>
      </x:c>
      <x:c r="D59" s="1" t="s">
        <x:v>486</x:v>
      </x:c>
      <x:c r="E59" s="6">
        <x:v>40000000</x:v>
      </x:c>
      <x:c r="F59" s="6" t="s">
        <x:v>144</x:v>
      </x:c>
      <x:c r="G59" s="6">
        <x:v>40000000</x:v>
      </x:c>
      <x:c r="H59" s="6" t="s">
        <x:v>144</x:v>
      </x:c>
      <x:c r="I59" s="1" t="s">
        <x:v>317</x:v>
      </x:c>
      <x:c r="J59" s="1" t="s">
        <x:v>284</x:v>
      </x:c>
      <x:c r="K59" s="1" t="s">
        <x:v>282</x:v>
      </x:c>
      <x:c r="L59" s="1" t="s">
        <x:v>283</x:v>
      </x:c>
      <x:c r="M59" s="1" t="s">
        <x:v>483</x:v>
      </x:c>
      <x:c r="N59" s="1" t="s">
        <x:v>319</x:v>
      </x:c>
      <x:c r="O59" s="1" t="s">
        <x:v>320</x:v>
      </x:c>
      <x:c r="P59" s="1"/>
      <x:c r="Q59" s="1" t="s">
        <x:v>487</x:v>
      </x:c>
    </x:row>
    <x:row r="60" ht="28">
      <x:c r="A60" s="1" t="s">
        <x:v>488</x:v>
      </x:c>
      <x:c r="B60" s="1" t="s">
        <x:v>279</x:v>
      </x:c>
      <x:c r="C60" s="1" t="s">
        <x:v>327</x:v>
      </x:c>
      <x:c r="D60" s="1" t="s">
        <x:v>489</x:v>
      </x:c>
      <x:c r="E60" s="6">
        <x:v>44.48</x:v>
      </x:c>
      <x:c r="F60" s="6" t="s">
        <x:v>68</x:v>
      </x:c>
      <x:c r="G60" s="6">
        <x:v>44.48</x:v>
      </x:c>
      <x:c r="H60" s="6" t="s">
        <x:v>68</x:v>
      </x:c>
      <x:c r="I60" s="1" t="s">
        <x:v>317</x:v>
      </x:c>
      <x:c r="J60" s="1" t="s">
        <x:v>284</x:v>
      </x:c>
      <x:c r="K60" s="1" t="s">
        <x:v>282</x:v>
      </x:c>
      <x:c r="L60" s="1" t="s">
        <x:v>283</x:v>
      </x:c>
      <x:c r="M60" s="1" t="s">
        <x:v>483</x:v>
      </x:c>
      <x:c r="N60" s="1" t="s">
        <x:v>319</x:v>
      </x:c>
      <x:c r="O60" s="1" t="s">
        <x:v>320</x:v>
      </x:c>
      <x:c r="P60" s="1"/>
      <x:c r="Q60" s="1" t="s">
        <x:v>329</x:v>
      </x:c>
    </x:row>
    <x:row r="61" ht="28">
      <x:c r="A61" s="1" t="s">
        <x:v>490</x:v>
      </x:c>
      <x:c r="B61" s="1" t="s">
        <x:v>279</x:v>
      </x:c>
      <x:c r="C61" s="1" t="s">
        <x:v>315</x:v>
      </x:c>
      <x:c r="D61" s="1" t="s">
        <x:v>491</x:v>
      </x:c>
      <x:c r="E61" s="6">
        <x:v>7413360</x:v>
      </x:c>
      <x:c r="F61" s="6" t="s">
        <x:v>144</x:v>
      </x:c>
      <x:c r="G61" s="6">
        <x:v>7413360</x:v>
      </x:c>
      <x:c r="H61" s="6" t="s">
        <x:v>144</x:v>
      </x:c>
      <x:c r="I61" s="1" t="s">
        <x:v>317</x:v>
      </x:c>
      <x:c r="J61" s="1" t="s">
        <x:v>284</x:v>
      </x:c>
      <x:c r="K61" s="1" t="s">
        <x:v>282</x:v>
      </x:c>
      <x:c r="L61" s="1" t="s">
        <x:v>283</x:v>
      </x:c>
      <x:c r="M61" s="1" t="s">
        <x:v>483</x:v>
      </x:c>
      <x:c r="N61" s="1" t="s">
        <x:v>319</x:v>
      </x:c>
      <x:c r="O61" s="1" t="s">
        <x:v>320</x:v>
      </x:c>
      <x:c r="P61" s="1"/>
      <x:c r="Q61" s="1" t="s">
        <x:v>484</x:v>
      </x:c>
    </x:row>
    <x:row r="62" ht="28">
      <x:c r="A62" s="1" t="s">
        <x:v>492</x:v>
      </x:c>
      <x:c r="B62" s="1" t="s">
        <x:v>279</x:v>
      </x:c>
      <x:c r="C62" s="1" t="s">
        <x:v>327</x:v>
      </x:c>
      <x:c r="D62" s="1" t="s">
        <x:v>493</x:v>
      </x:c>
      <x:c r="E62" s="6">
        <x:v>18.53</x:v>
      </x:c>
      <x:c r="F62" s="6" t="s">
        <x:v>68</x:v>
      </x:c>
      <x:c r="G62" s="6">
        <x:v>18.53</x:v>
      </x:c>
      <x:c r="H62" s="6" t="s">
        <x:v>68</x:v>
      </x:c>
      <x:c r="I62" s="1" t="s">
        <x:v>317</x:v>
      </x:c>
      <x:c r="J62" s="1" t="s">
        <x:v>284</x:v>
      </x:c>
      <x:c r="K62" s="1" t="s">
        <x:v>282</x:v>
      </x:c>
      <x:c r="L62" s="1" t="s">
        <x:v>283</x:v>
      </x:c>
      <x:c r="M62" s="1" t="s">
        <x:v>483</x:v>
      </x:c>
      <x:c r="N62" s="1" t="s">
        <x:v>319</x:v>
      </x:c>
      <x:c r="O62" s="1" t="s">
        <x:v>320</x:v>
      </x:c>
      <x:c r="P62" s="1"/>
      <x:c r="Q62" s="1" t="s">
        <x:v>329</x:v>
      </x:c>
    </x:row>
    <x:row r="63" ht="28">
      <x:c r="A63" s="1" t="s">
        <x:v>494</x:v>
      </x:c>
      <x:c r="B63" s="1" t="s">
        <x:v>279</x:v>
      </x:c>
      <x:c r="C63" s="1" t="s">
        <x:v>315</x:v>
      </x:c>
      <x:c r="D63" s="1" t="s">
        <x:v>495</x:v>
      </x:c>
      <x:c r="E63" s="6">
        <x:v>5004000</x:v>
      </x:c>
      <x:c r="F63" s="6" t="s">
        <x:v>144</x:v>
      </x:c>
      <x:c r="G63" s="6">
        <x:v>5004000</x:v>
      </x:c>
      <x:c r="H63" s="6" t="s">
        <x:v>144</x:v>
      </x:c>
      <x:c r="I63" s="1" t="s">
        <x:v>317</x:v>
      </x:c>
      <x:c r="J63" s="1" t="s">
        <x:v>284</x:v>
      </x:c>
      <x:c r="K63" s="1" t="s">
        <x:v>282</x:v>
      </x:c>
      <x:c r="L63" s="1" t="s">
        <x:v>283</x:v>
      </x:c>
      <x:c r="M63" s="1" t="s">
        <x:v>483</x:v>
      </x:c>
      <x:c r="N63" s="1" t="s">
        <x:v>319</x:v>
      </x:c>
      <x:c r="O63" s="1" t="s">
        <x:v>320</x:v>
      </x:c>
      <x:c r="P63" s="1"/>
      <x:c r="Q63" s="1" t="s">
        <x:v>484</x:v>
      </x:c>
    </x:row>
    <x:row r="64" ht="28">
      <x:c r="A64" s="1" t="s">
        <x:v>496</x:v>
      </x:c>
      <x:c r="B64" s="1" t="s">
        <x:v>279</x:v>
      </x:c>
      <x:c r="C64" s="1" t="s">
        <x:v>327</x:v>
      </x:c>
      <x:c r="D64" s="1" t="s">
        <x:v>497</x:v>
      </x:c>
      <x:c r="E64" s="6">
        <x:v>12.51</x:v>
      </x:c>
      <x:c r="F64" s="6" t="s">
        <x:v>68</x:v>
      </x:c>
      <x:c r="G64" s="6">
        <x:v>12.51</x:v>
      </x:c>
      <x:c r="H64" s="6" t="s">
        <x:v>68</x:v>
      </x:c>
      <x:c r="I64" s="1" t="s">
        <x:v>317</x:v>
      </x:c>
      <x:c r="J64" s="1" t="s">
        <x:v>284</x:v>
      </x:c>
      <x:c r="K64" s="1" t="s">
        <x:v>282</x:v>
      </x:c>
      <x:c r="L64" s="1" t="s">
        <x:v>283</x:v>
      </x:c>
      <x:c r="M64" s="1" t="s">
        <x:v>483</x:v>
      </x:c>
      <x:c r="N64" s="1" t="s">
        <x:v>319</x:v>
      </x:c>
      <x:c r="O64" s="1" t="s">
        <x:v>320</x:v>
      </x:c>
      <x:c r="P64" s="1"/>
      <x:c r="Q64" s="1" t="s">
        <x:v>329</x:v>
      </x:c>
    </x:row>
    <x:row r="65" ht="28">
      <x:c r="A65" s="1" t="s">
        <x:v>498</x:v>
      </x:c>
      <x:c r="B65" s="1" t="s">
        <x:v>279</x:v>
      </x:c>
      <x:c r="C65" s="1" t="s">
        <x:v>315</x:v>
      </x:c>
      <x:c r="D65" s="1" t="s">
        <x:v>499</x:v>
      </x:c>
      <x:c r="E65" s="6">
        <x:v>2835320</x:v>
      </x:c>
      <x:c r="F65" s="6" t="s">
        <x:v>144</x:v>
      </x:c>
      <x:c r="G65" s="6">
        <x:v>2835320</x:v>
      </x:c>
      <x:c r="H65" s="6" t="s">
        <x:v>144</x:v>
      </x:c>
      <x:c r="I65" s="1" t="s">
        <x:v>317</x:v>
      </x:c>
      <x:c r="J65" s="1" t="s">
        <x:v>284</x:v>
      </x:c>
      <x:c r="K65" s="1" t="s">
        <x:v>282</x:v>
      </x:c>
      <x:c r="L65" s="1" t="s">
        <x:v>283</x:v>
      </x:c>
      <x:c r="M65" s="1" t="s">
        <x:v>483</x:v>
      </x:c>
      <x:c r="N65" s="1" t="s">
        <x:v>319</x:v>
      </x:c>
      <x:c r="O65" s="1" t="s">
        <x:v>320</x:v>
      </x:c>
      <x:c r="P65" s="1"/>
      <x:c r="Q65" s="1" t="s">
        <x:v>484</x:v>
      </x:c>
    </x:row>
    <x:row r="66" ht="28">
      <x:c r="A66" s="1" t="s">
        <x:v>500</x:v>
      </x:c>
      <x:c r="B66" s="1" t="s">
        <x:v>279</x:v>
      </x:c>
      <x:c r="C66" s="1" t="s">
        <x:v>327</x:v>
      </x:c>
      <x:c r="D66" s="1" t="s">
        <x:v>501</x:v>
      </x:c>
      <x:c r="E66" s="6">
        <x:v>7.09</x:v>
      </x:c>
      <x:c r="F66" s="6" t="s">
        <x:v>68</x:v>
      </x:c>
      <x:c r="G66" s="6">
        <x:v>7.09</x:v>
      </x:c>
      <x:c r="H66" s="6" t="s">
        <x:v>68</x:v>
      </x:c>
      <x:c r="I66" s="1" t="s">
        <x:v>317</x:v>
      </x:c>
      <x:c r="J66" s="1" t="s">
        <x:v>284</x:v>
      </x:c>
      <x:c r="K66" s="1" t="s">
        <x:v>282</x:v>
      </x:c>
      <x:c r="L66" s="1" t="s">
        <x:v>283</x:v>
      </x:c>
      <x:c r="M66" s="1" t="s">
        <x:v>483</x:v>
      </x:c>
      <x:c r="N66" s="1" t="s">
        <x:v>319</x:v>
      </x:c>
      <x:c r="O66" s="1" t="s">
        <x:v>320</x:v>
      </x:c>
      <x:c r="P66" s="1"/>
      <x:c r="Q66" s="1" t="s">
        <x:v>329</x:v>
      </x:c>
    </x:row>
    <x:row r="67" ht="28">
      <x:c r="A67" s="1" t="s">
        <x:v>502</x:v>
      </x:c>
      <x:c r="B67" s="1" t="s">
        <x:v>279</x:v>
      </x:c>
      <x:c r="C67" s="1" t="s">
        <x:v>315</x:v>
      </x:c>
      <x:c r="D67" s="1" t="s">
        <x:v>503</x:v>
      </x:c>
      <x:c r="E67" s="6">
        <x:v>2502000</x:v>
      </x:c>
      <x:c r="F67" s="6" t="s">
        <x:v>144</x:v>
      </x:c>
      <x:c r="G67" s="6">
        <x:v>2502000</x:v>
      </x:c>
      <x:c r="H67" s="6" t="s">
        <x:v>144</x:v>
      </x:c>
      <x:c r="I67" s="1" t="s">
        <x:v>317</x:v>
      </x:c>
      <x:c r="J67" s="1" t="s">
        <x:v>284</x:v>
      </x:c>
      <x:c r="K67" s="1" t="s">
        <x:v>282</x:v>
      </x:c>
      <x:c r="L67" s="1" t="s">
        <x:v>283</x:v>
      </x:c>
      <x:c r="M67" s="1" t="s">
        <x:v>483</x:v>
      </x:c>
      <x:c r="N67" s="1" t="s">
        <x:v>319</x:v>
      </x:c>
      <x:c r="O67" s="1" t="s">
        <x:v>320</x:v>
      </x:c>
      <x:c r="P67" s="1"/>
      <x:c r="Q67" s="1" t="s">
        <x:v>484</x:v>
      </x:c>
    </x:row>
    <x:row r="68" ht="28">
      <x:c r="A68" s="1" t="s">
        <x:v>504</x:v>
      </x:c>
      <x:c r="B68" s="1" t="s">
        <x:v>279</x:v>
      </x:c>
      <x:c r="C68" s="1" t="s">
        <x:v>327</x:v>
      </x:c>
      <x:c r="D68" s="1" t="s">
        <x:v>505</x:v>
      </x:c>
      <x:c r="E68" s="6">
        <x:v>6.26</x:v>
      </x:c>
      <x:c r="F68" s="6" t="s">
        <x:v>68</x:v>
      </x:c>
      <x:c r="G68" s="6">
        <x:v>6.26</x:v>
      </x:c>
      <x:c r="H68" s="6" t="s">
        <x:v>68</x:v>
      </x:c>
      <x:c r="I68" s="1" t="s">
        <x:v>317</x:v>
      </x:c>
      <x:c r="J68" s="1" t="s">
        <x:v>284</x:v>
      </x:c>
      <x:c r="K68" s="1" t="s">
        <x:v>282</x:v>
      </x:c>
      <x:c r="L68" s="1" t="s">
        <x:v>283</x:v>
      </x:c>
      <x:c r="M68" s="1" t="s">
        <x:v>483</x:v>
      </x:c>
      <x:c r="N68" s="1" t="s">
        <x:v>319</x:v>
      </x:c>
      <x:c r="O68" s="1" t="s">
        <x:v>320</x:v>
      </x:c>
      <x:c r="P68" s="1"/>
      <x:c r="Q68" s="1" t="s">
        <x:v>329</x:v>
      </x:c>
    </x:row>
    <x:row r="69" ht="28">
      <x:c r="A69" s="1" t="s">
        <x:v>506</x:v>
      </x:c>
      <x:c r="B69" s="1" t="s">
        <x:v>279</x:v>
      </x:c>
      <x:c r="C69" s="1" t="s">
        <x:v>315</x:v>
      </x:c>
      <x:c r="D69" s="1" t="s">
        <x:v>507</x:v>
      </x:c>
      <x:c r="E69" s="6">
        <x:v>1853360</x:v>
      </x:c>
      <x:c r="F69" s="6" t="s">
        <x:v>144</x:v>
      </x:c>
      <x:c r="G69" s="6">
        <x:v>1853360</x:v>
      </x:c>
      <x:c r="H69" s="6" t="s">
        <x:v>144</x:v>
      </x:c>
      <x:c r="I69" s="1" t="s">
        <x:v>317</x:v>
      </x:c>
      <x:c r="J69" s="1" t="s">
        <x:v>284</x:v>
      </x:c>
      <x:c r="K69" s="1" t="s">
        <x:v>282</x:v>
      </x:c>
      <x:c r="L69" s="1" t="s">
        <x:v>283</x:v>
      </x:c>
      <x:c r="M69" s="1" t="s">
        <x:v>483</x:v>
      </x:c>
      <x:c r="N69" s="1" t="s">
        <x:v>319</x:v>
      </x:c>
      <x:c r="O69" s="1" t="s">
        <x:v>320</x:v>
      </x:c>
      <x:c r="P69" s="1"/>
      <x:c r="Q69" s="1" t="s">
        <x:v>484</x:v>
      </x:c>
    </x:row>
    <x:row r="70" ht="28">
      <x:c r="A70" s="1" t="s">
        <x:v>508</x:v>
      </x:c>
      <x:c r="B70" s="1" t="s">
        <x:v>279</x:v>
      </x:c>
      <x:c r="C70" s="1" t="s">
        <x:v>327</x:v>
      </x:c>
      <x:c r="D70" s="1" t="s">
        <x:v>509</x:v>
      </x:c>
      <x:c r="E70" s="6">
        <x:v>4.63</x:v>
      </x:c>
      <x:c r="F70" s="6" t="s">
        <x:v>68</x:v>
      </x:c>
      <x:c r="G70" s="6">
        <x:v>4.63</x:v>
      </x:c>
      <x:c r="H70" s="6" t="s">
        <x:v>68</x:v>
      </x:c>
      <x:c r="I70" s="1" t="s">
        <x:v>317</x:v>
      </x:c>
      <x:c r="J70" s="1" t="s">
        <x:v>284</x:v>
      </x:c>
      <x:c r="K70" s="1" t="s">
        <x:v>282</x:v>
      </x:c>
      <x:c r="L70" s="1" t="s">
        <x:v>283</x:v>
      </x:c>
      <x:c r="M70" s="1" t="s">
        <x:v>483</x:v>
      </x:c>
      <x:c r="N70" s="1" t="s">
        <x:v>319</x:v>
      </x:c>
      <x:c r="O70" s="1" t="s">
        <x:v>320</x:v>
      </x:c>
      <x:c r="P70" s="1"/>
      <x:c r="Q70" s="1" t="s">
        <x:v>329</x:v>
      </x:c>
    </x:row>
    <x:row r="71" ht="28">
      <x:c r="A71" s="1" t="s">
        <x:v>510</x:v>
      </x:c>
      <x:c r="B71" s="1" t="s">
        <x:v>279</x:v>
      </x:c>
      <x:c r="C71" s="1" t="s">
        <x:v>315</x:v>
      </x:c>
      <x:c r="D71" s="1" t="s">
        <x:v>511</x:v>
      </x:c>
      <x:c r="E71" s="6">
        <x:v>933320</x:v>
      </x:c>
      <x:c r="F71" s="6" t="s">
        <x:v>144</x:v>
      </x:c>
      <x:c r="G71" s="6">
        <x:v>933320</x:v>
      </x:c>
      <x:c r="H71" s="6" t="s">
        <x:v>144</x:v>
      </x:c>
      <x:c r="I71" s="1" t="s">
        <x:v>317</x:v>
      </x:c>
      <x:c r="J71" s="1" t="s">
        <x:v>284</x:v>
      </x:c>
      <x:c r="K71" s="1" t="s">
        <x:v>282</x:v>
      </x:c>
      <x:c r="L71" s="1" t="s">
        <x:v>283</x:v>
      </x:c>
      <x:c r="M71" s="1" t="s">
        <x:v>483</x:v>
      </x:c>
      <x:c r="N71" s="1" t="s">
        <x:v>319</x:v>
      </x:c>
      <x:c r="O71" s="1" t="s">
        <x:v>320</x:v>
      </x:c>
      <x:c r="P71" s="1"/>
      <x:c r="Q71" s="1" t="s">
        <x:v>484</x:v>
      </x:c>
    </x:row>
    <x:row r="72" ht="28">
      <x:c r="A72" s="1" t="s">
        <x:v>512</x:v>
      </x:c>
      <x:c r="B72" s="1" t="s">
        <x:v>279</x:v>
      </x:c>
      <x:c r="C72" s="1" t="s">
        <x:v>327</x:v>
      </x:c>
      <x:c r="D72" s="1" t="s">
        <x:v>513</x:v>
      </x:c>
      <x:c r="E72" s="6">
        <x:v>2.33</x:v>
      </x:c>
      <x:c r="F72" s="6" t="s">
        <x:v>68</x:v>
      </x:c>
      <x:c r="G72" s="6">
        <x:v>2.33</x:v>
      </x:c>
      <x:c r="H72" s="6" t="s">
        <x:v>68</x:v>
      </x:c>
      <x:c r="I72" s="1" t="s">
        <x:v>317</x:v>
      </x:c>
      <x:c r="J72" s="1" t="s">
        <x:v>284</x:v>
      </x:c>
      <x:c r="K72" s="1" t="s">
        <x:v>282</x:v>
      </x:c>
      <x:c r="L72" s="1" t="s">
        <x:v>283</x:v>
      </x:c>
      <x:c r="M72" s="1" t="s">
        <x:v>483</x:v>
      </x:c>
      <x:c r="N72" s="1" t="s">
        <x:v>319</x:v>
      </x:c>
      <x:c r="O72" s="1" t="s">
        <x:v>320</x:v>
      </x:c>
      <x:c r="P72" s="1"/>
      <x:c r="Q72" s="1" t="s">
        <x:v>329</x:v>
      </x:c>
    </x:row>
    <x:row r="73" ht="28">
      <x:c r="A73" s="1" t="s">
        <x:v>514</x:v>
      </x:c>
      <x:c r="B73" s="1" t="s">
        <x:v>279</x:v>
      </x:c>
      <x:c r="C73" s="1" t="s">
        <x:v>315</x:v>
      </x:c>
      <x:c r="D73" s="1" t="s">
        <x:v>374</x:v>
      </x:c>
      <x:c r="E73" s="6">
        <x:v>666680</x:v>
      </x:c>
      <x:c r="F73" s="6" t="s">
        <x:v>144</x:v>
      </x:c>
      <x:c r="G73" s="6">
        <x:v>666680</x:v>
      </x:c>
      <x:c r="H73" s="6" t="s">
        <x:v>144</x:v>
      </x:c>
      <x:c r="I73" s="1" t="s">
        <x:v>317</x:v>
      </x:c>
      <x:c r="J73" s="1" t="s">
        <x:v>284</x:v>
      </x:c>
      <x:c r="K73" s="1" t="s">
        <x:v>282</x:v>
      </x:c>
      <x:c r="L73" s="1" t="s">
        <x:v>283</x:v>
      </x:c>
      <x:c r="M73" s="1" t="s">
        <x:v>483</x:v>
      </x:c>
      <x:c r="N73" s="1" t="s">
        <x:v>319</x:v>
      </x:c>
      <x:c r="O73" s="1" t="s">
        <x:v>320</x:v>
      </x:c>
      <x:c r="P73" s="1"/>
      <x:c r="Q73" s="1" t="s">
        <x:v>484</x:v>
      </x:c>
    </x:row>
    <x:row r="74" ht="28">
      <x:c r="A74" s="1" t="s">
        <x:v>515</x:v>
      </x:c>
      <x:c r="B74" s="1" t="s">
        <x:v>279</x:v>
      </x:c>
      <x:c r="C74" s="1" t="s">
        <x:v>327</x:v>
      </x:c>
      <x:c r="D74" s="1" t="s">
        <x:v>516</x:v>
      </x:c>
      <x:c r="E74" s="6">
        <x:v>1.67</x:v>
      </x:c>
      <x:c r="F74" s="6" t="s">
        <x:v>68</x:v>
      </x:c>
      <x:c r="G74" s="6">
        <x:v>1.67</x:v>
      </x:c>
      <x:c r="H74" s="6" t="s">
        <x:v>68</x:v>
      </x:c>
      <x:c r="I74" s="1" t="s">
        <x:v>317</x:v>
      </x:c>
      <x:c r="J74" s="1" t="s">
        <x:v>284</x:v>
      </x:c>
      <x:c r="K74" s="1" t="s">
        <x:v>282</x:v>
      </x:c>
      <x:c r="L74" s="1" t="s">
        <x:v>283</x:v>
      </x:c>
      <x:c r="M74" s="1" t="s">
        <x:v>483</x:v>
      </x:c>
      <x:c r="N74" s="1" t="s">
        <x:v>319</x:v>
      </x:c>
      <x:c r="O74" s="1" t="s">
        <x:v>320</x:v>
      </x:c>
      <x:c r="P74" s="1"/>
      <x:c r="Q74" s="1" t="s">
        <x:v>329</x:v>
      </x:c>
    </x:row>
    <x:row r="75">
      <x:c r="A75" t="str">
        <x:v>CE-013-V07</x:v>
      </x:c>
      <x:c r="B75" t="str">
        <x:v>CE-013</x:v>
      </x:c>
      <x:c r="C75" t="str">
        <x:v>transfer_shares</x:v>
      </x:c>
      <x:c r="D75" t="str">
        <x:v>480,000</x:v>
      </x:c>
      <x:c r="E75" t="n">
        <x:v>480000</x:v>
      </x:c>
      <x:c r="F75" t="str">
        <x:v>股</x:v>
      </x:c>
      <x:c r="G75" t="n">
        <x:v>480000</x:v>
      </x:c>
      <x:c r="H75" t="str">
        <x:v>股</x:v>
      </x:c>
      <x:c r="I75" t="str">
        <x:v>无</x:v>
      </x:c>
      <x:c r="J75" t="str">
        <x:v>CE-013-E03</x:v>
      </x:c>
      <x:c r="K75" t="str">
        <x:v>64</x:v>
      </x:c>
      <x:c r="L75" t="str">
        <x:v>63</x:v>
      </x:c>
      <x:c r="M75" t="str">
        <x:v>原文表格：曾烨→鸿迪投资，转让480,000股，转让价格2,476.80万元。</x:v>
      </x:c>
      <x:c r="N75" t="str">
        <x:v>PDF原文已定位</x:v>
      </x:c>
      <x:c r="O75" t="str">
        <x:v>原文披露值</x:v>
      </x:c>
      <x:c r="P75" t="str"/>
      <x:c r="Q75" t="str">
        <x:v>曾烨→鸿迪投资</x:v>
      </x:c>
    </x:row>
    <x:row r="76">
      <x:c r="A76" t="str">
        <x:v>CE-013-V08</x:v>
      </x:c>
      <x:c r="B76" t="str">
        <x:v>CE-013</x:v>
      </x:c>
      <x:c r="C76" t="str">
        <x:v>transfer_consideration</x:v>
      </x:c>
      <x:c r="D76" t="str">
        <x:v>2,476.80</x:v>
      </x:c>
      <x:c r="E76" t="n">
        <x:v>2476.8</x:v>
      </x:c>
      <x:c r="F76" t="str">
        <x:v>万元</x:v>
      </x:c>
      <x:c r="G76" t="n">
        <x:v>2476.8</x:v>
      </x:c>
      <x:c r="H76" t="str">
        <x:v>万元</x:v>
      </x:c>
      <x:c r="I76" t="str">
        <x:v>无</x:v>
      </x:c>
      <x:c r="J76" t="str">
        <x:v>CE-013-E03</x:v>
      </x:c>
      <x:c r="K76" t="str">
        <x:v>64</x:v>
      </x:c>
      <x:c r="L76" t="str">
        <x:v>63</x:v>
      </x:c>
      <x:c r="M76" t="str">
        <x:v>原文表格：曾烨→鸿迪投资，转让480,000股，转让价格2,476.80万元。</x:v>
      </x:c>
      <x:c r="N76" t="str">
        <x:v>PDF原文已定位</x:v>
      </x:c>
      <x:c r="O76" t="str">
        <x:v>原文披露值</x:v>
      </x:c>
      <x:c r="P76" t="str"/>
      <x:c r="Q76" t="str">
        <x:v>曾烨→鸿迪投资</x:v>
      </x:c>
    </x:row>
    <x:row r="77">
      <x:c r="A77" t="str">
        <x:v>CE-013-V09</x:v>
      </x:c>
      <x:c r="B77" t="str">
        <x:v>CE-013</x:v>
      </x:c>
      <x:c r="C77" t="str">
        <x:v>transfer_shares</x:v>
      </x:c>
      <x:c r="D77" t="str">
        <x:v>484,495</x:v>
      </x:c>
      <x:c r="E77" t="n">
        <x:v>484495</x:v>
      </x:c>
      <x:c r="F77" t="str">
        <x:v>股</x:v>
      </x:c>
      <x:c r="G77" t="n">
        <x:v>484495</x:v>
      </x:c>
      <x:c r="H77" t="str">
        <x:v>股</x:v>
      </x:c>
      <x:c r="I77" t="str">
        <x:v>无</x:v>
      </x:c>
      <x:c r="J77" t="str">
        <x:v>CE-013-E03</x:v>
      </x:c>
      <x:c r="K77" t="str">
        <x:v>64</x:v>
      </x:c>
      <x:c r="L77" t="str">
        <x:v>63</x:v>
      </x:c>
      <x:c r="M77" t="str">
        <x:v>原文表格：曾烨→郦韩英，转让484,495股，转让价格2,499.99万元。</x:v>
      </x:c>
      <x:c r="N77" t="str">
        <x:v>PDF原文已定位</x:v>
      </x:c>
      <x:c r="O77" t="str">
        <x:v>原文披露值</x:v>
      </x:c>
      <x:c r="P77" t="str"/>
      <x:c r="Q77" t="str">
        <x:v>曾烨→郦韩英</x:v>
      </x:c>
    </x:row>
    <x:row r="78">
      <x:c r="A78" t="str">
        <x:v>CE-013-V10</x:v>
      </x:c>
      <x:c r="B78" t="str">
        <x:v>CE-013</x:v>
      </x:c>
      <x:c r="C78" t="str">
        <x:v>transfer_consideration</x:v>
      </x:c>
      <x:c r="D78" t="str">
        <x:v>2,499.99</x:v>
      </x:c>
      <x:c r="E78" t="n">
        <x:v>2499.99</x:v>
      </x:c>
      <x:c r="F78" t="str">
        <x:v>万元</x:v>
      </x:c>
      <x:c r="G78" t="n">
        <x:v>2499.99</x:v>
      </x:c>
      <x:c r="H78" t="str">
        <x:v>万元</x:v>
      </x:c>
      <x:c r="I78" t="str">
        <x:v>无</x:v>
      </x:c>
      <x:c r="J78" t="str">
        <x:v>CE-013-E03</x:v>
      </x:c>
      <x:c r="K78" t="str">
        <x:v>64</x:v>
      </x:c>
      <x:c r="L78" t="str">
        <x:v>63</x:v>
      </x:c>
      <x:c r="M78" t="str">
        <x:v>原文表格：曾烨→郦韩英，转让484,495股，转让价格2,499.99万元。</x:v>
      </x:c>
      <x:c r="N78" t="str">
        <x:v>PDF原文已定位</x:v>
      </x:c>
      <x:c r="O78" t="str">
        <x:v>原文披露值</x:v>
      </x:c>
      <x:c r="P78" t="str"/>
      <x:c r="Q78" t="str">
        <x:v>曾烨→郦韩英</x:v>
      </x:c>
    </x:row>
    <x:row r="79">
      <x:c r="A79" t="str">
        <x:v>CE-013-V11</x:v>
      </x:c>
      <x:c r="B79" t="str">
        <x:v>CE-013</x:v>
      </x:c>
      <x:c r="C79" t="str">
        <x:v>transfer_shares</x:v>
      </x:c>
      <x:c r="D79" t="str">
        <x:v>116,280</x:v>
      </x:c>
      <x:c r="E79" t="n">
        <x:v>116280</x:v>
      </x:c>
      <x:c r="F79" t="str">
        <x:v>股</x:v>
      </x:c>
      <x:c r="G79" t="n">
        <x:v>116280</x:v>
      </x:c>
      <x:c r="H79" t="str">
        <x:v>股</x:v>
      </x:c>
      <x:c r="I79" t="str">
        <x:v>无</x:v>
      </x:c>
      <x:c r="J79" t="str">
        <x:v>CE-013-E03</x:v>
      </x:c>
      <x:c r="K79" t="str">
        <x:v>64</x:v>
      </x:c>
      <x:c r="L79" t="str">
        <x:v>63</x:v>
      </x:c>
      <x:c r="M79" t="str">
        <x:v>原文表格：刘云锋→福建开京，转让116,280股，转让价格600.00万元。</x:v>
      </x:c>
      <x:c r="N79" t="str">
        <x:v>PDF原文已定位</x:v>
      </x:c>
      <x:c r="O79" t="str">
        <x:v>原文披露值</x:v>
      </x:c>
      <x:c r="P79" t="str"/>
      <x:c r="Q79" t="str">
        <x:v>刘云锋→福建开京</x:v>
      </x:c>
    </x:row>
    <x:row r="80">
      <x:c r="A80" t="str">
        <x:v>CE-013-V12</x:v>
      </x:c>
      <x:c r="B80" t="str">
        <x:v>CE-013</x:v>
      </x:c>
      <x:c r="C80" t="str">
        <x:v>transfer_consideration</x:v>
      </x:c>
      <x:c r="D80" t="str">
        <x:v>600.00</x:v>
      </x:c>
      <x:c r="E80" t="n">
        <x:v>600</x:v>
      </x:c>
      <x:c r="F80" t="str">
        <x:v>万元</x:v>
      </x:c>
      <x:c r="G80" t="n">
        <x:v>600</x:v>
      </x:c>
      <x:c r="H80" t="str">
        <x:v>万元</x:v>
      </x:c>
      <x:c r="I80" t="str">
        <x:v>无</x:v>
      </x:c>
      <x:c r="J80" t="str">
        <x:v>CE-013-E03</x:v>
      </x:c>
      <x:c r="K80" t="str">
        <x:v>64</x:v>
      </x:c>
      <x:c r="L80" t="str">
        <x:v>63</x:v>
      </x:c>
      <x:c r="M80" t="str">
        <x:v>原文表格：刘云锋→福建开京，转让116,280股，转让价格600.00万元。</x:v>
      </x:c>
      <x:c r="N80" t="str">
        <x:v>PDF原文已定位</x:v>
      </x:c>
      <x:c r="O80" t="str">
        <x:v>原文披露值</x:v>
      </x:c>
      <x:c r="P80" t="str"/>
      <x:c r="Q80" t="str">
        <x:v>刘云锋→福建开京</x:v>
      </x:c>
    </x:row>
    <x:row r="81">
      <x:c r="A81" t="str">
        <x:v>CE-013-V13</x:v>
      </x:c>
      <x:c r="B81" t="str">
        <x:v>CE-013</x:v>
      </x:c>
      <x:c r="C81" t="str">
        <x:v>transfer_shares</x:v>
      </x:c>
      <x:c r="D81" t="str">
        <x:v>85,000</x:v>
      </x:c>
      <x:c r="E81" t="n">
        <x:v>85000</x:v>
      </x:c>
      <x:c r="F81" t="str">
        <x:v>股</x:v>
      </x:c>
      <x:c r="G81" t="n">
        <x:v>85000</x:v>
      </x:c>
      <x:c r="H81" t="str">
        <x:v>股</x:v>
      </x:c>
      <x:c r="I81" t="str">
        <x:v>无</x:v>
      </x:c>
      <x:c r="J81" t="str">
        <x:v>CE-013-E03</x:v>
      </x:c>
      <x:c r="K81" t="str">
        <x:v>64</x:v>
      </x:c>
      <x:c r="L81" t="str">
        <x:v>63</x:v>
      </x:c>
      <x:c r="M81" t="str">
        <x:v>原文表格：刘云锋→沈笑彦，转让85,000股，转让价格438.60万元。</x:v>
      </x:c>
      <x:c r="N81" t="str">
        <x:v>PDF原文已定位</x:v>
      </x:c>
      <x:c r="O81" t="str">
        <x:v>原文披露值</x:v>
      </x:c>
      <x:c r="P81" t="str"/>
      <x:c r="Q81" t="str">
        <x:v>刘云锋→沈笑彦</x:v>
      </x:c>
    </x:row>
    <x:row r="82">
      <x:c r="A82" t="str">
        <x:v>CE-013-V14</x:v>
      </x:c>
      <x:c r="B82" t="str">
        <x:v>CE-013</x:v>
      </x:c>
      <x:c r="C82" t="str">
        <x:v>transfer_consideration</x:v>
      </x:c>
      <x:c r="D82" t="str">
        <x:v>438.60</x:v>
      </x:c>
      <x:c r="E82" t="n">
        <x:v>438.6</x:v>
      </x:c>
      <x:c r="F82" t="str">
        <x:v>万元</x:v>
      </x:c>
      <x:c r="G82" t="n">
        <x:v>438.6</x:v>
      </x:c>
      <x:c r="H82" t="str">
        <x:v>万元</x:v>
      </x:c>
      <x:c r="I82" t="str">
        <x:v>无</x:v>
      </x:c>
      <x:c r="J82" t="str">
        <x:v>CE-013-E03</x:v>
      </x:c>
      <x:c r="K82" t="str">
        <x:v>64</x:v>
      </x:c>
      <x:c r="L82" t="str">
        <x:v>63</x:v>
      </x:c>
      <x:c r="M82" t="str">
        <x:v>原文表格：刘云锋→沈笑彦，转让85,000股，转让价格438.60万元。</x:v>
      </x:c>
      <x:c r="N82" t="str">
        <x:v>PDF原文已定位</x:v>
      </x:c>
      <x:c r="O82" t="str">
        <x:v>原文披露值</x:v>
      </x:c>
      <x:c r="P82" t="str"/>
      <x:c r="Q82" t="str">
        <x:v>刘云锋→沈笑彦</x:v>
      </x:c>
    </x:row>
    <x:row r="83">
      <x:c r="A83" t="str">
        <x:v>CE-013-V15</x:v>
      </x:c>
      <x:c r="B83" t="str">
        <x:v>CE-013</x:v>
      </x:c>
      <x:c r="C83" t="str">
        <x:v>transfer_shares</x:v>
      </x:c>
      <x:c r="D83" t="str">
        <x:v>85,000</x:v>
      </x:c>
      <x:c r="E83" t="n">
        <x:v>85000</x:v>
      </x:c>
      <x:c r="F83" t="str">
        <x:v>股</x:v>
      </x:c>
      <x:c r="G83" t="n">
        <x:v>85000</x:v>
      </x:c>
      <x:c r="H83" t="str">
        <x:v>股</x:v>
      </x:c>
      <x:c r="I83" t="str">
        <x:v>无</x:v>
      </x:c>
      <x:c r="J83" t="str">
        <x:v>CE-013-E03</x:v>
      </x:c>
      <x:c r="K83" t="str">
        <x:v>64</x:v>
      </x:c>
      <x:c r="L83" t="str">
        <x:v>63</x:v>
      </x:c>
      <x:c r="M83" t="str">
        <x:v>原文表格：刘云锋→衣嘉平，转让85,000股，转让价格438.60万元。</x:v>
      </x:c>
      <x:c r="N83" t="str">
        <x:v>PDF原文已定位</x:v>
      </x:c>
      <x:c r="O83" t="str">
        <x:v>原文披露值</x:v>
      </x:c>
      <x:c r="P83" t="str"/>
      <x:c r="Q83" t="str">
        <x:v>刘云锋→衣嘉平</x:v>
      </x:c>
    </x:row>
    <x:row r="84">
      <x:c r="A84" t="str">
        <x:v>CE-013-V16</x:v>
      </x:c>
      <x:c r="B84" t="str">
        <x:v>CE-013</x:v>
      </x:c>
      <x:c r="C84" t="str">
        <x:v>transfer_consideration</x:v>
      </x:c>
      <x:c r="D84" t="str">
        <x:v>438.60</x:v>
      </x:c>
      <x:c r="E84" t="n">
        <x:v>438.6</x:v>
      </x:c>
      <x:c r="F84" t="str">
        <x:v>万元</x:v>
      </x:c>
      <x:c r="G84" t="n">
        <x:v>438.6</x:v>
      </x:c>
      <x:c r="H84" t="str">
        <x:v>万元</x:v>
      </x:c>
      <x:c r="I84" t="str">
        <x:v>无</x:v>
      </x:c>
      <x:c r="J84" t="str">
        <x:v>CE-013-E03</x:v>
      </x:c>
      <x:c r="K84" t="str">
        <x:v>64</x:v>
      </x:c>
      <x:c r="L84" t="str">
        <x:v>63</x:v>
      </x:c>
      <x:c r="M84" t="str">
        <x:v>原文表格：刘云锋→衣嘉平，转让85,000股，转让价格438.60万元。</x:v>
      </x:c>
      <x:c r="N84" t="str">
        <x:v>PDF原文已定位</x:v>
      </x:c>
      <x:c r="O84" t="str">
        <x:v>原文披露值</x:v>
      </x:c>
      <x:c r="P84" t="str"/>
      <x:c r="Q84" t="str">
        <x:v>刘云锋→衣嘉平</x:v>
      </x:c>
    </x:row>
    <x:row r="85">
      <x:c r="A85" t="str">
        <x:v>CE-013-V17</x:v>
      </x:c>
      <x:c r="B85" t="str">
        <x:v>CE-013</x:v>
      </x:c>
      <x:c r="C85" t="str">
        <x:v>transfer_shares</x:v>
      </x:c>
      <x:c r="D85" t="str">
        <x:v>85,000</x:v>
      </x:c>
      <x:c r="E85" t="n">
        <x:v>85000</x:v>
      </x:c>
      <x:c r="F85" t="str">
        <x:v>股</x:v>
      </x:c>
      <x:c r="G85" t="n">
        <x:v>85000</x:v>
      </x:c>
      <x:c r="H85" t="str">
        <x:v>股</x:v>
      </x:c>
      <x:c r="I85" t="str">
        <x:v>无</x:v>
      </x:c>
      <x:c r="J85" t="str">
        <x:v>CE-013-E03</x:v>
      </x:c>
      <x:c r="K85" t="str">
        <x:v>64</x:v>
      </x:c>
      <x:c r="L85" t="str">
        <x:v>63</x:v>
      </x:c>
      <x:c r="M85" t="str">
        <x:v>原文表格：刘云锋→余满芬，转让85,000股，转让价格438.60万元。</x:v>
      </x:c>
      <x:c r="N85" t="str">
        <x:v>PDF原文已定位</x:v>
      </x:c>
      <x:c r="O85" t="str">
        <x:v>原文披露值</x:v>
      </x:c>
      <x:c r="P85" t="str"/>
      <x:c r="Q85" t="str">
        <x:v>刘云锋→余满芬</x:v>
      </x:c>
    </x:row>
    <x:row r="86">
      <x:c r="A86" t="str">
        <x:v>CE-013-V18</x:v>
      </x:c>
      <x:c r="B86" t="str">
        <x:v>CE-013</x:v>
      </x:c>
      <x:c r="C86" t="str">
        <x:v>transfer_consideration</x:v>
      </x:c>
      <x:c r="D86" t="str">
        <x:v>438.60</x:v>
      </x:c>
      <x:c r="E86" t="n">
        <x:v>438.6</x:v>
      </x:c>
      <x:c r="F86" t="str">
        <x:v>万元</x:v>
      </x:c>
      <x:c r="G86" t="n">
        <x:v>438.6</x:v>
      </x:c>
      <x:c r="H86" t="str">
        <x:v>万元</x:v>
      </x:c>
      <x:c r="I86" t="str">
        <x:v>无</x:v>
      </x:c>
      <x:c r="J86" t="str">
        <x:v>CE-013-E03</x:v>
      </x:c>
      <x:c r="K86" t="str">
        <x:v>64</x:v>
      </x:c>
      <x:c r="L86" t="str">
        <x:v>63</x:v>
      </x:c>
      <x:c r="M86" t="str">
        <x:v>原文表格：刘云锋→余满芬，转让85,000股，转让价格438.60万元。</x:v>
      </x:c>
      <x:c r="N86" t="str">
        <x:v>PDF原文已定位</x:v>
      </x:c>
      <x:c r="O86" t="str">
        <x:v>原文披露值</x:v>
      </x:c>
      <x:c r="P86" t="str"/>
      <x:c r="Q86" t="str">
        <x:v>刘云锋→余满芬</x:v>
      </x:c>
    </x:row>
    <x:row r="87">
      <x:c r="A87" t="str">
        <x:v>CE-013-V19</x:v>
      </x:c>
      <x:c r="B87" t="str">
        <x:v>CE-013</x:v>
      </x:c>
      <x:c r="C87" t="str">
        <x:v>transfer_shares</x:v>
      </x:c>
      <x:c r="D87" t="str">
        <x:v>38,760</x:v>
      </x:c>
      <x:c r="E87" t="n">
        <x:v>38760</x:v>
      </x:c>
      <x:c r="F87" t="str">
        <x:v>股</x:v>
      </x:c>
      <x:c r="G87" t="n">
        <x:v>38760</x:v>
      </x:c>
      <x:c r="H87" t="str">
        <x:v>股</x:v>
      </x:c>
      <x:c r="I87" t="str">
        <x:v>无</x:v>
      </x:c>
      <x:c r="J87" t="str">
        <x:v>CE-013-E03</x:v>
      </x:c>
      <x:c r="K87" t="str">
        <x:v>64</x:v>
      </x:c>
      <x:c r="L87" t="str">
        <x:v>63</x:v>
      </x:c>
      <x:c r="M87" t="str">
        <x:v>原文表格：刘云锋→崔振南，转让38,760股，转让价格200.00万元。</x:v>
      </x:c>
      <x:c r="N87" t="str">
        <x:v>PDF原文已定位</x:v>
      </x:c>
      <x:c r="O87" t="str">
        <x:v>原文披露值</x:v>
      </x:c>
      <x:c r="P87" t="str"/>
      <x:c r="Q87" t="str">
        <x:v>刘云锋→崔振南</x:v>
      </x:c>
    </x:row>
    <x:row r="88">
      <x:c r="A88" t="str">
        <x:v>CE-013-V20</x:v>
      </x:c>
      <x:c r="B88" t="str">
        <x:v>CE-013</x:v>
      </x:c>
      <x:c r="C88" t="str">
        <x:v>transfer_consideration</x:v>
      </x:c>
      <x:c r="D88" t="str">
        <x:v>200.00</x:v>
      </x:c>
      <x:c r="E88" t="n">
        <x:v>200</x:v>
      </x:c>
      <x:c r="F88" t="str">
        <x:v>万元</x:v>
      </x:c>
      <x:c r="G88" t="n">
        <x:v>200</x:v>
      </x:c>
      <x:c r="H88" t="str">
        <x:v>万元</x:v>
      </x:c>
      <x:c r="I88" t="str">
        <x:v>无</x:v>
      </x:c>
      <x:c r="J88" t="str">
        <x:v>CE-013-E03</x:v>
      </x:c>
      <x:c r="K88" t="str">
        <x:v>64</x:v>
      </x:c>
      <x:c r="L88" t="str">
        <x:v>63</x:v>
      </x:c>
      <x:c r="M88" t="str">
        <x:v>原文表格：刘云锋→崔振南，转让38,760股，转让价格200.00万元。</x:v>
      </x:c>
      <x:c r="N88" t="str">
        <x:v>PDF原文已定位</x:v>
      </x:c>
      <x:c r="O88" t="str">
        <x:v>原文披露值</x:v>
      </x:c>
      <x:c r="P88" t="str"/>
      <x:c r="Q88" t="str">
        <x:v>刘云锋→崔振南</x:v>
      </x:c>
    </x:row>
    <x:row r="89">
      <x:c r="A89" t="str">
        <x:v>CE-013-V21</x:v>
      </x:c>
      <x:c r="B89" t="str">
        <x:v>CE-013</x:v>
      </x:c>
      <x:c r="C89" t="str">
        <x:v>transfer_shares</x:v>
      </x:c>
      <x:c r="D89" t="str">
        <x:v>85,000</x:v>
      </x:c>
      <x:c r="E89" t="n">
        <x:v>85000</x:v>
      </x:c>
      <x:c r="F89" t="str">
        <x:v>股</x:v>
      </x:c>
      <x:c r="G89" t="n">
        <x:v>85000</x:v>
      </x:c>
      <x:c r="H89" t="str">
        <x:v>股</x:v>
      </x:c>
      <x:c r="I89" t="str">
        <x:v>无</x:v>
      </x:c>
      <x:c r="J89" t="str">
        <x:v>CE-013-E03</x:v>
      </x:c>
      <x:c r="K89" t="str">
        <x:v>64</x:v>
      </x:c>
      <x:c r="L89" t="str">
        <x:v>63</x:v>
      </x:c>
      <x:c r="M89" t="str">
        <x:v>原文表格：刘云锋→湘裕君源，转让85,000股，转让价格438.60万元。</x:v>
      </x:c>
      <x:c r="N89" t="str">
        <x:v>PDF原文已定位</x:v>
      </x:c>
      <x:c r="O89" t="str">
        <x:v>原文披露值</x:v>
      </x:c>
      <x:c r="P89" t="str"/>
      <x:c r="Q89" t="str">
        <x:v>刘云锋→湘裕君源</x:v>
      </x:c>
    </x:row>
    <x:row r="90">
      <x:c r="A90" t="str">
        <x:v>CE-013-V22</x:v>
      </x:c>
      <x:c r="B90" t="str">
        <x:v>CE-013</x:v>
      </x:c>
      <x:c r="C90" t="str">
        <x:v>transfer_consideration</x:v>
      </x:c>
      <x:c r="D90" t="str">
        <x:v>438.60</x:v>
      </x:c>
      <x:c r="E90" t="n">
        <x:v>438.6</x:v>
      </x:c>
      <x:c r="F90" t="str">
        <x:v>万元</x:v>
      </x:c>
      <x:c r="G90" t="n">
        <x:v>438.6</x:v>
      </x:c>
      <x:c r="H90" t="str">
        <x:v>万元</x:v>
      </x:c>
      <x:c r="I90" t="str">
        <x:v>无</x:v>
      </x:c>
      <x:c r="J90" t="str">
        <x:v>CE-013-E03</x:v>
      </x:c>
      <x:c r="K90" t="str">
        <x:v>64</x:v>
      </x:c>
      <x:c r="L90" t="str">
        <x:v>63</x:v>
      </x:c>
      <x:c r="M90" t="str">
        <x:v>原文表格：刘云锋→湘裕君源，转让85,000股，转让价格438.60万元。</x:v>
      </x:c>
      <x:c r="N90" t="str">
        <x:v>PDF原文已定位</x:v>
      </x:c>
      <x:c r="O90" t="str">
        <x:v>原文披露值</x:v>
      </x:c>
      <x:c r="P90" t="str"/>
      <x:c r="Q90" t="str">
        <x:v>刘云锋→湘裕君源</x:v>
      </x:c>
    </x:row>
    <x:row r="91">
      <x:c r="A91" t="str">
        <x:v>CE-013-V23</x:v>
      </x:c>
      <x:c r="B91" t="str">
        <x:v>CE-013</x:v>
      </x:c>
      <x:c r="C91" t="str">
        <x:v>transfer_shares</x:v>
      </x:c>
      <x:c r="D91" t="str">
        <x:v>50,000</x:v>
      </x:c>
      <x:c r="E91" t="n">
        <x:v>50000</x:v>
      </x:c>
      <x:c r="F91" t="str">
        <x:v>股</x:v>
      </x:c>
      <x:c r="G91" t="n">
        <x:v>50000</x:v>
      </x:c>
      <x:c r="H91" t="str">
        <x:v>股</x:v>
      </x:c>
      <x:c r="I91" t="str">
        <x:v>无</x:v>
      </x:c>
      <x:c r="J91" t="str">
        <x:v>CE-013-E03</x:v>
      </x:c>
      <x:c r="K91" t="str">
        <x:v>64</x:v>
      </x:c>
      <x:c r="L91" t="str">
        <x:v>63</x:v>
      </x:c>
      <x:c r="M91" t="str">
        <x:v>原文表格：李文发→湘裕君源，转让50,000股，转让价格258.00万元。</x:v>
      </x:c>
      <x:c r="N91" t="str">
        <x:v>PDF原文已定位</x:v>
      </x:c>
      <x:c r="O91" t="str">
        <x:v>原文披露值</x:v>
      </x:c>
      <x:c r="P91" t="str"/>
      <x:c r="Q91" t="str">
        <x:v>李文发→湘裕君源</x:v>
      </x:c>
    </x:row>
    <x:row r="92">
      <x:c r="A92" t="str">
        <x:v>CE-013-V24</x:v>
      </x:c>
      <x:c r="B92" t="str">
        <x:v>CE-013</x:v>
      </x:c>
      <x:c r="C92" t="str">
        <x:v>transfer_consideration</x:v>
      </x:c>
      <x:c r="D92" t="str">
        <x:v>258.00</x:v>
      </x:c>
      <x:c r="E92" t="n">
        <x:v>258</x:v>
      </x:c>
      <x:c r="F92" t="str">
        <x:v>万元</x:v>
      </x:c>
      <x:c r="G92" t="n">
        <x:v>258</x:v>
      </x:c>
      <x:c r="H92" t="str">
        <x:v>万元</x:v>
      </x:c>
      <x:c r="I92" t="str">
        <x:v>无</x:v>
      </x:c>
      <x:c r="J92" t="str">
        <x:v>CE-013-E03</x:v>
      </x:c>
      <x:c r="K92" t="str">
        <x:v>64</x:v>
      </x:c>
      <x:c r="L92" t="str">
        <x:v>63</x:v>
      </x:c>
      <x:c r="M92" t="str">
        <x:v>原文表格：李文发→湘裕君源，转让50,000股，转让价格258.00万元。</x:v>
      </x:c>
      <x:c r="N92" t="str">
        <x:v>PDF原文已定位</x:v>
      </x:c>
      <x:c r="O92" t="str">
        <x:v>原文披露值</x:v>
      </x:c>
      <x:c r="P92" t="str"/>
      <x:c r="Q92" t="str">
        <x:v>李文发→湘裕君源</x:v>
      </x:c>
    </x:row>
    <x:row r="93">
      <x:c r="A93" t="str">
        <x:v>CE-013-V25</x:v>
      </x:c>
      <x:c r="B93" t="str">
        <x:v>CE-013</x:v>
      </x:c>
      <x:c r="C93" t="str">
        <x:v>transfer_shares</x:v>
      </x:c>
      <x:c r="D93" t="str">
        <x:v>150,000</x:v>
      </x:c>
      <x:c r="E93" t="n">
        <x:v>150000</x:v>
      </x:c>
      <x:c r="F93" t="str">
        <x:v>股</x:v>
      </x:c>
      <x:c r="G93" t="n">
        <x:v>150000</x:v>
      </x:c>
      <x:c r="H93" t="str">
        <x:v>股</x:v>
      </x:c>
      <x:c r="I93" t="str">
        <x:v>无</x:v>
      </x:c>
      <x:c r="J93" t="str">
        <x:v>CE-013-E03</x:v>
      </x:c>
      <x:c r="K93" t="str">
        <x:v>64</x:v>
      </x:c>
      <x:c r="L93" t="str">
        <x:v>63</x:v>
      </x:c>
      <x:c r="M93" t="str">
        <x:v>原文表格：秦国君→湘裕君源，转让150,000股，转让价格774.00万元。</x:v>
      </x:c>
      <x:c r="N93" t="str">
        <x:v>PDF原文已定位</x:v>
      </x:c>
      <x:c r="O93" t="str">
        <x:v>原文披露值</x:v>
      </x:c>
      <x:c r="P93" t="str"/>
      <x:c r="Q93" t="str">
        <x:v>秦国君→湘裕君源</x:v>
      </x:c>
    </x:row>
    <x:row r="94">
      <x:c r="A94" t="str">
        <x:v>CE-013-V26</x:v>
      </x:c>
      <x:c r="B94" t="str">
        <x:v>CE-013</x:v>
      </x:c>
      <x:c r="C94" t="str">
        <x:v>transfer_consideration</x:v>
      </x:c>
      <x:c r="D94" t="str">
        <x:v>774.00</x:v>
      </x:c>
      <x:c r="E94" t="n">
        <x:v>774</x:v>
      </x:c>
      <x:c r="F94" t="str">
        <x:v>万元</x:v>
      </x:c>
      <x:c r="G94" t="n">
        <x:v>774</x:v>
      </x:c>
      <x:c r="H94" t="str">
        <x:v>万元</x:v>
      </x:c>
      <x:c r="I94" t="str">
        <x:v>无</x:v>
      </x:c>
      <x:c r="J94" t="str">
        <x:v>CE-013-E03</x:v>
      </x:c>
      <x:c r="K94" t="str">
        <x:v>64</x:v>
      </x:c>
      <x:c r="L94" t="str">
        <x:v>63</x:v>
      </x:c>
      <x:c r="M94" t="str">
        <x:v>原文表格：秦国君→湘裕君源，转让150,000股，转让价格774.00万元。</x:v>
      </x:c>
      <x:c r="N94" t="str">
        <x:v>PDF原文已定位</x:v>
      </x:c>
      <x:c r="O94" t="str">
        <x:v>原文披露值</x:v>
      </x:c>
      <x:c r="P94" t="str"/>
      <x:c r="Q94" t="str">
        <x:v>秦国君→湘裕君源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0d1cb7f6370a4c4b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5" customWidth="1"/>
    <x:col min="2" max="2" width="13" customWidth="1"/>
    <x:col min="3" max="3" width="10" customWidth="1"/>
    <x:col min="4" max="5" width="18" customWidth="1"/>
    <x:col min="6" max="6" width="22" customWidth="1"/>
    <x:col min="7" max="7" width="18" customWidth="1"/>
    <x:col min="8" max="8" width="13" customWidth="1"/>
    <x:col min="9" max="9" width="12" customWidth="1"/>
    <x:col min="10" max="10" width="15" customWidth="1"/>
    <x:col min="11" max="11" width="13" customWidth="1"/>
    <x:col min="12" max="12" width="24" customWidth="1"/>
    <x:col min="13" max="13" width="8" customWidth="1"/>
    <x:col min="14" max="14" width="16" customWidth="1"/>
    <x:col min="15" max="15" width="22" customWidth="1"/>
    <x:col min="16" max="17" width="10" customWidth="1"/>
    <x:col min="18" max="18" width="46" customWidth="1"/>
    <x:col min="19" max="19" width="18" customWidth="1"/>
    <x:col min="20" max="20" width="28" customWidth="1"/>
  </x:cols>
  <x:sheetData>
    <x:row r="1" ht="18.649999618530273" customHeight="1">
      <x:c r="A1" s="18" t="s">
        <x:v>517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1.399999618530273" customHeight="1">
      <x:c r="A3" s="5" t="s">
        <x:v>518</x:v>
      </x:c>
      <x:c r="B3" s="5" t="s">
        <x:v>43</x:v>
      </x:c>
      <x:c r="C3" s="5" t="s">
        <x:v>519</x:v>
      </x:c>
      <x:c r="D3" s="5" t="s">
        <x:v>520</x:v>
      </x:c>
      <x:c r="E3" s="5" t="s">
        <x:v>521</x:v>
      </x:c>
      <x:c r="F3" s="5" t="s">
        <x:v>301</x:v>
      </x:c>
      <x:c r="G3" s="5" t="s">
        <x:v>303</x:v>
      </x:c>
      <x:c r="H3" s="5" t="s">
        <x:v>304</x:v>
      </x:c>
      <x:c r="I3" s="5" t="s">
        <x:v>305</x:v>
      </x:c>
      <x:c r="J3" s="5" t="s">
        <x:v>306</x:v>
      </x:c>
      <x:c r="K3" s="5" t="s">
        <x:v>307</x:v>
      </x:c>
      <x:c r="L3" s="5" t="s">
        <x:v>308</x:v>
      </x:c>
      <x:c r="M3" s="5" t="s">
        <x:v>522</x:v>
      </x:c>
      <x:c r="N3" s="5" t="s">
        <x:v>523</x:v>
      </x:c>
      <x:c r="O3" s="5" t="s">
        <x:v>58</x:v>
      </x:c>
      <x:c r="P3" s="5" t="s">
        <x:v>56</x:v>
      </x:c>
      <x:c r="Q3" s="5" t="s">
        <x:v>57</x:v>
      </x:c>
      <x:c r="R3" s="5" t="s">
        <x:v>309</x:v>
      </x:c>
      <x:c r="S3" s="5" t="s">
        <x:v>310</x:v>
      </x:c>
      <x:c r="T3" s="5" t="s">
        <x:v>313</x:v>
      </x:c>
    </x:row>
    <x:row r="4" ht="42">
      <x:c r="A4" s="1" t="s">
        <x:v>524</x:v>
      </x:c>
      <x:c r="B4" s="1" t="s">
        <x:v>61</x:v>
      </x:c>
      <x:c r="C4" s="1">
        <x:v>1</x:v>
      </x:c>
      <x:c r="D4" s="1" t="s">
        <x:v>315</x:v>
      </x:c>
      <x:c r="E4" s="1" t="s">
        <x:v>525</x:v>
      </x:c>
      <x:c r="F4" s="1" t="s">
        <x:v>314</x:v>
      </x:c>
      <x:c r="G4" s="1" t="s">
        <x:v>316</x:v>
      </x:c>
      <x:c r="H4" s="6">
        <x:v>25</x:v>
      </x:c>
      <x:c r="I4" s="6" t="s">
        <x:v>85</x:v>
      </x:c>
      <x:c r="J4" s="6">
        <x:v>25</x:v>
      </x:c>
      <x:c r="K4" s="6" t="s">
        <x:v>85</x:v>
      </x:c>
      <x:c r="L4" s="6" t="s">
        <x:v>317</x:v>
      </x:c>
      <x:c r="M4" s="6">
        <x:v>1</x:v>
      </x:c>
      <x:c r="N4" s="7" t="n">
        <x:f t="shared" ref="N4:N35" si="0">J4*M4</x:f>
        <x:v>25</x:v>
      </x:c>
      <x:c r="O4" s="1" t="s">
        <x:v>74</x:v>
      </x:c>
      <x:c r="P4" s="1" t="s">
        <x:v>72</x:v>
      </x:c>
      <x:c r="Q4" s="1" t="s">
        <x:v>73</x:v>
      </x:c>
      <x:c r="R4" s="1" t="s">
        <x:v>318</x:v>
      </x:c>
      <x:c r="S4" s="1" t="s">
        <x:v>319</x:v>
      </x:c>
      <x:c r="T4" s="1" t="s">
        <x:v>321</x:v>
      </x:c>
    </x:row>
    <x:row r="5" ht="42">
      <x:c r="A5" s="1" t="s">
        <x:v>526</x:v>
      </x:c>
      <x:c r="B5" s="1" t="s">
        <x:v>61</x:v>
      </x:c>
      <x:c r="C5" s="1">
        <x:v>2</x:v>
      </x:c>
      <x:c r="D5" s="1" t="s">
        <x:v>323</x:v>
      </x:c>
      <x:c r="E5" s="1" t="s">
        <x:v>525</x:v>
      </x:c>
      <x:c r="F5" s="1" t="s">
        <x:v>322</x:v>
      </x:c>
      <x:c r="G5" s="1" t="s">
        <x:v>324</x:v>
      </x:c>
      <x:c r="H5" s="6">
        <x:v>50</x:v>
      </x:c>
      <x:c r="I5" s="6" t="s">
        <x:v>85</x:v>
      </x:c>
      <x:c r="J5" s="6">
        <x:v>50</x:v>
      </x:c>
      <x:c r="K5" s="6" t="s">
        <x:v>85</x:v>
      </x:c>
      <x:c r="L5" s="6" t="s">
        <x:v>317</x:v>
      </x:c>
      <x:c r="M5" s="6">
        <x:v>1</x:v>
      </x:c>
      <x:c r="N5" s="7">
        <x:f t="shared" si="0"/>
        <x:v>50</x:v>
      </x:c>
      <x:c r="O5" s="1" t="s">
        <x:v>74</x:v>
      </x:c>
      <x:c r="P5" s="1" t="s">
        <x:v>72</x:v>
      </x:c>
      <x:c r="Q5" s="1" t="s">
        <x:v>73</x:v>
      </x:c>
      <x:c r="R5" s="1" t="s">
        <x:v>318</x:v>
      </x:c>
      <x:c r="S5" s="1" t="s">
        <x:v>319</x:v>
      </x:c>
      <x:c r="T5" s="1" t="s">
        <x:v>325</x:v>
      </x:c>
    </x:row>
    <x:row r="6" ht="42">
      <x:c r="A6" s="1" t="s">
        <x:v>527</x:v>
      </x:c>
      <x:c r="B6" s="1" t="s">
        <x:v>61</x:v>
      </x:c>
      <x:c r="C6" s="1">
        <x:v>99</x:v>
      </x:c>
      <x:c r="D6" s="1" t="s">
        <x:v>327</x:v>
      </x:c>
      <x:c r="E6" s="1" t="s">
        <x:v>525</x:v>
      </x:c>
      <x:c r="F6" s="1" t="s">
        <x:v>326</x:v>
      </x:c>
      <x:c r="G6" s="1" t="s">
        <x:v>328</x:v>
      </x:c>
      <x:c r="H6" s="6">
        <x:v>50</x:v>
      </x:c>
      <x:c r="I6" s="6" t="s">
        <x:v>68</x:v>
      </x:c>
      <x:c r="J6" s="6">
        <x:v>50</x:v>
      </x:c>
      <x:c r="K6" s="6" t="s">
        <x:v>68</x:v>
      </x:c>
      <x:c r="L6" s="6" t="s">
        <x:v>317</x:v>
      </x:c>
      <x:c r="M6" s="6">
        <x:v>0</x:v>
      </x:c>
      <x:c r="N6" s="7">
        <x:f t="shared" si="0"/>
        <x:v>0</x:v>
      </x:c>
      <x:c r="O6" s="1" t="s">
        <x:v>74</x:v>
      </x:c>
      <x:c r="P6" s="1" t="s">
        <x:v>72</x:v>
      </x:c>
      <x:c r="Q6" s="1" t="s">
        <x:v>73</x:v>
      </x:c>
      <x:c r="R6" s="1" t="s">
        <x:v>318</x:v>
      </x:c>
      <x:c r="S6" s="1" t="s">
        <x:v>319</x:v>
      </x:c>
      <x:c r="T6" s="1" t="s">
        <x:v>329</x:v>
      </x:c>
    </x:row>
    <x:row r="7" ht="42">
      <x:c r="A7" s="1" t="s">
        <x:v>528</x:v>
      </x:c>
      <x:c r="B7" s="1" t="s">
        <x:v>76</x:v>
      </x:c>
      <x:c r="C7" s="1">
        <x:v>1</x:v>
      </x:c>
      <x:c r="D7" s="1" t="s">
        <x:v>315</x:v>
      </x:c>
      <x:c r="E7" s="1" t="s">
        <x:v>525</x:v>
      </x:c>
      <x:c r="F7" s="1" t="s">
        <x:v>330</x:v>
      </x:c>
      <x:c r="G7" s="1" t="s">
        <x:v>316</x:v>
      </x:c>
      <x:c r="H7" s="6">
        <x:v>25</x:v>
      </x:c>
      <x:c r="I7" s="6" t="s">
        <x:v>85</x:v>
      </x:c>
      <x:c r="J7" s="6">
        <x:v>25</x:v>
      </x:c>
      <x:c r="K7" s="6" t="s">
        <x:v>85</x:v>
      </x:c>
      <x:c r="L7" s="6" t="s">
        <x:v>317</x:v>
      </x:c>
      <x:c r="M7" s="6">
        <x:v>1</x:v>
      </x:c>
      <x:c r="N7" s="7">
        <x:f t="shared" si="0"/>
        <x:v>25</x:v>
      </x:c>
      <x:c r="O7" s="1" t="s">
        <x:v>74</x:v>
      </x:c>
      <x:c r="P7" s="1" t="s">
        <x:v>72</x:v>
      </x:c>
      <x:c r="Q7" s="1" t="s">
        <x:v>73</x:v>
      </x:c>
      <x:c r="R7" s="1" t="s">
        <x:v>318</x:v>
      </x:c>
      <x:c r="S7" s="1" t="s">
        <x:v>319</x:v>
      </x:c>
      <x:c r="T7" s="1" t="s">
        <x:v>321</x:v>
      </x:c>
    </x:row>
    <x:row r="8" ht="42">
      <x:c r="A8" s="1" t="s">
        <x:v>529</x:v>
      </x:c>
      <x:c r="B8" s="1" t="s">
        <x:v>76</x:v>
      </x:c>
      <x:c r="C8" s="1">
        <x:v>2</x:v>
      </x:c>
      <x:c r="D8" s="1" t="s">
        <x:v>323</x:v>
      </x:c>
      <x:c r="E8" s="1" t="s">
        <x:v>525</x:v>
      </x:c>
      <x:c r="F8" s="1" t="s">
        <x:v>322</x:v>
      </x:c>
      <x:c r="G8" s="1" t="s">
        <x:v>324</x:v>
      </x:c>
      <x:c r="H8" s="6">
        <x:v>50</x:v>
      </x:c>
      <x:c r="I8" s="6" t="s">
        <x:v>85</x:v>
      </x:c>
      <x:c r="J8" s="6">
        <x:v>50</x:v>
      </x:c>
      <x:c r="K8" s="6" t="s">
        <x:v>85</x:v>
      </x:c>
      <x:c r="L8" s="6" t="s">
        <x:v>317</x:v>
      </x:c>
      <x:c r="M8" s="6">
        <x:v>1</x:v>
      </x:c>
      <x:c r="N8" s="7">
        <x:f t="shared" si="0"/>
        <x:v>50</x:v>
      </x:c>
      <x:c r="O8" s="1" t="s">
        <x:v>74</x:v>
      </x:c>
      <x:c r="P8" s="1" t="s">
        <x:v>72</x:v>
      </x:c>
      <x:c r="Q8" s="1" t="s">
        <x:v>73</x:v>
      </x:c>
      <x:c r="R8" s="1" t="s">
        <x:v>318</x:v>
      </x:c>
      <x:c r="S8" s="1" t="s">
        <x:v>319</x:v>
      </x:c>
      <x:c r="T8" s="1" t="s">
        <x:v>325</x:v>
      </x:c>
    </x:row>
    <x:row r="9" ht="42">
      <x:c r="A9" s="1" t="s">
        <x:v>530</x:v>
      </x:c>
      <x:c r="B9" s="1" t="s">
        <x:v>76</x:v>
      </x:c>
      <x:c r="C9" s="1">
        <x:v>99</x:v>
      </x:c>
      <x:c r="D9" s="1" t="s">
        <x:v>327</x:v>
      </x:c>
      <x:c r="E9" s="1" t="s">
        <x:v>525</x:v>
      </x:c>
      <x:c r="F9" s="1" t="s">
        <x:v>331</x:v>
      </x:c>
      <x:c r="G9" s="1" t="s">
        <x:v>328</x:v>
      </x:c>
      <x:c r="H9" s="6">
        <x:v>50</x:v>
      </x:c>
      <x:c r="I9" s="6" t="s">
        <x:v>68</x:v>
      </x:c>
      <x:c r="J9" s="6">
        <x:v>50</x:v>
      </x:c>
      <x:c r="K9" s="6" t="s">
        <x:v>68</x:v>
      </x:c>
      <x:c r="L9" s="6" t="s">
        <x:v>317</x:v>
      </x:c>
      <x:c r="M9" s="6">
        <x:v>0</x:v>
      </x:c>
      <x:c r="N9" s="7">
        <x:f t="shared" si="0"/>
        <x:v>0</x:v>
      </x:c>
      <x:c r="O9" s="1" t="s">
        <x:v>74</x:v>
      </x:c>
      <x:c r="P9" s="1" t="s">
        <x:v>72</x:v>
      </x:c>
      <x:c r="Q9" s="1" t="s">
        <x:v>73</x:v>
      </x:c>
      <x:c r="R9" s="1" t="s">
        <x:v>318</x:v>
      </x:c>
      <x:c r="S9" s="1" t="s">
        <x:v>319</x:v>
      </x:c>
      <x:c r="T9" s="1" t="s">
        <x:v>329</x:v>
      </x:c>
    </x:row>
    <x:row r="10" ht="42">
      <x:c r="A10" s="1" t="s">
        <x:v>531</x:v>
      </x:c>
      <x:c r="B10" s="1" t="s">
        <x:v>78</x:v>
      </x:c>
      <x:c r="C10" s="1">
        <x:v>1</x:v>
      </x:c>
      <x:c r="D10" s="1" t="s">
        <x:v>333</x:v>
      </x:c>
      <x:c r="E10" s="1" t="s">
        <x:v>525</x:v>
      </x:c>
      <x:c r="F10" s="1" t="s">
        <x:v>332</x:v>
      </x:c>
      <x:c r="G10" s="1" t="s">
        <x:v>328</x:v>
      </x:c>
      <x:c r="H10" s="6">
        <x:v>50</x:v>
      </x:c>
      <x:c r="I10" s="6" t="s">
        <x:v>85</x:v>
      </x:c>
      <x:c r="J10" s="6">
        <x:v>50</x:v>
      </x:c>
      <x:c r="K10" s="6" t="s">
        <x:v>85</x:v>
      </x:c>
      <x:c r="L10" s="6" t="s">
        <x:v>317</x:v>
      </x:c>
      <x:c r="M10" s="6">
        <x:v>1</x:v>
      </x:c>
      <x:c r="N10" s="7">
        <x:f t="shared" si="0"/>
        <x:v>50</x:v>
      </x:c>
      <x:c r="O10" s="1" t="s">
        <x:v>88</x:v>
      </x:c>
      <x:c r="P10" s="1" t="s">
        <x:v>86</x:v>
      </x:c>
      <x:c r="Q10" s="1" t="s">
        <x:v>87</x:v>
      </x:c>
      <x:c r="R10" s="1" t="s">
        <x:v>334</x:v>
      </x:c>
      <x:c r="S10" s="1" t="s">
        <x:v>319</x:v>
      </x:c>
      <x:c r="T10" s="1" t="s">
        <x:v>335</x:v>
      </x:c>
    </x:row>
    <x:row r="11" ht="42">
      <x:c r="A11" s="1" t="s">
        <x:v>532</x:v>
      </x:c>
      <x:c r="B11" s="1" t="s">
        <x:v>78</x:v>
      </x:c>
      <x:c r="C11" s="1">
        <x:v>2</x:v>
      </x:c>
      <x:c r="D11" s="1" t="s">
        <x:v>533</x:v>
      </x:c>
      <x:c r="E11" s="1" t="s">
        <x:v>525</x:v>
      </x:c>
      <x:c r="F11" s="1" t="s">
        <x:v>326</x:v>
      </x:c>
      <x:c r="G11" s="1" t="s">
        <x:v>534</x:v>
      </x:c>
      <x:c r="H11" s="6">
        <x:v>0.5</x:v>
      </x:c>
      <x:c r="I11" s="6" t="s">
        <x:v>535</x:v>
      </x:c>
      <x:c r="J11" s="6">
        <x:v>0.5</x:v>
      </x:c>
      <x:c r="K11" s="6" t="s">
        <x:v>535</x:v>
      </x:c>
      <x:c r="L11" s="6" t="s">
        <x:v>536</x:v>
      </x:c>
      <x:c r="M11" s="6">
        <x:v>1</x:v>
      </x:c>
      <x:c r="N11" s="7">
        <x:f t="shared" si="0"/>
        <x:v>0.5</x:v>
      </x:c>
      <x:c r="O11" s="1" t="s">
        <x:v>88</x:v>
      </x:c>
      <x:c r="P11" s="1" t="s">
        <x:v>86</x:v>
      </x:c>
      <x:c r="Q11" s="1" t="s">
        <x:v>87</x:v>
      </x:c>
      <x:c r="R11" s="1" t="s">
        <x:v>334</x:v>
      </x:c>
      <x:c r="S11" s="1" t="s">
        <x:v>319</x:v>
      </x:c>
      <x:c r="T11" s="1" t="s">
        <x:v>537</x:v>
      </x:c>
    </x:row>
    <x:row r="12" ht="42">
      <x:c r="A12" s="1" t="s">
        <x:v>538</x:v>
      </x:c>
      <x:c r="B12" s="1" t="s">
        <x:v>90</x:v>
      </x:c>
      <x:c r="C12" s="1">
        <x:v>1</x:v>
      </x:c>
      <x:c r="D12" s="1" t="s">
        <x:v>333</x:v>
      </x:c>
      <x:c r="E12" s="1" t="s">
        <x:v>525</x:v>
      </x:c>
      <x:c r="F12" s="1" t="s">
        <x:v>332</x:v>
      </x:c>
      <x:c r="G12" s="1" t="s">
        <x:v>328</x:v>
      </x:c>
      <x:c r="H12" s="6">
        <x:v>50</x:v>
      </x:c>
      <x:c r="I12" s="6" t="s">
        <x:v>85</x:v>
      </x:c>
      <x:c r="J12" s="6">
        <x:v>50</x:v>
      </x:c>
      <x:c r="K12" s="6" t="s">
        <x:v>85</x:v>
      </x:c>
      <x:c r="L12" s="6" t="s">
        <x:v>317</x:v>
      </x:c>
      <x:c r="M12" s="6">
        <x:v>1</x:v>
      </x:c>
      <x:c r="N12" s="7">
        <x:f t="shared" si="0"/>
        <x:v>50</x:v>
      </x:c>
      <x:c r="O12" s="1" t="s">
        <x:v>88</x:v>
      </x:c>
      <x:c r="P12" s="1" t="s">
        <x:v>86</x:v>
      </x:c>
      <x:c r="Q12" s="1" t="s">
        <x:v>87</x:v>
      </x:c>
      <x:c r="R12" s="1" t="s">
        <x:v>334</x:v>
      </x:c>
      <x:c r="S12" s="1" t="s">
        <x:v>319</x:v>
      </x:c>
      <x:c r="T12" s="1" t="s">
        <x:v>335</x:v>
      </x:c>
    </x:row>
    <x:row r="13" ht="42">
      <x:c r="A13" s="1" t="s">
        <x:v>539</x:v>
      </x:c>
      <x:c r="B13" s="1" t="s">
        <x:v>90</x:v>
      </x:c>
      <x:c r="C13" s="1">
        <x:v>2</x:v>
      </x:c>
      <x:c r="D13" s="1" t="s">
        <x:v>533</x:v>
      </x:c>
      <x:c r="E13" s="1" t="s">
        <x:v>525</x:v>
      </x:c>
      <x:c r="F13" s="1" t="s">
        <x:v>331</x:v>
      </x:c>
      <x:c r="G13" s="1" t="s">
        <x:v>534</x:v>
      </x:c>
      <x:c r="H13" s="6">
        <x:v>0.5</x:v>
      </x:c>
      <x:c r="I13" s="6" t="s">
        <x:v>535</x:v>
      </x:c>
      <x:c r="J13" s="6">
        <x:v>0.5</x:v>
      </x:c>
      <x:c r="K13" s="6" t="s">
        <x:v>535</x:v>
      </x:c>
      <x:c r="L13" s="6" t="s">
        <x:v>536</x:v>
      </x:c>
      <x:c r="M13" s="6">
        <x:v>1</x:v>
      </x:c>
      <x:c r="N13" s="7">
        <x:f t="shared" si="0"/>
        <x:v>0.5</x:v>
      </x:c>
      <x:c r="O13" s="1" t="s">
        <x:v>88</x:v>
      </x:c>
      <x:c r="P13" s="1" t="s">
        <x:v>86</x:v>
      </x:c>
      <x:c r="Q13" s="1" t="s">
        <x:v>87</x:v>
      </x:c>
      <x:c r="R13" s="1" t="s">
        <x:v>334</x:v>
      </x:c>
      <x:c r="S13" s="1" t="s">
        <x:v>319</x:v>
      </x:c>
      <x:c r="T13" s="1" t="s">
        <x:v>537</x:v>
      </x:c>
    </x:row>
    <x:row r="14" ht="42">
      <x:c r="A14" s="1" t="s">
        <x:v>540</x:v>
      </x:c>
      <x:c r="B14" s="1" t="s">
        <x:v>92</x:v>
      </x:c>
      <x:c r="C14" s="1">
        <x:v>1</x:v>
      </x:c>
      <x:c r="D14" s="1" t="s">
        <x:v>373</x:v>
      </x:c>
      <x:c r="E14" s="1" t="s">
        <x:v>541</x:v>
      </x:c>
      <x:c r="F14" s="1" t="s">
        <x:v>542</x:v>
      </x:c>
      <x:c r="G14" s="1" t="s">
        <x:v>480</x:v>
      </x:c>
      <x:c r="H14" s="6">
        <x:v>0</x:v>
      </x:c>
      <x:c r="I14" s="6" t="s">
        <x:v>85</x:v>
      </x:c>
      <x:c r="J14" s="6">
        <x:v>0</x:v>
      </x:c>
      <x:c r="K14" s="6" t="s">
        <x:v>85</x:v>
      </x:c>
      <x:c r="L14" s="6" t="s">
        <x:v>317</x:v>
      </x:c>
      <x:c r="M14" s="6">
        <x:v>1</x:v>
      </x:c>
      <x:c r="N14" s="7">
        <x:f t="shared" si="0"/>
        <x:v>0</x:v>
      </x:c>
      <x:c r="O14" s="1" t="s">
        <x:v>88</x:v>
      </x:c>
      <x:c r="P14" s="1" t="s">
        <x:v>86</x:v>
      </x:c>
      <x:c r="Q14" s="1" t="s">
        <x:v>87</x:v>
      </x:c>
      <x:c r="R14" s="1" t="s">
        <x:v>334</x:v>
      </x:c>
      <x:c r="S14" s="1" t="s">
        <x:v>319</x:v>
      </x:c>
      <x:c r="T14" s="1" t="s">
        <x:v>543</x:v>
      </x:c>
    </x:row>
    <x:row r="15" ht="42">
      <x:c r="A15" s="1" t="s">
        <x:v>544</x:v>
      </x:c>
      <x:c r="B15" s="1" t="s">
        <x:v>92</x:v>
      </x:c>
      <x:c r="C15" s="1">
        <x:v>2</x:v>
      </x:c>
      <x:c r="D15" s="1" t="s">
        <x:v>337</x:v>
      </x:c>
      <x:c r="E15" s="1" t="s">
        <x:v>525</x:v>
      </x:c>
      <x:c r="F15" s="1" t="s">
        <x:v>336</x:v>
      </x:c>
      <x:c r="G15" s="1" t="s">
        <x:v>338</x:v>
      </x:c>
      <x:c r="H15" s="6">
        <x:v>25</x:v>
      </x:c>
      <x:c r="I15" s="6" t="s">
        <x:v>85</x:v>
      </x:c>
      <x:c r="J15" s="6">
        <x:v>25</x:v>
      </x:c>
      <x:c r="K15" s="6" t="s">
        <x:v>85</x:v>
      </x:c>
      <x:c r="L15" s="6" t="s">
        <x:v>339</x:v>
      </x:c>
      <x:c r="M15" s="6">
        <x:v>1</x:v>
      </x:c>
      <x:c r="N15" s="7">
        <x:f t="shared" si="0"/>
        <x:v>25</x:v>
      </x:c>
      <x:c r="O15" s="1" t="s">
        <x:v>88</x:v>
      </x:c>
      <x:c r="P15" s="1" t="s">
        <x:v>86</x:v>
      </x:c>
      <x:c r="Q15" s="1" t="s">
        <x:v>87</x:v>
      </x:c>
      <x:c r="R15" s="1" t="s">
        <x:v>334</x:v>
      </x:c>
      <x:c r="S15" s="1" t="s">
        <x:v>319</x:v>
      </x:c>
      <x:c r="T15" s="1" t="s">
        <x:v>340</x:v>
      </x:c>
    </x:row>
    <x:row r="16" ht="42">
      <x:c r="A16" s="1" t="s">
        <x:v>545</x:v>
      </x:c>
      <x:c r="B16" s="1" t="s">
        <x:v>99</x:v>
      </x:c>
      <x:c r="C16" s="1">
        <x:v>1</x:v>
      </x:c>
      <x:c r="D16" s="1" t="s">
        <x:v>373</x:v>
      </x:c>
      <x:c r="E16" s="1" t="s">
        <x:v>525</x:v>
      </x:c>
      <x:c r="F16" s="1" t="s">
        <x:v>330</x:v>
      </x:c>
      <x:c r="G16" s="1" t="s">
        <x:v>316</x:v>
      </x:c>
      <x:c r="H16" s="6">
        <x:v>25</x:v>
      </x:c>
      <x:c r="I16" s="6" t="s">
        <x:v>85</x:v>
      </x:c>
      <x:c r="J16" s="6">
        <x:v>25</x:v>
      </x:c>
      <x:c r="K16" s="6" t="s">
        <x:v>85</x:v>
      </x:c>
      <x:c r="L16" s="6" t="s">
        <x:v>317</x:v>
      </x:c>
      <x:c r="M16" s="6">
        <x:v>1</x:v>
      </x:c>
      <x:c r="N16" s="7">
        <x:f t="shared" si="0"/>
        <x:v>25</x:v>
      </x:c>
      <x:c r="O16" s="1" t="s">
        <x:v>88</x:v>
      </x:c>
      <x:c r="P16" s="1" t="s">
        <x:v>86</x:v>
      </x:c>
      <x:c r="Q16" s="1" t="s">
        <x:v>87</x:v>
      </x:c>
      <x:c r="R16" s="1" t="s">
        <x:v>334</x:v>
      </x:c>
      <x:c r="S16" s="1" t="s">
        <x:v>319</x:v>
      </x:c>
      <x:c r="T16" s="1" t="s">
        <x:v>546</x:v>
      </x:c>
    </x:row>
    <x:row r="17" ht="42">
      <x:c r="A17" s="1" t="s">
        <x:v>547</x:v>
      </x:c>
      <x:c r="B17" s="1" t="s">
        <x:v>102</x:v>
      </x:c>
      <x:c r="C17" s="1">
        <x:v>1</x:v>
      </x:c>
      <x:c r="D17" s="1" t="s">
        <x:v>373</x:v>
      </x:c>
      <x:c r="E17" s="1" t="s">
        <x:v>541</x:v>
      </x:c>
      <x:c r="F17" s="1" t="s">
        <x:v>548</x:v>
      </x:c>
      <x:c r="G17" s="1" t="s">
        <x:v>343</x:v>
      </x:c>
      <x:c r="H17" s="6">
        <x:v>25</x:v>
      </x:c>
      <x:c r="I17" s="6" t="s">
        <x:v>85</x:v>
      </x:c>
      <x:c r="J17" s="6">
        <x:v>25</x:v>
      </x:c>
      <x:c r="K17" s="6" t="s">
        <x:v>85</x:v>
      </x:c>
      <x:c r="L17" s="6" t="s">
        <x:v>317</x:v>
      </x:c>
      <x:c r="M17" s="6">
        <x:v>1</x:v>
      </x:c>
      <x:c r="N17" s="7">
        <x:f t="shared" si="0"/>
        <x:v>25</x:v>
      </x:c>
      <x:c r="O17" s="1" t="s">
        <x:v>88</x:v>
      </x:c>
      <x:c r="P17" s="1" t="s">
        <x:v>86</x:v>
      </x:c>
      <x:c r="Q17" s="1" t="s">
        <x:v>87</x:v>
      </x:c>
      <x:c r="R17" s="1" t="s">
        <x:v>334</x:v>
      </x:c>
      <x:c r="S17" s="1" t="s">
        <x:v>319</x:v>
      </x:c>
      <x:c r="T17" s="1" t="s">
        <x:v>549</x:v>
      </x:c>
    </x:row>
    <x:row r="18" ht="42">
      <x:c r="A18" s="1" t="s">
        <x:v>550</x:v>
      </x:c>
      <x:c r="B18" s="1" t="s">
        <x:v>102</x:v>
      </x:c>
      <x:c r="C18" s="1">
        <x:v>2</x:v>
      </x:c>
      <x:c r="D18" s="1" t="s">
        <x:v>342</x:v>
      </x:c>
      <x:c r="E18" s="1" t="s">
        <x:v>541</x:v>
      </x:c>
      <x:c r="F18" s="1" t="s">
        <x:v>341</x:v>
      </x:c>
      <x:c r="G18" s="1" t="s">
        <x:v>343</x:v>
      </x:c>
      <x:c r="H18" s="6">
        <x:v>25</x:v>
      </x:c>
      <x:c r="I18" s="6" t="s">
        <x:v>85</x:v>
      </x:c>
      <x:c r="J18" s="6">
        <x:v>25</x:v>
      </x:c>
      <x:c r="K18" s="6" t="s">
        <x:v>85</x:v>
      </x:c>
      <x:c r="L18" s="6" t="s">
        <x:v>317</x:v>
      </x:c>
      <x:c r="M18" s="6">
        <x:v>1</x:v>
      </x:c>
      <x:c r="N18" s="7">
        <x:f t="shared" si="0"/>
        <x:v>25</x:v>
      </x:c>
      <x:c r="O18" s="1" t="s">
        <x:v>88</x:v>
      </x:c>
      <x:c r="P18" s="1" t="s">
        <x:v>86</x:v>
      </x:c>
      <x:c r="Q18" s="1" t="s">
        <x:v>87</x:v>
      </x:c>
      <x:c r="R18" s="1" t="s">
        <x:v>334</x:v>
      </x:c>
      <x:c r="S18" s="1" t="s">
        <x:v>319</x:v>
      </x:c>
      <x:c r="T18" s="1" t="s">
        <x:v>344</x:v>
      </x:c>
    </x:row>
    <x:row r="19" ht="42">
      <x:c r="A19" s="1" t="s">
        <x:v>551</x:v>
      </x:c>
      <x:c r="B19" s="1" t="s">
        <x:v>102</x:v>
      </x:c>
      <x:c r="C19" s="1">
        <x:v>99</x:v>
      </x:c>
      <x:c r="D19" s="1" t="s">
        <x:v>327</x:v>
      </x:c>
      <x:c r="E19" s="1" t="s">
        <x:v>525</x:v>
      </x:c>
      <x:c r="F19" s="1" t="s">
        <x:v>552</x:v>
      </x:c>
      <x:c r="G19" s="1" t="s">
        <x:v>328</x:v>
      </x:c>
      <x:c r="H19" s="6">
        <x:v>50</x:v>
      </x:c>
      <x:c r="I19" s="6" t="s">
        <x:v>85</x:v>
      </x:c>
      <x:c r="J19" s="6">
        <x:v>50</x:v>
      </x:c>
      <x:c r="K19" s="6" t="s">
        <x:v>85</x:v>
      </x:c>
      <x:c r="L19" s="6" t="s">
        <x:v>317</x:v>
      </x:c>
      <x:c r="M19" s="6">
        <x:v>0</x:v>
      </x:c>
      <x:c r="N19" s="7">
        <x:f t="shared" si="0"/>
        <x:v>0</x:v>
      </x:c>
      <x:c r="O19" s="1" t="s">
        <x:v>88</x:v>
      </x:c>
      <x:c r="P19" s="1" t="s">
        <x:v>86</x:v>
      </x:c>
      <x:c r="Q19" s="1" t="s">
        <x:v>87</x:v>
      </x:c>
      <x:c r="R19" s="1" t="s">
        <x:v>334</x:v>
      </x:c>
      <x:c r="S19" s="1" t="s">
        <x:v>319</x:v>
      </x:c>
      <x:c r="T19" s="1" t="s">
        <x:v>329</x:v>
      </x:c>
    </x:row>
    <x:row r="20" ht="42">
      <x:c r="A20" s="1" t="s">
        <x:v>553</x:v>
      </x:c>
      <x:c r="B20" s="1" t="s">
        <x:v>105</x:v>
      </x:c>
      <x:c r="C20" s="1">
        <x:v>1</x:v>
      </x:c>
      <x:c r="D20" s="1" t="s">
        <x:v>373</x:v>
      </x:c>
      <x:c r="E20" s="1" t="s">
        <x:v>525</x:v>
      </x:c>
      <x:c r="F20" s="1" t="s">
        <x:v>330</x:v>
      </x:c>
      <x:c r="G20" s="1" t="s">
        <x:v>343</x:v>
      </x:c>
      <x:c r="H20" s="6">
        <x:v>25</x:v>
      </x:c>
      <x:c r="I20" s="6" t="s">
        <x:v>85</x:v>
      </x:c>
      <x:c r="J20" s="6">
        <x:v>25</x:v>
      </x:c>
      <x:c r="K20" s="6" t="s">
        <x:v>85</x:v>
      </x:c>
      <x:c r="L20" s="6" t="s">
        <x:v>317</x:v>
      </x:c>
      <x:c r="M20" s="6">
        <x:v>1</x:v>
      </x:c>
      <x:c r="N20" s="7">
        <x:f t="shared" si="0"/>
        <x:v>25</x:v>
      </x:c>
      <x:c r="O20" s="1" t="s">
        <x:v>88</x:v>
      </x:c>
      <x:c r="P20" s="1" t="s">
        <x:v>86</x:v>
      </x:c>
      <x:c r="Q20" s="1" t="s">
        <x:v>87</x:v>
      </x:c>
      <x:c r="R20" s="1" t="s">
        <x:v>334</x:v>
      </x:c>
      <x:c r="S20" s="1" t="s">
        <x:v>319</x:v>
      </x:c>
      <x:c r="T20" s="1" t="s">
        <x:v>549</x:v>
      </x:c>
    </x:row>
    <x:row r="21" ht="42">
      <x:c r="A21" s="1" t="s">
        <x:v>554</x:v>
      </x:c>
      <x:c r="B21" s="1" t="s">
        <x:v>105</x:v>
      </x:c>
      <x:c r="C21" s="1">
        <x:v>2</x:v>
      </x:c>
      <x:c r="D21" s="1" t="s">
        <x:v>342</x:v>
      </x:c>
      <x:c r="E21" s="1" t="s">
        <x:v>541</x:v>
      </x:c>
      <x:c r="F21" s="1" t="s">
        <x:v>345</x:v>
      </x:c>
      <x:c r="G21" s="1" t="s">
        <x:v>343</x:v>
      </x:c>
      <x:c r="H21" s="6">
        <x:v>25</x:v>
      </x:c>
      <x:c r="I21" s="6" t="s">
        <x:v>85</x:v>
      </x:c>
      <x:c r="J21" s="6">
        <x:v>25</x:v>
      </x:c>
      <x:c r="K21" s="6" t="s">
        <x:v>85</x:v>
      </x:c>
      <x:c r="L21" s="6" t="s">
        <x:v>317</x:v>
      </x:c>
      <x:c r="M21" s="6">
        <x:v>1</x:v>
      </x:c>
      <x:c r="N21" s="7">
        <x:f t="shared" si="0"/>
        <x:v>25</x:v>
      </x:c>
      <x:c r="O21" s="1" t="s">
        <x:v>88</x:v>
      </x:c>
      <x:c r="P21" s="1" t="s">
        <x:v>86</x:v>
      </x:c>
      <x:c r="Q21" s="1" t="s">
        <x:v>87</x:v>
      </x:c>
      <x:c r="R21" s="1" t="s">
        <x:v>334</x:v>
      </x:c>
      <x:c r="S21" s="1" t="s">
        <x:v>319</x:v>
      </x:c>
      <x:c r="T21" s="1" t="s">
        <x:v>344</x:v>
      </x:c>
    </x:row>
    <x:row r="22" ht="42">
      <x:c r="A22" s="1" t="s">
        <x:v>555</x:v>
      </x:c>
      <x:c r="B22" s="1" t="s">
        <x:v>105</x:v>
      </x:c>
      <x:c r="C22" s="1">
        <x:v>99</x:v>
      </x:c>
      <x:c r="D22" s="1" t="s">
        <x:v>327</x:v>
      </x:c>
      <x:c r="E22" s="1" t="s">
        <x:v>525</x:v>
      </x:c>
      <x:c r="F22" s="1" t="s">
        <x:v>556</x:v>
      </x:c>
      <x:c r="G22" s="1" t="s">
        <x:v>328</x:v>
      </x:c>
      <x:c r="H22" s="6">
        <x:v>50</x:v>
      </x:c>
      <x:c r="I22" s="6" t="s">
        <x:v>85</x:v>
      </x:c>
      <x:c r="J22" s="6">
        <x:v>50</x:v>
      </x:c>
      <x:c r="K22" s="6" t="s">
        <x:v>85</x:v>
      </x:c>
      <x:c r="L22" s="6" t="s">
        <x:v>317</x:v>
      </x:c>
      <x:c r="M22" s="6">
        <x:v>0</x:v>
      </x:c>
      <x:c r="N22" s="7">
        <x:f t="shared" si="0"/>
        <x:v>0</x:v>
      </x:c>
      <x:c r="O22" s="1" t="s">
        <x:v>88</x:v>
      </x:c>
      <x:c r="P22" s="1" t="s">
        <x:v>86</x:v>
      </x:c>
      <x:c r="Q22" s="1" t="s">
        <x:v>87</x:v>
      </x:c>
      <x:c r="R22" s="1" t="s">
        <x:v>334</x:v>
      </x:c>
      <x:c r="S22" s="1" t="s">
        <x:v>319</x:v>
      </x:c>
      <x:c r="T22" s="1" t="s">
        <x:v>329</x:v>
      </x:c>
    </x:row>
    <x:row r="23" ht="42">
      <x:c r="A23" s="1" t="s">
        <x:v>557</x:v>
      </x:c>
      <x:c r="B23" s="1" t="s">
        <x:v>107</x:v>
      </x:c>
      <x:c r="C23" s="1">
        <x:v>1</x:v>
      </x:c>
      <x:c r="D23" s="1" t="s">
        <x:v>373</x:v>
      </x:c>
      <x:c r="E23" s="1" t="s">
        <x:v>541</x:v>
      </x:c>
      <x:c r="F23" s="1" t="s">
        <x:v>552</x:v>
      </x:c>
      <x:c r="G23" s="1" t="s">
        <x:v>328</x:v>
      </x:c>
      <x:c r="H23" s="6">
        <x:v>50</x:v>
      </x:c>
      <x:c r="I23" s="6" t="s">
        <x:v>85</x:v>
      </x:c>
      <x:c r="J23" s="6">
        <x:v>50</x:v>
      </x:c>
      <x:c r="K23" s="6" t="s">
        <x:v>85</x:v>
      </x:c>
      <x:c r="L23" s="6" t="s">
        <x:v>317</x:v>
      </x:c>
      <x:c r="M23" s="6">
        <x:v>1</x:v>
      </x:c>
      <x:c r="N23" s="7">
        <x:f t="shared" si="0"/>
        <x:v>50</x:v>
      </x:c>
      <x:c r="O23" s="1" t="s">
        <x:v>113</x:v>
      </x:c>
      <x:c r="P23" s="1" t="s">
        <x:v>86</x:v>
      </x:c>
      <x:c r="Q23" s="1" t="s">
        <x:v>87</x:v>
      </x:c>
      <x:c r="R23" s="1" t="s">
        <x:v>349</x:v>
      </x:c>
      <x:c r="S23" s="1" t="s">
        <x:v>319</x:v>
      </x:c>
      <x:c r="T23" s="1" t="s">
        <x:v>558</x:v>
      </x:c>
    </x:row>
    <x:row r="24" ht="42">
      <x:c r="A24" s="1" t="s">
        <x:v>559</x:v>
      </x:c>
      <x:c r="B24" s="1" t="s">
        <x:v>107</x:v>
      </x:c>
      <x:c r="C24" s="1">
        <x:v>2</x:v>
      </x:c>
      <x:c r="D24" s="1" t="s">
        <x:v>337</x:v>
      </x:c>
      <x:c r="E24" s="1" t="s">
        <x:v>525</x:v>
      </x:c>
      <x:c r="F24" s="1" t="s">
        <x:v>346</x:v>
      </x:c>
      <x:c r="G24" s="1" t="s">
        <x:v>347</x:v>
      </x:c>
      <x:c r="H24" s="6">
        <x:v>15.75</x:v>
      </x:c>
      <x:c r="I24" s="6" t="s">
        <x:v>85</x:v>
      </x:c>
      <x:c r="J24" s="6">
        <x:v>15.75</x:v>
      </x:c>
      <x:c r="K24" s="6" t="s">
        <x:v>85</x:v>
      </x:c>
      <x:c r="L24" s="6" t="s">
        <x:v>348</x:v>
      </x:c>
      <x:c r="M24" s="6">
        <x:v>1</x:v>
      </x:c>
      <x:c r="N24" s="7">
        <x:f t="shared" si="0"/>
        <x:v>15.75</x:v>
      </x:c>
      <x:c r="O24" s="1" t="s">
        <x:v>113</x:v>
      </x:c>
      <x:c r="P24" s="1" t="s">
        <x:v>86</x:v>
      </x:c>
      <x:c r="Q24" s="1" t="s">
        <x:v>87</x:v>
      </x:c>
      <x:c r="R24" s="1" t="s">
        <x:v>349</x:v>
      </x:c>
      <x:c r="S24" s="1" t="s">
        <x:v>319</x:v>
      </x:c>
      <x:c r="T24" s="1" t="s">
        <x:v>350</x:v>
      </x:c>
    </x:row>
    <x:row r="25" ht="42">
      <x:c r="A25" s="1" t="s">
        <x:v>560</x:v>
      </x:c>
      <x:c r="B25" s="1" t="s">
        <x:v>107</x:v>
      </x:c>
      <x:c r="C25" s="1">
        <x:v>99</x:v>
      </x:c>
      <x:c r="D25" s="1" t="s">
        <x:v>327</x:v>
      </x:c>
      <x:c r="E25" s="1" t="s">
        <x:v>525</x:v>
      </x:c>
      <x:c r="F25" s="1" t="s">
        <x:v>561</x:v>
      </x:c>
      <x:c r="G25" s="1" t="s">
        <x:v>562</x:v>
      </x:c>
      <x:c r="H25" s="6">
        <x:v>65.75</x:v>
      </x:c>
      <x:c r="I25" s="6" t="s">
        <x:v>85</x:v>
      </x:c>
      <x:c r="J25" s="6">
        <x:v>65.75</x:v>
      </x:c>
      <x:c r="K25" s="6" t="s">
        <x:v>85</x:v>
      </x:c>
      <x:c r="L25" s="6" t="s">
        <x:v>317</x:v>
      </x:c>
      <x:c r="M25" s="6">
        <x:v>0</x:v>
      </x:c>
      <x:c r="N25" s="7">
        <x:f t="shared" si="0"/>
        <x:v>0</x:v>
      </x:c>
      <x:c r="O25" s="1" t="s">
        <x:v>113</x:v>
      </x:c>
      <x:c r="P25" s="1" t="s">
        <x:v>86</x:v>
      </x:c>
      <x:c r="Q25" s="1" t="s">
        <x:v>87</x:v>
      </x:c>
      <x:c r="R25" s="1" t="s">
        <x:v>349</x:v>
      </x:c>
      <x:c r="S25" s="1" t="s">
        <x:v>319</x:v>
      </x:c>
      <x:c r="T25" s="1" t="s">
        <x:v>329</x:v>
      </x:c>
    </x:row>
    <x:row r="26" ht="42">
      <x:c r="A26" s="1" t="s">
        <x:v>563</x:v>
      </x:c>
      <x:c r="B26" s="1" t="s">
        <x:v>115</x:v>
      </x:c>
      <x:c r="C26" s="1">
        <x:v>1</x:v>
      </x:c>
      <x:c r="D26" s="1" t="s">
        <x:v>373</x:v>
      </x:c>
      <x:c r="E26" s="1" t="s">
        <x:v>541</x:v>
      </x:c>
      <x:c r="F26" s="1" t="s">
        <x:v>556</x:v>
      </x:c>
      <x:c r="G26" s="1" t="s">
        <x:v>328</x:v>
      </x:c>
      <x:c r="H26" s="6">
        <x:v>50</x:v>
      </x:c>
      <x:c r="I26" s="6" t="s">
        <x:v>85</x:v>
      </x:c>
      <x:c r="J26" s="6">
        <x:v>50</x:v>
      </x:c>
      <x:c r="K26" s="6" t="s">
        <x:v>85</x:v>
      </x:c>
      <x:c r="L26" s="6" t="s">
        <x:v>317</x:v>
      </x:c>
      <x:c r="M26" s="6">
        <x:v>1</x:v>
      </x:c>
      <x:c r="N26" s="7">
        <x:f t="shared" si="0"/>
        <x:v>50</x:v>
      </x:c>
      <x:c r="O26" s="1" t="s">
        <x:v>113</x:v>
      </x:c>
      <x:c r="P26" s="1" t="s">
        <x:v>86</x:v>
      </x:c>
      <x:c r="Q26" s="1" t="s">
        <x:v>87</x:v>
      </x:c>
      <x:c r="R26" s="1" t="s">
        <x:v>349</x:v>
      </x:c>
      <x:c r="S26" s="1" t="s">
        <x:v>319</x:v>
      </x:c>
      <x:c r="T26" s="1" t="s">
        <x:v>558</x:v>
      </x:c>
    </x:row>
    <x:row r="27" ht="42">
      <x:c r="A27" s="1" t="s">
        <x:v>564</x:v>
      </x:c>
      <x:c r="B27" s="1" t="s">
        <x:v>115</x:v>
      </x:c>
      <x:c r="C27" s="1">
        <x:v>2</x:v>
      </x:c>
      <x:c r="D27" s="1" t="s">
        <x:v>352</x:v>
      </x:c>
      <x:c r="E27" s="1" t="s">
        <x:v>525</x:v>
      </x:c>
      <x:c r="F27" s="1" t="s">
        <x:v>346</x:v>
      </x:c>
      <x:c r="G27" s="1" t="s">
        <x:v>347</x:v>
      </x:c>
      <x:c r="H27" s="6">
        <x:v>15.75</x:v>
      </x:c>
      <x:c r="I27" s="6" t="s">
        <x:v>85</x:v>
      </x:c>
      <x:c r="J27" s="6">
        <x:v>15.75</x:v>
      </x:c>
      <x:c r="K27" s="6" t="s">
        <x:v>85</x:v>
      </x:c>
      <x:c r="L27" s="6" t="s">
        <x:v>348</x:v>
      </x:c>
      <x:c r="M27" s="6">
        <x:v>-1</x:v>
      </x:c>
      <x:c r="N27" s="7">
        <x:f t="shared" si="0"/>
        <x:v>-15.75</x:v>
      </x:c>
      <x:c r="O27" s="1" t="s">
        <x:v>113</x:v>
      </x:c>
      <x:c r="P27" s="1" t="s">
        <x:v>86</x:v>
      </x:c>
      <x:c r="Q27" s="1" t="s">
        <x:v>87</x:v>
      </x:c>
      <x:c r="R27" s="1" t="s">
        <x:v>349</x:v>
      </x:c>
      <x:c r="S27" s="1" t="s">
        <x:v>319</x:v>
      </x:c>
      <x:c r="T27" s="1" t="s">
        <x:v>565</x:v>
      </x:c>
    </x:row>
    <x:row r="28" ht="42">
      <x:c r="A28" s="1" t="s">
        <x:v>566</x:v>
      </x:c>
      <x:c r="B28" s="1" t="s">
        <x:v>115</x:v>
      </x:c>
      <x:c r="C28" s="1">
        <x:v>3</x:v>
      </x:c>
      <x:c r="D28" s="1" t="s">
        <x:v>352</x:v>
      </x:c>
      <x:c r="E28" s="1" t="s">
        <x:v>525</x:v>
      </x:c>
      <x:c r="F28" s="1" t="s">
        <x:v>351</x:v>
      </x:c>
      <x:c r="G28" s="1" t="s">
        <x:v>353</x:v>
      </x:c>
      <x:c r="H28" s="6">
        <x:v>6.85</x:v>
      </x:c>
      <x:c r="I28" s="6" t="s">
        <x:v>85</x:v>
      </x:c>
      <x:c r="J28" s="6">
        <x:v>6.85</x:v>
      </x:c>
      <x:c r="K28" s="6" t="s">
        <x:v>85</x:v>
      </x:c>
      <x:c r="L28" s="6" t="s">
        <x:v>354</x:v>
      </x:c>
      <x:c r="M28" s="6">
        <x:v>-1</x:v>
      </x:c>
      <x:c r="N28" s="7">
        <x:f t="shared" si="0"/>
        <x:v>-6.85</x:v>
      </x:c>
      <x:c r="O28" s="1" t="s">
        <x:v>113</x:v>
      </x:c>
      <x:c r="P28" s="1" t="s">
        <x:v>86</x:v>
      </x:c>
      <x:c r="Q28" s="1" t="s">
        <x:v>87</x:v>
      </x:c>
      <x:c r="R28" s="1" t="s">
        <x:v>349</x:v>
      </x:c>
      <x:c r="S28" s="1" t="s">
        <x:v>319</x:v>
      </x:c>
      <x:c r="T28" s="1" t="s">
        <x:v>355</x:v>
      </x:c>
    </x:row>
    <x:row r="29" ht="42">
      <x:c r="A29" s="1" t="s">
        <x:v>567</x:v>
      </x:c>
      <x:c r="B29" s="1" t="s">
        <x:v>115</x:v>
      </x:c>
      <x:c r="C29" s="1">
        <x:v>99</x:v>
      </x:c>
      <x:c r="D29" s="1" t="s">
        <x:v>327</x:v>
      </x:c>
      <x:c r="E29" s="1" t="s">
        <x:v>525</x:v>
      </x:c>
      <x:c r="F29" s="1" t="s">
        <x:v>568</x:v>
      </x:c>
      <x:c r="G29" s="1" t="s">
        <x:v>569</x:v>
      </x:c>
      <x:c r="H29" s="6">
        <x:v>27.4</x:v>
      </x:c>
      <x:c r="I29" s="6" t="s">
        <x:v>85</x:v>
      </x:c>
      <x:c r="J29" s="6">
        <x:v>27.4</x:v>
      </x:c>
      <x:c r="K29" s="6" t="s">
        <x:v>85</x:v>
      </x:c>
      <x:c r="L29" s="6" t="s">
        <x:v>317</x:v>
      </x:c>
      <x:c r="M29" s="6">
        <x:v>0</x:v>
      </x:c>
      <x:c r="N29" s="7">
        <x:f t="shared" si="0"/>
        <x:v>0</x:v>
      </x:c>
      <x:c r="O29" s="1" t="s">
        <x:v>113</x:v>
      </x:c>
      <x:c r="P29" s="1" t="s">
        <x:v>86</x:v>
      </x:c>
      <x:c r="Q29" s="1" t="s">
        <x:v>87</x:v>
      </x:c>
      <x:c r="R29" s="1" t="s">
        <x:v>349</x:v>
      </x:c>
      <x:c r="S29" s="1" t="s">
        <x:v>319</x:v>
      </x:c>
      <x:c r="T29" s="1" t="s">
        <x:v>329</x:v>
      </x:c>
    </x:row>
    <x:row r="30" ht="42">
      <x:c r="A30" s="1" t="s">
        <x:v>570</x:v>
      </x:c>
      <x:c r="B30" s="1" t="s">
        <x:v>118</x:v>
      </x:c>
      <x:c r="C30" s="1">
        <x:v>1</x:v>
      </x:c>
      <x:c r="D30" s="1" t="s">
        <x:v>373</x:v>
      </x:c>
      <x:c r="E30" s="1" t="s">
        <x:v>541</x:v>
      </x:c>
      <x:c r="F30" s="1" t="s">
        <x:v>571</x:v>
      </x:c>
      <x:c r="G30" s="1" t="s">
        <x:v>480</x:v>
      </x:c>
      <x:c r="H30" s="6">
        <x:v>0</x:v>
      </x:c>
      <x:c r="I30" s="6" t="s">
        <x:v>85</x:v>
      </x:c>
      <x:c r="J30" s="6">
        <x:v>0</x:v>
      </x:c>
      <x:c r="K30" s="6" t="s">
        <x:v>85</x:v>
      </x:c>
      <x:c r="L30" s="6" t="s">
        <x:v>317</x:v>
      </x:c>
      <x:c r="M30" s="6">
        <x:v>1</x:v>
      </x:c>
      <x:c r="N30" s="7">
        <x:f t="shared" si="0"/>
        <x:v>0</x:v>
      </x:c>
      <x:c r="O30" s="1" t="s">
        <x:v>113</x:v>
      </x:c>
      <x:c r="P30" s="1" t="s">
        <x:v>86</x:v>
      </x:c>
      <x:c r="Q30" s="1" t="s">
        <x:v>87</x:v>
      </x:c>
      <x:c r="R30" s="1" t="s">
        <x:v>349</x:v>
      </x:c>
      <x:c r="S30" s="1" t="s">
        <x:v>319</x:v>
      </x:c>
      <x:c r="T30" s="1" t="s">
        <x:v>572</x:v>
      </x:c>
    </x:row>
    <x:row r="31" ht="42">
      <x:c r="A31" s="1" t="s">
        <x:v>573</x:v>
      </x:c>
      <x:c r="B31" s="1" t="s">
        <x:v>118</x:v>
      </x:c>
      <x:c r="C31" s="1">
        <x:v>2</x:v>
      </x:c>
      <x:c r="D31" s="1" t="s">
        <x:v>337</x:v>
      </x:c>
      <x:c r="E31" s="1" t="s">
        <x:v>525</x:v>
      </x:c>
      <x:c r="F31" s="1" t="s">
        <x:v>351</x:v>
      </x:c>
      <x:c r="G31" s="1" t="s">
        <x:v>353</x:v>
      </x:c>
      <x:c r="H31" s="6">
        <x:v>6.85</x:v>
      </x:c>
      <x:c r="I31" s="6" t="s">
        <x:v>85</x:v>
      </x:c>
      <x:c r="J31" s="6">
        <x:v>6.85</x:v>
      </x:c>
      <x:c r="K31" s="6" t="s">
        <x:v>85</x:v>
      </x:c>
      <x:c r="L31" s="6" t="s">
        <x:v>354</x:v>
      </x:c>
      <x:c r="M31" s="6">
        <x:v>1</x:v>
      </x:c>
      <x:c r="N31" s="7">
        <x:f t="shared" si="0"/>
        <x:v>6.85</x:v>
      </x:c>
      <x:c r="O31" s="1" t="s">
        <x:v>113</x:v>
      </x:c>
      <x:c r="P31" s="1" t="s">
        <x:v>86</x:v>
      </x:c>
      <x:c r="Q31" s="1" t="s">
        <x:v>87</x:v>
      </x:c>
      <x:c r="R31" s="1" t="s">
        <x:v>349</x:v>
      </x:c>
      <x:c r="S31" s="1" t="s">
        <x:v>319</x:v>
      </x:c>
      <x:c r="T31" s="1" t="s">
        <x:v>350</x:v>
      </x:c>
    </x:row>
    <x:row r="32" ht="42">
      <x:c r="A32" s="1" t="s">
        <x:v>574</x:v>
      </x:c>
      <x:c r="B32" s="1" t="s">
        <x:v>118</x:v>
      </x:c>
      <x:c r="C32" s="1">
        <x:v>99</x:v>
      </x:c>
      <x:c r="D32" s="1" t="s">
        <x:v>327</x:v>
      </x:c>
      <x:c r="E32" s="1" t="s">
        <x:v>525</x:v>
      </x:c>
      <x:c r="F32" s="1" t="s">
        <x:v>575</x:v>
      </x:c>
      <x:c r="G32" s="1" t="s">
        <x:v>576</x:v>
      </x:c>
      <x:c r="H32" s="6">
        <x:v>6.85</x:v>
      </x:c>
      <x:c r="I32" s="6" t="s">
        <x:v>85</x:v>
      </x:c>
      <x:c r="J32" s="6">
        <x:v>6.85</x:v>
      </x:c>
      <x:c r="K32" s="6" t="s">
        <x:v>85</x:v>
      </x:c>
      <x:c r="L32" s="6" t="s">
        <x:v>317</x:v>
      </x:c>
      <x:c r="M32" s="6">
        <x:v>0</x:v>
      </x:c>
      <x:c r="N32" s="7">
        <x:f t="shared" si="0"/>
        <x:v>0</x:v>
      </x:c>
      <x:c r="O32" s="1" t="s">
        <x:v>113</x:v>
      </x:c>
      <x:c r="P32" s="1" t="s">
        <x:v>86</x:v>
      </x:c>
      <x:c r="Q32" s="1" t="s">
        <x:v>87</x:v>
      </x:c>
      <x:c r="R32" s="1" t="s">
        <x:v>349</x:v>
      </x:c>
      <x:c r="S32" s="1" t="s">
        <x:v>319</x:v>
      </x:c>
      <x:c r="T32" s="1" t="s">
        <x:v>329</x:v>
      </x:c>
    </x:row>
    <x:row r="33" ht="42">
      <x:c r="A33" s="1" t="s">
        <x:v>577</x:v>
      </x:c>
      <x:c r="B33" s="1" t="s">
        <x:v>121</x:v>
      </x:c>
      <x:c r="C33" s="1">
        <x:v>1</x:v>
      </x:c>
      <x:c r="D33" s="1" t="s">
        <x:v>357</x:v>
      </x:c>
      <x:c r="E33" s="1" t="s">
        <x:v>525</x:v>
      </x:c>
      <x:c r="F33" s="1" t="s">
        <x:v>356</x:v>
      </x:c>
      <x:c r="G33" s="1" t="s">
        <x:v>358</x:v>
      </x:c>
      <x:c r="H33" s="6">
        <x:v>128.20500000000001</x:v>
      </x:c>
      <x:c r="I33" s="6" t="s">
        <x:v>85</x:v>
      </x:c>
      <x:c r="J33" s="6">
        <x:v>128.20500000000001</x:v>
      </x:c>
      <x:c r="K33" s="6" t="s">
        <x:v>85</x:v>
      </x:c>
      <x:c r="L33" s="6" t="s">
        <x:v>317</x:v>
      </x:c>
      <x:c r="M33" s="6">
        <x:v>1</x:v>
      </x:c>
      <x:c r="N33" s="7">
        <x:f t="shared" si="0"/>
        <x:v>128.20500000000001</x:v>
      </x:c>
      <x:c r="O33" s="1" t="s">
        <x:v>128</x:v>
      </x:c>
      <x:c r="P33" s="1" t="s">
        <x:v>86</x:v>
      </x:c>
      <x:c r="Q33" s="1" t="s">
        <x:v>87</x:v>
      </x:c>
      <x:c r="R33" s="1" t="s">
        <x:v>359</x:v>
      </x:c>
      <x:c r="S33" s="1" t="s">
        <x:v>319</x:v>
      </x:c>
      <x:c r="T33" s="1" t="s">
        <x:v>360</x:v>
      </x:c>
    </x:row>
    <x:row r="34" ht="42">
      <x:c r="A34" s="1" t="s">
        <x:v>578</x:v>
      </x:c>
      <x:c r="B34" s="1" t="s">
        <x:v>121</x:v>
      </x:c>
      <x:c r="C34" s="1">
        <x:v>2</x:v>
      </x:c>
      <x:c r="D34" s="1" t="s">
        <x:v>362</x:v>
      </x:c>
      <x:c r="E34" s="1" t="s">
        <x:v>525</x:v>
      </x:c>
      <x:c r="F34" s="1" t="s">
        <x:v>361</x:v>
      </x:c>
      <x:c r="G34" s="1" t="s">
        <x:v>363</x:v>
      </x:c>
      <x:c r="H34" s="6">
        <x:v>8.7871400000000008</x:v>
      </x:c>
      <x:c r="I34" s="6" t="s">
        <x:v>85</x:v>
      </x:c>
      <x:c r="J34" s="6">
        <x:v>8.7871400000000008</x:v>
      </x:c>
      <x:c r="K34" s="6" t="s">
        <x:v>85</x:v>
      </x:c>
      <x:c r="L34" s="6" t="s">
        <x:v>317</x:v>
      </x:c>
      <x:c r="M34" s="6">
        <x:v>1</x:v>
      </x:c>
      <x:c r="N34" s="7">
        <x:f t="shared" si="0"/>
        <x:v>8.7871400000000008</x:v>
      </x:c>
      <x:c r="O34" s="1" t="s">
        <x:v>128</x:v>
      </x:c>
      <x:c r="P34" s="1" t="s">
        <x:v>86</x:v>
      </x:c>
      <x:c r="Q34" s="1" t="s">
        <x:v>87</x:v>
      </x:c>
      <x:c r="R34" s="1" t="s">
        <x:v>359</x:v>
      </x:c>
      <x:c r="S34" s="1" t="s">
        <x:v>319</x:v>
      </x:c>
      <x:c r="T34" s="1" t="s">
        <x:v>364</x:v>
      </x:c>
    </x:row>
    <x:row r="35" ht="42">
      <x:c r="A35" s="1" t="s">
        <x:v>579</x:v>
      </x:c>
      <x:c r="B35" s="1" t="s">
        <x:v>121</x:v>
      </x:c>
      <x:c r="C35" s="1">
        <x:v>99</x:v>
      </x:c>
      <x:c r="D35" s="1" t="s">
        <x:v>327</x:v>
      </x:c>
      <x:c r="E35" s="1" t="s">
        <x:v>525</x:v>
      </x:c>
      <x:c r="F35" s="1" t="s">
        <x:v>365</x:v>
      </x:c>
      <x:c r="G35" s="1" t="s">
        <x:v>366</x:v>
      </x:c>
      <x:c r="H35" s="6">
        <x:v>136.9864</x:v>
      </x:c>
      <x:c r="I35" s="6" t="s">
        <x:v>85</x:v>
      </x:c>
      <x:c r="J35" s="6">
        <x:v>136.9864</x:v>
      </x:c>
      <x:c r="K35" s="6" t="s">
        <x:v>85</x:v>
      </x:c>
      <x:c r="L35" s="6" t="s">
        <x:v>317</x:v>
      </x:c>
      <x:c r="M35" s="6">
        <x:v>0</x:v>
      </x:c>
      <x:c r="N35" s="7">
        <x:f t="shared" si="0"/>
        <x:v>0</x:v>
      </x:c>
      <x:c r="O35" s="1" t="s">
        <x:v>128</x:v>
      </x:c>
      <x:c r="P35" s="1" t="s">
        <x:v>86</x:v>
      </x:c>
      <x:c r="Q35" s="1" t="s">
        <x:v>87</x:v>
      </x:c>
      <x:c r="R35" s="1" t="s">
        <x:v>359</x:v>
      </x:c>
      <x:c r="S35" s="1" t="s">
        <x:v>319</x:v>
      </x:c>
      <x:c r="T35" s="1" t="s">
        <x:v>329</x:v>
      </x:c>
    </x:row>
    <x:row r="36" ht="28">
      <x:c r="A36" s="1" t="s">
        <x:v>580</x:v>
      </x:c>
      <x:c r="B36" s="1" t="s">
        <x:v>130</x:v>
      </x:c>
      <x:c r="C36" s="1">
        <x:v>1</x:v>
      </x:c>
      <x:c r="D36" s="1" t="s">
        <x:v>368</x:v>
      </x:c>
      <x:c r="E36" s="1" t="s">
        <x:v>525</x:v>
      </x:c>
      <x:c r="F36" s="1" t="s">
        <x:v>367</x:v>
      </x:c>
      <x:c r="G36" s="1" t="s">
        <x:v>369</x:v>
      </x:c>
      <x:c r="H36" s="6">
        <x:v>2000</x:v>
      </x:c>
      <x:c r="I36" s="6" t="s">
        <x:v>85</x:v>
      </x:c>
      <x:c r="J36" s="6">
        <x:v>2000</x:v>
      </x:c>
      <x:c r="K36" s="6" t="s">
        <x:v>85</x:v>
      </x:c>
      <x:c r="L36" s="6" t="s">
        <x:v>317</x:v>
      </x:c>
      <x:c r="M36" s="6">
        <x:v>1</x:v>
      </x:c>
      <x:c r="N36" s="7" t="n">
        <x:f t="shared" ref="N36:N67" si="1">J36*M36</x:f>
        <x:v>2000</x:v>
      </x:c>
      <x:c r="O36" s="1" t="s">
        <x:v>136</x:v>
      </x:c>
      <x:c r="P36" s="1" t="s">
        <x:v>86</x:v>
      </x:c>
      <x:c r="Q36" s="1" t="s">
        <x:v>87</x:v>
      </x:c>
      <x:c r="R36" s="1" t="s">
        <x:v>370</x:v>
      </x:c>
      <x:c r="S36" s="1" t="s">
        <x:v>319</x:v>
      </x:c>
      <x:c r="T36" s="1" t="s">
        <x:v>371</x:v>
      </x:c>
    </x:row>
    <x:row r="37" ht="28">
      <x:c r="A37" s="1" t="s">
        <x:v>581</x:v>
      </x:c>
      <x:c r="B37" s="1" t="s">
        <x:v>130</x:v>
      </x:c>
      <x:c r="C37" s="1">
        <x:v>2</x:v>
      </x:c>
      <x:c r="D37" s="1" t="s">
        <x:v>357</x:v>
      </x:c>
      <x:c r="E37" s="1" t="s">
        <x:v>525</x:v>
      </x:c>
      <x:c r="F37" s="1" t="s">
        <x:v>365</x:v>
      </x:c>
      <x:c r="G37" s="1" t="s">
        <x:v>366</x:v>
      </x:c>
      <x:c r="H37" s="6">
        <x:v>136.9864</x:v>
      </x:c>
      <x:c r="I37" s="6" t="s">
        <x:v>85</x:v>
      </x:c>
      <x:c r="J37" s="6">
        <x:v>136.9864</x:v>
      </x:c>
      <x:c r="K37" s="6" t="s">
        <x:v>85</x:v>
      </x:c>
      <x:c r="L37" s="6" t="s">
        <x:v>317</x:v>
      </x:c>
      <x:c r="M37" s="6">
        <x:v>-1</x:v>
      </x:c>
      <x:c r="N37" s="7">
        <x:f t="shared" si="1"/>
        <x:v>-136.9864</x:v>
      </x:c>
      <x:c r="O37" s="1" t="s">
        <x:v>136</x:v>
      </x:c>
      <x:c r="P37" s="1" t="s">
        <x:v>86</x:v>
      </x:c>
      <x:c r="Q37" s="1" t="s">
        <x:v>87</x:v>
      </x:c>
      <x:c r="R37" s="1" t="s">
        <x:v>370</x:v>
      </x:c>
      <x:c r="S37" s="1" t="s">
        <x:v>319</x:v>
      </x:c>
      <x:c r="T37" s="1" t="s">
        <x:v>582</x:v>
      </x:c>
    </x:row>
    <x:row r="38" ht="42">
      <x:c r="A38" s="1" t="s">
        <x:v>583</x:v>
      </x:c>
      <x:c r="B38" s="1" t="s">
        <x:v>138</x:v>
      </x:c>
      <x:c r="C38" s="1">
        <x:v>1</x:v>
      </x:c>
      <x:c r="D38" s="1" t="s">
        <x:v>373</x:v>
      </x:c>
      <x:c r="E38" s="1" t="s">
        <x:v>525</x:v>
      </x:c>
      <x:c r="F38" s="1" t="s">
        <x:v>372</x:v>
      </x:c>
      <x:c r="G38" s="1" t="s">
        <x:v>374</x:v>
      </x:c>
      <x:c r="H38" s="6">
        <x:v>666680</x:v>
      </x:c>
      <x:c r="I38" s="6" t="s">
        <x:v>144</x:v>
      </x:c>
      <x:c r="J38" s="6">
        <x:v>666680</x:v>
      </x:c>
      <x:c r="K38" s="6" t="s">
        <x:v>144</x:v>
      </x:c>
      <x:c r="L38" s="6" t="s">
        <x:v>317</x:v>
      </x:c>
      <x:c r="M38" s="6">
        <x:v>1</x:v>
      </x:c>
      <x:c r="N38" s="7">
        <x:f t="shared" si="1"/>
        <x:v>666680</x:v>
      </x:c>
      <x:c r="O38" s="1" t="s">
        <x:v>147</x:v>
      </x:c>
      <x:c r="P38" s="1" t="s">
        <x:v>145</x:v>
      </x:c>
      <x:c r="Q38" s="1" t="s">
        <x:v>146</x:v>
      </x:c>
      <x:c r="R38" s="1" t="s">
        <x:v>375</x:v>
      </x:c>
      <x:c r="S38" s="1" t="s">
        <x:v>319</x:v>
      </x:c>
      <x:c r="T38" s="1" t="s">
        <x:v>376</x:v>
      </x:c>
    </x:row>
    <x:row r="39" ht="42">
      <x:c r="A39" s="1" t="s">
        <x:v>584</x:v>
      </x:c>
      <x:c r="B39" s="1" t="s">
        <x:v>138</x:v>
      </x:c>
      <x:c r="C39" s="1">
        <x:v>2</x:v>
      </x:c>
      <x:c r="D39" s="1" t="s">
        <x:v>352</x:v>
      </x:c>
      <x:c r="E39" s="1" t="s">
        <x:v>525</x:v>
      </x:c>
      <x:c r="F39" s="1" t="s">
        <x:v>372</x:v>
      </x:c>
      <x:c r="G39" s="1" t="s">
        <x:v>374</x:v>
      </x:c>
      <x:c r="H39" s="6">
        <x:v>666680</x:v>
      </x:c>
      <x:c r="I39" s="6" t="s">
        <x:v>144</x:v>
      </x:c>
      <x:c r="J39" s="6">
        <x:v>666680</x:v>
      </x:c>
      <x:c r="K39" s="6" t="s">
        <x:v>144</x:v>
      </x:c>
      <x:c r="L39" s="6" t="s">
        <x:v>317</x:v>
      </x:c>
      <x:c r="M39" s="6">
        <x:v>-1</x:v>
      </x:c>
      <x:c r="N39" s="7">
        <x:f t="shared" si="1"/>
        <x:v>-666680</x:v>
      </x:c>
      <x:c r="O39" s="1" t="s">
        <x:v>147</x:v>
      </x:c>
      <x:c r="P39" s="1" t="s">
        <x:v>145</x:v>
      </x:c>
      <x:c r="Q39" s="1" t="s">
        <x:v>146</x:v>
      </x:c>
      <x:c r="R39" s="1" t="s">
        <x:v>375</x:v>
      </x:c>
      <x:c r="S39" s="1" t="s">
        <x:v>319</x:v>
      </x:c>
      <x:c r="T39" s="1" t="s">
        <x:v>585</x:v>
      </x:c>
    </x:row>
    <x:row r="40" ht="42">
      <x:c r="A40" s="1" t="s">
        <x:v>586</x:v>
      </x:c>
      <x:c r="B40" s="1" t="s">
        <x:v>138</x:v>
      </x:c>
      <x:c r="C40" s="1">
        <x:v>99</x:v>
      </x:c>
      <x:c r="D40" s="1" t="s">
        <x:v>327</x:v>
      </x:c>
      <x:c r="E40" s="1" t="s">
        <x:v>525</x:v>
      </x:c>
      <x:c r="F40" s="1" t="s">
        <x:v>587</x:v>
      </x:c>
      <x:c r="G40" s="1" t="s">
        <x:v>480</x:v>
      </x:c>
      <x:c r="H40" s="6">
        <x:v>0</x:v>
      </x:c>
      <x:c r="I40" s="6" t="s">
        <x:v>144</x:v>
      </x:c>
      <x:c r="J40" s="6">
        <x:v>0</x:v>
      </x:c>
      <x:c r="K40" s="6" t="s">
        <x:v>144</x:v>
      </x:c>
      <x:c r="L40" s="6" t="s">
        <x:v>317</x:v>
      </x:c>
      <x:c r="M40" s="6">
        <x:v>0</x:v>
      </x:c>
      <x:c r="N40" s="7">
        <x:f t="shared" si="1"/>
        <x:v>0</x:v>
      </x:c>
      <x:c r="O40" s="1" t="s">
        <x:v>147</x:v>
      </x:c>
      <x:c r="P40" s="1" t="s">
        <x:v>145</x:v>
      </x:c>
      <x:c r="Q40" s="1" t="s">
        <x:v>146</x:v>
      </x:c>
      <x:c r="R40" s="1" t="s">
        <x:v>375</x:v>
      </x:c>
      <x:c r="S40" s="1" t="s">
        <x:v>319</x:v>
      </x:c>
      <x:c r="T40" s="1" t="s">
        <x:v>329</x:v>
      </x:c>
    </x:row>
    <x:row r="41" ht="42">
      <x:c r="A41" s="1" t="s">
        <x:v>588</x:v>
      </x:c>
      <x:c r="B41" s="1" t="s">
        <x:v>149</x:v>
      </x:c>
      <x:c r="C41" s="1">
        <x:v>1</x:v>
      </x:c>
      <x:c r="D41" s="1" t="s">
        <x:v>373</x:v>
      </x:c>
      <x:c r="E41" s="1" t="s">
        <x:v>541</x:v>
      </x:c>
      <x:c r="F41" s="1" t="s">
        <x:v>589</x:v>
      </x:c>
      <x:c r="G41" s="1" t="s">
        <x:v>480</x:v>
      </x:c>
      <x:c r="H41" s="6">
        <x:v>0</x:v>
      </x:c>
      <x:c r="I41" s="6" t="s">
        <x:v>144</x:v>
      </x:c>
      <x:c r="J41" s="6">
        <x:v>0</x:v>
      </x:c>
      <x:c r="K41" s="6" t="s">
        <x:v>144</x:v>
      </x:c>
      <x:c r="L41" s="6" t="s">
        <x:v>317</x:v>
      </x:c>
      <x:c r="M41" s="6">
        <x:v>1</x:v>
      </x:c>
      <x:c r="N41" s="7">
        <x:f t="shared" si="1"/>
        <x:v>0</x:v>
      </x:c>
      <x:c r="O41" s="1" t="s">
        <x:v>147</x:v>
      </x:c>
      <x:c r="P41" s="1" t="s">
        <x:v>145</x:v>
      </x:c>
      <x:c r="Q41" s="1" t="s">
        <x:v>146</x:v>
      </x:c>
      <x:c r="R41" s="1" t="s">
        <x:v>375</x:v>
      </x:c>
      <x:c r="S41" s="1" t="s">
        <x:v>319</x:v>
      </x:c>
      <x:c r="T41" s="1" t="s">
        <x:v>572</x:v>
      </x:c>
    </x:row>
    <x:row r="42" ht="42">
      <x:c r="A42" s="1" t="s">
        <x:v>590</x:v>
      </x:c>
      <x:c r="B42" s="1" t="s">
        <x:v>149</x:v>
      </x:c>
      <x:c r="C42" s="1">
        <x:v>2</x:v>
      </x:c>
      <x:c r="D42" s="1" t="s">
        <x:v>337</x:v>
      </x:c>
      <x:c r="E42" s="1" t="s">
        <x:v>525</x:v>
      </x:c>
      <x:c r="F42" s="1" t="s">
        <x:v>372</x:v>
      </x:c>
      <x:c r="G42" s="1" t="s">
        <x:v>374</x:v>
      </x:c>
      <x:c r="H42" s="6">
        <x:v>666680</x:v>
      </x:c>
      <x:c r="I42" s="6" t="s">
        <x:v>144</x:v>
      </x:c>
      <x:c r="J42" s="6">
        <x:v>666680</x:v>
      </x:c>
      <x:c r="K42" s="6" t="s">
        <x:v>144</x:v>
      </x:c>
      <x:c r="L42" s="6" t="s">
        <x:v>317</x:v>
      </x:c>
      <x:c r="M42" s="6">
        <x:v>1</x:v>
      </x:c>
      <x:c r="N42" s="7">
        <x:f t="shared" si="1"/>
        <x:v>666680</x:v>
      </x:c>
      <x:c r="O42" s="1" t="s">
        <x:v>147</x:v>
      </x:c>
      <x:c r="P42" s="1" t="s">
        <x:v>145</x:v>
      </x:c>
      <x:c r="Q42" s="1" t="s">
        <x:v>146</x:v>
      </x:c>
      <x:c r="R42" s="1" t="s">
        <x:v>375</x:v>
      </x:c>
      <x:c r="S42" s="1" t="s">
        <x:v>319</x:v>
      </x:c>
      <x:c r="T42" s="1" t="s">
        <x:v>591</x:v>
      </x:c>
    </x:row>
    <x:row r="43" ht="42">
      <x:c r="A43" s="1" t="s">
        <x:v>592</x:v>
      </x:c>
      <x:c r="B43" s="1" t="s">
        <x:v>149</x:v>
      </x:c>
      <x:c r="C43" s="1">
        <x:v>99</x:v>
      </x:c>
      <x:c r="D43" s="1" t="s">
        <x:v>327</x:v>
      </x:c>
      <x:c r="E43" s="1" t="s">
        <x:v>525</x:v>
      </x:c>
      <x:c r="F43" s="1" t="s">
        <x:v>377</x:v>
      </x:c>
      <x:c r="G43" s="1" t="s">
        <x:v>378</x:v>
      </x:c>
      <x:c r="H43" s="6">
        <x:v>666680</x:v>
      </x:c>
      <x:c r="I43" s="6" t="s">
        <x:v>144</x:v>
      </x:c>
      <x:c r="J43" s="6">
        <x:v>666680</x:v>
      </x:c>
      <x:c r="K43" s="6" t="s">
        <x:v>144</x:v>
      </x:c>
      <x:c r="L43" s="6" t="s">
        <x:v>317</x:v>
      </x:c>
      <x:c r="M43" s="6">
        <x:v>0</x:v>
      </x:c>
      <x:c r="N43" s="7">
        <x:f t="shared" si="1"/>
        <x:v>0</x:v>
      </x:c>
      <x:c r="O43" s="1" t="s">
        <x:v>147</x:v>
      </x:c>
      <x:c r="P43" s="1" t="s">
        <x:v>145</x:v>
      </x:c>
      <x:c r="Q43" s="1" t="s">
        <x:v>146</x:v>
      </x:c>
      <x:c r="R43" s="1" t="s">
        <x:v>375</x:v>
      </x:c>
      <x:c r="S43" s="1" t="s">
        <x:v>319</x:v>
      </x:c>
      <x:c r="T43" s="1" t="s">
        <x:v>329</x:v>
      </x:c>
    </x:row>
    <x:row r="44" ht="42">
      <x:c r="A44" s="1" t="s">
        <x:v>593</x:v>
      </x:c>
      <x:c r="B44" s="1" t="s">
        <x:v>152</x:v>
      </x:c>
      <x:c r="C44" s="1">
        <x:v>1</x:v>
      </x:c>
      <x:c r="D44" s="1" t="s">
        <x:v>380</x:v>
      </x:c>
      <x:c r="E44" s="1" t="s">
        <x:v>525</x:v>
      </x:c>
      <x:c r="F44" s="1" t="s">
        <x:v>379</x:v>
      </x:c>
      <x:c r="G44" s="1" t="s">
        <x:v>381</x:v>
      </x:c>
      <x:c r="H44" s="6">
        <x:v>1000</x:v>
      </x:c>
      <x:c r="I44" s="6" t="s">
        <x:v>85</x:v>
      </x:c>
      <x:c r="J44" s="6">
        <x:v>1000</x:v>
      </x:c>
      <x:c r="K44" s="6" t="s">
        <x:v>85</x:v>
      </x:c>
      <x:c r="L44" s="6" t="s">
        <x:v>382</x:v>
      </x:c>
      <x:c r="M44" s="6">
        <x:v>1</x:v>
      </x:c>
      <x:c r="N44" s="7">
        <x:f t="shared" si="1"/>
        <x:v>1000</x:v>
      </x:c>
      <x:c r="O44" s="1" t="s">
        <x:v>147</x:v>
      </x:c>
      <x:c r="P44" s="1" t="s">
        <x:v>145</x:v>
      </x:c>
      <x:c r="Q44" s="1" t="s">
        <x:v>146</x:v>
      </x:c>
      <x:c r="R44" s="1" t="s">
        <x:v>375</x:v>
      </x:c>
      <x:c r="S44" s="1" t="s">
        <x:v>319</x:v>
      </x:c>
      <x:c r="T44" s="1" t="s">
        <x:v>383</x:v>
      </x:c>
    </x:row>
    <x:row r="45" ht="42">
      <x:c r="A45" s="1" t="s">
        <x:v>594</x:v>
      </x:c>
      <x:c r="B45" s="1" t="s">
        <x:v>152</x:v>
      </x:c>
      <x:c r="C45" s="1">
        <x:v>2</x:v>
      </x:c>
      <x:c r="D45" s="1" t="s">
        <x:v>441</x:v>
      </x:c>
      <x:c r="E45" s="1" t="s">
        <x:v>525</x:v>
      </x:c>
      <x:c r="F45" s="1" t="s">
        <x:v>372</x:v>
      </x:c>
      <x:c r="G45" s="1" t="s">
        <x:v>374</x:v>
      </x:c>
      <x:c r="H45" s="6">
        <x:v>666680</x:v>
      </x:c>
      <x:c r="I45" s="6" t="s">
        <x:v>144</x:v>
      </x:c>
      <x:c r="J45" s="6">
        <x:v>666680</x:v>
      </x:c>
      <x:c r="K45" s="6" t="s">
        <x:v>144</x:v>
      </x:c>
      <x:c r="L45" s="6" t="s">
        <x:v>317</x:v>
      </x:c>
      <x:c r="M45" s="6">
        <x:v>1</x:v>
      </x:c>
      <x:c r="N45" s="7">
        <x:f t="shared" si="1"/>
        <x:v>666680</x:v>
      </x:c>
      <x:c r="O45" s="1" t="s">
        <x:v>147</x:v>
      </x:c>
      <x:c r="P45" s="1" t="s">
        <x:v>145</x:v>
      </x:c>
      <x:c r="Q45" s="1" t="s">
        <x:v>146</x:v>
      </x:c>
      <x:c r="R45" s="1" t="s">
        <x:v>375</x:v>
      </x:c>
      <x:c r="S45" s="1" t="s">
        <x:v>319</x:v>
      </x:c>
      <x:c r="T45" s="1" t="s">
        <x:v>595</x:v>
      </x:c>
    </x:row>
    <x:row r="46" ht="42">
      <x:c r="A46" s="1" t="s">
        <x:v>596</x:v>
      </x:c>
      <x:c r="B46" s="1" t="s">
        <x:v>159</x:v>
      </x:c>
      <x:c r="C46" s="1">
        <x:v>1</x:v>
      </x:c>
      <x:c r="D46" s="1" t="s">
        <x:v>333</x:v>
      </x:c>
      <x:c r="E46" s="1" t="s">
        <x:v>525</x:v>
      </x:c>
      <x:c r="F46" s="1" t="s">
        <x:v>384</x:v>
      </x:c>
      <x:c r="G46" s="1" t="s">
        <x:v>385</x:v>
      </x:c>
      <x:c r="H46" s="6">
        <x:v>254.4787</x:v>
      </x:c>
      <x:c r="I46" s="6" t="s">
        <x:v>85</x:v>
      </x:c>
      <x:c r="J46" s="6">
        <x:v>254.4787</x:v>
      </x:c>
      <x:c r="K46" s="6" t="s">
        <x:v>85</x:v>
      </x:c>
      <x:c r="L46" s="6" t="s">
        <x:v>386</x:v>
      </x:c>
      <x:c r="M46" s="6">
        <x:v>1</x:v>
      </x:c>
      <x:c r="N46" s="7">
        <x:f t="shared" si="1"/>
        <x:v>254.4787</x:v>
      </x:c>
      <x:c r="O46" s="1" t="s">
        <x:v>167</x:v>
      </x:c>
      <x:c r="P46" s="1" t="s">
        <x:v>165</x:v>
      </x:c>
      <x:c r="Q46" s="1" t="s">
        <x:v>166</x:v>
      </x:c>
      <x:c r="R46" s="1" t="s">
        <x:v>387</x:v>
      </x:c>
      <x:c r="S46" s="1" t="s">
        <x:v>319</x:v>
      </x:c>
      <x:c r="T46" s="1" t="s">
        <x:v>388</x:v>
      </x:c>
    </x:row>
    <x:row r="47" ht="42">
      <x:c r="A47" s="1" t="s">
        <x:v>597</x:v>
      </x:c>
      <x:c r="B47" s="1" t="s">
        <x:v>159</x:v>
      </x:c>
      <x:c r="C47" s="1">
        <x:v>2</x:v>
      </x:c>
      <x:c r="D47" s="1" t="s">
        <x:v>533</x:v>
      </x:c>
      <x:c r="E47" s="1" t="s">
        <x:v>541</x:v>
      </x:c>
      <x:c r="F47" s="1" t="s">
        <x:v>598</x:v>
      </x:c>
      <x:c r="G47" s="1" t="s">
        <x:v>599</x:v>
      </x:c>
      <x:c r="H47" s="6">
        <x:v>10000</x:v>
      </x:c>
      <x:c r="I47" s="6" t="s">
        <x:v>600</x:v>
      </x:c>
      <x:c r="J47" s="6">
        <x:v>10000</x:v>
      </x:c>
      <x:c r="K47" s="6" t="s">
        <x:v>600</x:v>
      </x:c>
      <x:c r="L47" s="6" t="s">
        <x:v>601</x:v>
      </x:c>
      <x:c r="M47" s="6">
        <x:v>1</x:v>
      </x:c>
      <x:c r="N47" s="7">
        <x:f t="shared" si="1"/>
        <x:v>10000</x:v>
      </x:c>
      <x:c r="O47" s="1" t="s">
        <x:v>167</x:v>
      </x:c>
      <x:c r="P47" s="1" t="s">
        <x:v>165</x:v>
      </x:c>
      <x:c r="Q47" s="1" t="s">
        <x:v>166</x:v>
      </x:c>
      <x:c r="R47" s="1" t="s">
        <x:v>387</x:v>
      </x:c>
      <x:c r="S47" s="1" t="s">
        <x:v>319</x:v>
      </x:c>
      <x:c r="T47" s="1" t="s">
        <x:v>602</x:v>
      </x:c>
    </x:row>
    <x:row r="48" ht="42">
      <x:c r="A48" s="1" t="s">
        <x:v>603</x:v>
      </x:c>
      <x:c r="B48" s="1" t="s">
        <x:v>159</x:v>
      </x:c>
      <x:c r="C48" s="1">
        <x:v>99</x:v>
      </x:c>
      <x:c r="D48" s="1" t="s">
        <x:v>327</x:v>
      </x:c>
      <x:c r="E48" s="1" t="s">
        <x:v>525</x:v>
      </x:c>
      <x:c r="F48" s="1" t="s">
        <x:v>604</x:v>
      </x:c>
      <x:c r="G48" s="1" t="s">
        <x:v>605</x:v>
      </x:c>
      <x:c r="H48" s="6">
        <x:v>2544787</x:v>
      </x:c>
      <x:c r="I48" s="6" t="s">
        <x:v>144</x:v>
      </x:c>
      <x:c r="J48" s="6">
        <x:v>2544787</x:v>
      </x:c>
      <x:c r="K48" s="6" t="s">
        <x:v>144</x:v>
      </x:c>
      <x:c r="L48" s="6" t="s">
        <x:v>317</x:v>
      </x:c>
      <x:c r="M48" s="6">
        <x:v>0</x:v>
      </x:c>
      <x:c r="N48" s="7">
        <x:f t="shared" si="1"/>
        <x:v>0</x:v>
      </x:c>
      <x:c r="O48" s="1" t="s">
        <x:v>167</x:v>
      </x:c>
      <x:c r="P48" s="1" t="s">
        <x:v>165</x:v>
      </x:c>
      <x:c r="Q48" s="1" t="s">
        <x:v>166</x:v>
      </x:c>
      <x:c r="R48" s="1" t="s">
        <x:v>387</x:v>
      </x:c>
      <x:c r="S48" s="1" t="s">
        <x:v>319</x:v>
      </x:c>
      <x:c r="T48" s="1" t="s">
        <x:v>329</x:v>
      </x:c>
    </x:row>
    <x:row r="49" ht="42">
      <x:c r="A49" s="1" t="s">
        <x:v>606</x:v>
      </x:c>
      <x:c r="B49" s="1" t="s">
        <x:v>169</x:v>
      </x:c>
      <x:c r="C49" s="1">
        <x:v>1</x:v>
      </x:c>
      <x:c r="D49" s="1" t="s">
        <x:v>333</x:v>
      </x:c>
      <x:c r="E49" s="1" t="s">
        <x:v>525</x:v>
      </x:c>
      <x:c r="F49" s="1" t="s">
        <x:v>389</x:v>
      </x:c>
      <x:c r="G49" s="1" t="s">
        <x:v>390</x:v>
      </x:c>
      <x:c r="H49" s="6">
        <x:v>61.8</x:v>
      </x:c>
      <x:c r="I49" s="6" t="s">
        <x:v>85</x:v>
      </x:c>
      <x:c r="J49" s="6">
        <x:v>61.8</x:v>
      </x:c>
      <x:c r="K49" s="6" t="s">
        <x:v>85</x:v>
      </x:c>
      <x:c r="L49" s="6" t="s">
        <x:v>386</x:v>
      </x:c>
      <x:c r="M49" s="6">
        <x:v>1</x:v>
      </x:c>
      <x:c r="N49" s="7">
        <x:f t="shared" si="1"/>
        <x:v>61.8</x:v>
      </x:c>
      <x:c r="O49" s="1" t="s">
        <x:v>167</x:v>
      </x:c>
      <x:c r="P49" s="1" t="s">
        <x:v>165</x:v>
      </x:c>
      <x:c r="Q49" s="1" t="s">
        <x:v>166</x:v>
      </x:c>
      <x:c r="R49" s="1" t="s">
        <x:v>387</x:v>
      </x:c>
      <x:c r="S49" s="1" t="s">
        <x:v>319</x:v>
      </x:c>
      <x:c r="T49" s="1" t="s">
        <x:v>388</x:v>
      </x:c>
    </x:row>
    <x:row r="50" ht="42">
      <x:c r="A50" s="1" t="s">
        <x:v>607</x:v>
      </x:c>
      <x:c r="B50" s="1" t="s">
        <x:v>169</x:v>
      </x:c>
      <x:c r="C50" s="1">
        <x:v>2</x:v>
      </x:c>
      <x:c r="D50" s="1" t="s">
        <x:v>533</x:v>
      </x:c>
      <x:c r="E50" s="1" t="s">
        <x:v>541</x:v>
      </x:c>
      <x:c r="F50" s="1" t="s">
        <x:v>598</x:v>
      </x:c>
      <x:c r="G50" s="1" t="s">
        <x:v>599</x:v>
      </x:c>
      <x:c r="H50" s="6">
        <x:v>10000</x:v>
      </x:c>
      <x:c r="I50" s="6" t="s">
        <x:v>600</x:v>
      </x:c>
      <x:c r="J50" s="6">
        <x:v>10000</x:v>
      </x:c>
      <x:c r="K50" s="6" t="s">
        <x:v>600</x:v>
      </x:c>
      <x:c r="L50" s="6" t="s">
        <x:v>601</x:v>
      </x:c>
      <x:c r="M50" s="6">
        <x:v>1</x:v>
      </x:c>
      <x:c r="N50" s="7">
        <x:f t="shared" si="1"/>
        <x:v>10000</x:v>
      </x:c>
      <x:c r="O50" s="1" t="s">
        <x:v>167</x:v>
      </x:c>
      <x:c r="P50" s="1" t="s">
        <x:v>165</x:v>
      </x:c>
      <x:c r="Q50" s="1" t="s">
        <x:v>166</x:v>
      </x:c>
      <x:c r="R50" s="1" t="s">
        <x:v>387</x:v>
      </x:c>
      <x:c r="S50" s="1" t="s">
        <x:v>319</x:v>
      </x:c>
      <x:c r="T50" s="1" t="s">
        <x:v>602</x:v>
      </x:c>
    </x:row>
    <x:row r="51" ht="42">
      <x:c r="A51" s="1" t="s">
        <x:v>608</x:v>
      </x:c>
      <x:c r="B51" s="1" t="s">
        <x:v>169</x:v>
      </x:c>
      <x:c r="C51" s="1">
        <x:v>99</x:v>
      </x:c>
      <x:c r="D51" s="1" t="s">
        <x:v>327</x:v>
      </x:c>
      <x:c r="E51" s="1" t="s">
        <x:v>525</x:v>
      </x:c>
      <x:c r="F51" s="1" t="s">
        <x:v>609</x:v>
      </x:c>
      <x:c r="G51" s="1" t="s">
        <x:v>610</x:v>
      </x:c>
      <x:c r="H51" s="6">
        <x:v>618000</x:v>
      </x:c>
      <x:c r="I51" s="6" t="s">
        <x:v>144</x:v>
      </x:c>
      <x:c r="J51" s="6">
        <x:v>618000</x:v>
      </x:c>
      <x:c r="K51" s="6" t="s">
        <x:v>144</x:v>
      </x:c>
      <x:c r="L51" s="6" t="s">
        <x:v>317</x:v>
      </x:c>
      <x:c r="M51" s="6">
        <x:v>0</x:v>
      </x:c>
      <x:c r="N51" s="7">
        <x:f t="shared" si="1"/>
        <x:v>0</x:v>
      </x:c>
      <x:c r="O51" s="1" t="s">
        <x:v>167</x:v>
      </x:c>
      <x:c r="P51" s="1" t="s">
        <x:v>165</x:v>
      </x:c>
      <x:c r="Q51" s="1" t="s">
        <x:v>166</x:v>
      </x:c>
      <x:c r="R51" s="1" t="s">
        <x:v>387</x:v>
      </x:c>
      <x:c r="S51" s="1" t="s">
        <x:v>319</x:v>
      </x:c>
      <x:c r="T51" s="1" t="s">
        <x:v>329</x:v>
      </x:c>
    </x:row>
    <x:row r="52" ht="42">
      <x:c r="A52" s="1" t="s">
        <x:v>611</x:v>
      </x:c>
      <x:c r="B52" s="1" t="s">
        <x:v>171</x:v>
      </x:c>
      <x:c r="C52" s="1">
        <x:v>1</x:v>
      </x:c>
      <x:c r="D52" s="1" t="s">
        <x:v>333</x:v>
      </x:c>
      <x:c r="E52" s="1" t="s">
        <x:v>525</x:v>
      </x:c>
      <x:c r="F52" s="1" t="s">
        <x:v>391</x:v>
      </x:c>
      <x:c r="G52" s="1" t="s">
        <x:v>392</x:v>
      </x:c>
      <x:c r="H52" s="6">
        <x:v>54.384</x:v>
      </x:c>
      <x:c r="I52" s="6" t="s">
        <x:v>85</x:v>
      </x:c>
      <x:c r="J52" s="6">
        <x:v>54.384</x:v>
      </x:c>
      <x:c r="K52" s="6" t="s">
        <x:v>85</x:v>
      </x:c>
      <x:c r="L52" s="6" t="s">
        <x:v>386</x:v>
      </x:c>
      <x:c r="M52" s="6">
        <x:v>1</x:v>
      </x:c>
      <x:c r="N52" s="7">
        <x:f t="shared" si="1"/>
        <x:v>54.384</x:v>
      </x:c>
      <x:c r="O52" s="1" t="s">
        <x:v>167</x:v>
      </x:c>
      <x:c r="P52" s="1" t="s">
        <x:v>165</x:v>
      </x:c>
      <x:c r="Q52" s="1" t="s">
        <x:v>166</x:v>
      </x:c>
      <x:c r="R52" s="1" t="s">
        <x:v>387</x:v>
      </x:c>
      <x:c r="S52" s="1" t="s">
        <x:v>319</x:v>
      </x:c>
      <x:c r="T52" s="1" t="s">
        <x:v>388</x:v>
      </x:c>
    </x:row>
    <x:row r="53" ht="42">
      <x:c r="A53" s="1" t="s">
        <x:v>612</x:v>
      </x:c>
      <x:c r="B53" s="1" t="s">
        <x:v>171</x:v>
      </x:c>
      <x:c r="C53" s="1">
        <x:v>2</x:v>
      </x:c>
      <x:c r="D53" s="1" t="s">
        <x:v>533</x:v>
      </x:c>
      <x:c r="E53" s="1" t="s">
        <x:v>541</x:v>
      </x:c>
      <x:c r="F53" s="1" t="s">
        <x:v>598</x:v>
      </x:c>
      <x:c r="G53" s="1" t="s">
        <x:v>599</x:v>
      </x:c>
      <x:c r="H53" s="6">
        <x:v>10000</x:v>
      </x:c>
      <x:c r="I53" s="6" t="s">
        <x:v>600</x:v>
      </x:c>
      <x:c r="J53" s="6">
        <x:v>10000</x:v>
      </x:c>
      <x:c r="K53" s="6" t="s">
        <x:v>600</x:v>
      </x:c>
      <x:c r="L53" s="6" t="s">
        <x:v>601</x:v>
      </x:c>
      <x:c r="M53" s="6">
        <x:v>1</x:v>
      </x:c>
      <x:c r="N53" s="7">
        <x:f t="shared" si="1"/>
        <x:v>10000</x:v>
      </x:c>
      <x:c r="O53" s="1" t="s">
        <x:v>167</x:v>
      </x:c>
      <x:c r="P53" s="1" t="s">
        <x:v>165</x:v>
      </x:c>
      <x:c r="Q53" s="1" t="s">
        <x:v>166</x:v>
      </x:c>
      <x:c r="R53" s="1" t="s">
        <x:v>387</x:v>
      </x:c>
      <x:c r="S53" s="1" t="s">
        <x:v>319</x:v>
      </x:c>
      <x:c r="T53" s="1" t="s">
        <x:v>602</x:v>
      </x:c>
    </x:row>
    <x:row r="54" ht="42">
      <x:c r="A54" s="1" t="s">
        <x:v>613</x:v>
      </x:c>
      <x:c r="B54" s="1" t="s">
        <x:v>171</x:v>
      </x:c>
      <x:c r="C54" s="1">
        <x:v>99</x:v>
      </x:c>
      <x:c r="D54" s="1" t="s">
        <x:v>327</x:v>
      </x:c>
      <x:c r="E54" s="1" t="s">
        <x:v>525</x:v>
      </x:c>
      <x:c r="F54" s="1" t="s">
        <x:v>614</x:v>
      </x:c>
      <x:c r="G54" s="1" t="s">
        <x:v>615</x:v>
      </x:c>
      <x:c r="H54" s="6">
        <x:v>543840</x:v>
      </x:c>
      <x:c r="I54" s="6" t="s">
        <x:v>144</x:v>
      </x:c>
      <x:c r="J54" s="6">
        <x:v>543840</x:v>
      </x:c>
      <x:c r="K54" s="6" t="s">
        <x:v>144</x:v>
      </x:c>
      <x:c r="L54" s="6" t="s">
        <x:v>317</x:v>
      </x:c>
      <x:c r="M54" s="6">
        <x:v>0</x:v>
      </x:c>
      <x:c r="N54" s="7">
        <x:f t="shared" si="1"/>
        <x:v>0</x:v>
      </x:c>
      <x:c r="O54" s="1" t="s">
        <x:v>167</x:v>
      </x:c>
      <x:c r="P54" s="1" t="s">
        <x:v>165</x:v>
      </x:c>
      <x:c r="Q54" s="1" t="s">
        <x:v>166</x:v>
      </x:c>
      <x:c r="R54" s="1" t="s">
        <x:v>387</x:v>
      </x:c>
      <x:c r="S54" s="1" t="s">
        <x:v>319</x:v>
      </x:c>
      <x:c r="T54" s="1" t="s">
        <x:v>329</x:v>
      </x:c>
    </x:row>
    <x:row r="55" ht="42">
      <x:c r="A55" s="1" t="s">
        <x:v>616</x:v>
      </x:c>
      <x:c r="B55" s="1" t="s">
        <x:v>173</x:v>
      </x:c>
      <x:c r="C55" s="1">
        <x:v>1</x:v>
      </x:c>
      <x:c r="D55" s="1" t="s">
        <x:v>333</x:v>
      </x:c>
      <x:c r="E55" s="1" t="s">
        <x:v>525</x:v>
      </x:c>
      <x:c r="F55" s="1" t="s">
        <x:v>393</x:v>
      </x:c>
      <x:c r="G55" s="1" t="s">
        <x:v>394</x:v>
      </x:c>
      <x:c r="H55" s="6">
        <x:v>7.0039999999999996</x:v>
      </x:c>
      <x:c r="I55" s="6" t="s">
        <x:v>85</x:v>
      </x:c>
      <x:c r="J55" s="6">
        <x:v>7.0039999999999996</x:v>
      </x:c>
      <x:c r="K55" s="6" t="s">
        <x:v>85</x:v>
      </x:c>
      <x:c r="L55" s="6" t="s">
        <x:v>386</x:v>
      </x:c>
      <x:c r="M55" s="6">
        <x:v>1</x:v>
      </x:c>
      <x:c r="N55" s="7">
        <x:f t="shared" si="1"/>
        <x:v>7.0039999999999996</x:v>
      </x:c>
      <x:c r="O55" s="1" t="s">
        <x:v>167</x:v>
      </x:c>
      <x:c r="P55" s="1" t="s">
        <x:v>165</x:v>
      </x:c>
      <x:c r="Q55" s="1" t="s">
        <x:v>166</x:v>
      </x:c>
      <x:c r="R55" s="1" t="s">
        <x:v>387</x:v>
      </x:c>
      <x:c r="S55" s="1" t="s">
        <x:v>319</x:v>
      </x:c>
      <x:c r="T55" s="1" t="s">
        <x:v>388</x:v>
      </x:c>
    </x:row>
    <x:row r="56" ht="42">
      <x:c r="A56" s="1" t="s">
        <x:v>617</x:v>
      </x:c>
      <x:c r="B56" s="1" t="s">
        <x:v>173</x:v>
      </x:c>
      <x:c r="C56" s="1">
        <x:v>2</x:v>
      </x:c>
      <x:c r="D56" s="1" t="s">
        <x:v>533</x:v>
      </x:c>
      <x:c r="E56" s="1" t="s">
        <x:v>541</x:v>
      </x:c>
      <x:c r="F56" s="1" t="s">
        <x:v>598</x:v>
      </x:c>
      <x:c r="G56" s="1" t="s">
        <x:v>599</x:v>
      </x:c>
      <x:c r="H56" s="6">
        <x:v>10000</x:v>
      </x:c>
      <x:c r="I56" s="6" t="s">
        <x:v>600</x:v>
      </x:c>
      <x:c r="J56" s="6">
        <x:v>10000</x:v>
      </x:c>
      <x:c r="K56" s="6" t="s">
        <x:v>600</x:v>
      </x:c>
      <x:c r="L56" s="6" t="s">
        <x:v>601</x:v>
      </x:c>
      <x:c r="M56" s="6">
        <x:v>1</x:v>
      </x:c>
      <x:c r="N56" s="7">
        <x:f t="shared" si="1"/>
        <x:v>10000</x:v>
      </x:c>
      <x:c r="O56" s="1" t="s">
        <x:v>167</x:v>
      </x:c>
      <x:c r="P56" s="1" t="s">
        <x:v>165</x:v>
      </x:c>
      <x:c r="Q56" s="1" t="s">
        <x:v>166</x:v>
      </x:c>
      <x:c r="R56" s="1" t="s">
        <x:v>387</x:v>
      </x:c>
      <x:c r="S56" s="1" t="s">
        <x:v>319</x:v>
      </x:c>
      <x:c r="T56" s="1" t="s">
        <x:v>602</x:v>
      </x:c>
    </x:row>
    <x:row r="57" ht="42">
      <x:c r="A57" s="1" t="s">
        <x:v>618</x:v>
      </x:c>
      <x:c r="B57" s="1" t="s">
        <x:v>173</x:v>
      </x:c>
      <x:c r="C57" s="1">
        <x:v>99</x:v>
      </x:c>
      <x:c r="D57" s="1" t="s">
        <x:v>327</x:v>
      </x:c>
      <x:c r="E57" s="1" t="s">
        <x:v>525</x:v>
      </x:c>
      <x:c r="F57" s="1" t="s">
        <x:v>619</x:v>
      </x:c>
      <x:c r="G57" s="1" t="s">
        <x:v>620</x:v>
      </x:c>
      <x:c r="H57" s="6">
        <x:v>70040</x:v>
      </x:c>
      <x:c r="I57" s="6" t="s">
        <x:v>144</x:v>
      </x:c>
      <x:c r="J57" s="6">
        <x:v>70040</x:v>
      </x:c>
      <x:c r="K57" s="6" t="s">
        <x:v>144</x:v>
      </x:c>
      <x:c r="L57" s="6" t="s">
        <x:v>317</x:v>
      </x:c>
      <x:c r="M57" s="6">
        <x:v>0</x:v>
      </x:c>
      <x:c r="N57" s="7">
        <x:f t="shared" si="1"/>
        <x:v>0</x:v>
      </x:c>
      <x:c r="O57" s="1" t="s">
        <x:v>167</x:v>
      </x:c>
      <x:c r="P57" s="1" t="s">
        <x:v>165</x:v>
      </x:c>
      <x:c r="Q57" s="1" t="s">
        <x:v>166</x:v>
      </x:c>
      <x:c r="R57" s="1" t="s">
        <x:v>387</x:v>
      </x:c>
      <x:c r="S57" s="1" t="s">
        <x:v>319</x:v>
      </x:c>
      <x:c r="T57" s="1" t="s">
        <x:v>329</x:v>
      </x:c>
    </x:row>
    <x:row r="58" ht="42">
      <x:c r="A58" s="1" t="s">
        <x:v>621</x:v>
      </x:c>
      <x:c r="B58" s="1" t="s">
        <x:v>175</x:v>
      </x:c>
      <x:c r="C58" s="1">
        <x:v>1</x:v>
      </x:c>
      <x:c r="D58" s="1" t="s">
        <x:v>333</x:v>
      </x:c>
      <x:c r="E58" s="1" t="s">
        <x:v>525</x:v>
      </x:c>
      <x:c r="F58" s="1" t="s">
        <x:v>395</x:v>
      </x:c>
      <x:c r="G58" s="1" t="s">
        <x:v>396</x:v>
      </x:c>
      <x:c r="H58" s="6">
        <x:v>103</x:v>
      </x:c>
      <x:c r="I58" s="6" t="s">
        <x:v>85</x:v>
      </x:c>
      <x:c r="J58" s="6">
        <x:v>103</x:v>
      </x:c>
      <x:c r="K58" s="6" t="s">
        <x:v>85</x:v>
      </x:c>
      <x:c r="L58" s="6" t="s">
        <x:v>386</x:v>
      </x:c>
      <x:c r="M58" s="6">
        <x:v>1</x:v>
      </x:c>
      <x:c r="N58" s="7">
        <x:f t="shared" si="1"/>
        <x:v>103</x:v>
      </x:c>
      <x:c r="O58" s="1" t="s">
        <x:v>167</x:v>
      </x:c>
      <x:c r="P58" s="1" t="s">
        <x:v>165</x:v>
      </x:c>
      <x:c r="Q58" s="1" t="s">
        <x:v>166</x:v>
      </x:c>
      <x:c r="R58" s="1" t="s">
        <x:v>387</x:v>
      </x:c>
      <x:c r="S58" s="1" t="s">
        <x:v>319</x:v>
      </x:c>
      <x:c r="T58" s="1" t="s">
        <x:v>388</x:v>
      </x:c>
    </x:row>
    <x:row r="59" ht="42">
      <x:c r="A59" s="1" t="s">
        <x:v>622</x:v>
      </x:c>
      <x:c r="B59" s="1" t="s">
        <x:v>175</x:v>
      </x:c>
      <x:c r="C59" s="1">
        <x:v>2</x:v>
      </x:c>
      <x:c r="D59" s="1" t="s">
        <x:v>533</x:v>
      </x:c>
      <x:c r="E59" s="1" t="s">
        <x:v>541</x:v>
      </x:c>
      <x:c r="F59" s="1" t="s">
        <x:v>598</x:v>
      </x:c>
      <x:c r="G59" s="1" t="s">
        <x:v>599</x:v>
      </x:c>
      <x:c r="H59" s="6">
        <x:v>10000</x:v>
      </x:c>
      <x:c r="I59" s="6" t="s">
        <x:v>600</x:v>
      </x:c>
      <x:c r="J59" s="6">
        <x:v>10000</x:v>
      </x:c>
      <x:c r="K59" s="6" t="s">
        <x:v>600</x:v>
      </x:c>
      <x:c r="L59" s="6" t="s">
        <x:v>601</x:v>
      </x:c>
      <x:c r="M59" s="6">
        <x:v>1</x:v>
      </x:c>
      <x:c r="N59" s="7">
        <x:f t="shared" si="1"/>
        <x:v>10000</x:v>
      </x:c>
      <x:c r="O59" s="1" t="s">
        <x:v>167</x:v>
      </x:c>
      <x:c r="P59" s="1" t="s">
        <x:v>165</x:v>
      </x:c>
      <x:c r="Q59" s="1" t="s">
        <x:v>166</x:v>
      </x:c>
      <x:c r="R59" s="1" t="s">
        <x:v>387</x:v>
      </x:c>
      <x:c r="S59" s="1" t="s">
        <x:v>319</x:v>
      </x:c>
      <x:c r="T59" s="1" t="s">
        <x:v>602</x:v>
      </x:c>
    </x:row>
    <x:row r="60" ht="42">
      <x:c r="A60" s="1" t="s">
        <x:v>623</x:v>
      </x:c>
      <x:c r="B60" s="1" t="s">
        <x:v>175</x:v>
      </x:c>
      <x:c r="C60" s="1">
        <x:v>99</x:v>
      </x:c>
      <x:c r="D60" s="1" t="s">
        <x:v>327</x:v>
      </x:c>
      <x:c r="E60" s="1" t="s">
        <x:v>525</x:v>
      </x:c>
      <x:c r="F60" s="1" t="s">
        <x:v>624</x:v>
      </x:c>
      <x:c r="G60" s="1" t="s">
        <x:v>625</x:v>
      </x:c>
      <x:c r="H60" s="6">
        <x:v>1030000</x:v>
      </x:c>
      <x:c r="I60" s="6" t="s">
        <x:v>144</x:v>
      </x:c>
      <x:c r="J60" s="6">
        <x:v>1030000</x:v>
      </x:c>
      <x:c r="K60" s="6" t="s">
        <x:v>144</x:v>
      </x:c>
      <x:c r="L60" s="6" t="s">
        <x:v>317</x:v>
      </x:c>
      <x:c r="M60" s="6">
        <x:v>0</x:v>
      </x:c>
      <x:c r="N60" s="7">
        <x:f t="shared" si="1"/>
        <x:v>0</x:v>
      </x:c>
      <x:c r="O60" s="1" t="s">
        <x:v>167</x:v>
      </x:c>
      <x:c r="P60" s="1" t="s">
        <x:v>165</x:v>
      </x:c>
      <x:c r="Q60" s="1" t="s">
        <x:v>166</x:v>
      </x:c>
      <x:c r="R60" s="1" t="s">
        <x:v>387</x:v>
      </x:c>
      <x:c r="S60" s="1" t="s">
        <x:v>319</x:v>
      </x:c>
      <x:c r="T60" s="1" t="s">
        <x:v>329</x:v>
      </x:c>
    </x:row>
    <x:row r="61" ht="42">
      <x:c r="A61" s="1" t="s">
        <x:v>626</x:v>
      </x:c>
      <x:c r="B61" s="1" t="s">
        <x:v>177</x:v>
      </x:c>
      <x:c r="C61" s="1">
        <x:v>1</x:v>
      </x:c>
      <x:c r="D61" s="1" t="s">
        <x:v>333</x:v>
      </x:c>
      <x:c r="E61" s="1" t="s">
        <x:v>525</x:v>
      </x:c>
      <x:c r="F61" s="1" t="s">
        <x:v>397</x:v>
      </x:c>
      <x:c r="G61" s="1" t="s">
        <x:v>398</x:v>
      </x:c>
      <x:c r="H61" s="6">
        <x:v>34.333300000000001</x:v>
      </x:c>
      <x:c r="I61" s="6" t="s">
        <x:v>85</x:v>
      </x:c>
      <x:c r="J61" s="6">
        <x:v>34.333300000000001</x:v>
      </x:c>
      <x:c r="K61" s="6" t="s">
        <x:v>85</x:v>
      </x:c>
      <x:c r="L61" s="6" t="s">
        <x:v>386</x:v>
      </x:c>
      <x:c r="M61" s="6">
        <x:v>1</x:v>
      </x:c>
      <x:c r="N61" s="7">
        <x:f t="shared" si="1"/>
        <x:v>34.333300000000001</x:v>
      </x:c>
      <x:c r="O61" s="1" t="s">
        <x:v>167</x:v>
      </x:c>
      <x:c r="P61" s="1" t="s">
        <x:v>165</x:v>
      </x:c>
      <x:c r="Q61" s="1" t="s">
        <x:v>166</x:v>
      </x:c>
      <x:c r="R61" s="1" t="s">
        <x:v>387</x:v>
      </x:c>
      <x:c r="S61" s="1" t="s">
        <x:v>319</x:v>
      </x:c>
      <x:c r="T61" s="1" t="s">
        <x:v>388</x:v>
      </x:c>
    </x:row>
    <x:row r="62" ht="42">
      <x:c r="A62" s="1" t="s">
        <x:v>627</x:v>
      </x:c>
      <x:c r="B62" s="1" t="s">
        <x:v>177</x:v>
      </x:c>
      <x:c r="C62" s="1">
        <x:v>2</x:v>
      </x:c>
      <x:c r="D62" s="1" t="s">
        <x:v>533</x:v>
      </x:c>
      <x:c r="E62" s="1" t="s">
        <x:v>541</x:v>
      </x:c>
      <x:c r="F62" s="1" t="s">
        <x:v>598</x:v>
      </x:c>
      <x:c r="G62" s="1" t="s">
        <x:v>599</x:v>
      </x:c>
      <x:c r="H62" s="6">
        <x:v>10000</x:v>
      </x:c>
      <x:c r="I62" s="6" t="s">
        <x:v>600</x:v>
      </x:c>
      <x:c r="J62" s="6">
        <x:v>10000</x:v>
      </x:c>
      <x:c r="K62" s="6" t="s">
        <x:v>600</x:v>
      </x:c>
      <x:c r="L62" s="6" t="s">
        <x:v>601</x:v>
      </x:c>
      <x:c r="M62" s="6">
        <x:v>1</x:v>
      </x:c>
      <x:c r="N62" s="7">
        <x:f t="shared" si="1"/>
        <x:v>10000</x:v>
      </x:c>
      <x:c r="O62" s="1" t="s">
        <x:v>167</x:v>
      </x:c>
      <x:c r="P62" s="1" t="s">
        <x:v>165</x:v>
      </x:c>
      <x:c r="Q62" s="1" t="s">
        <x:v>166</x:v>
      </x:c>
      <x:c r="R62" s="1" t="s">
        <x:v>387</x:v>
      </x:c>
      <x:c r="S62" s="1" t="s">
        <x:v>319</x:v>
      </x:c>
      <x:c r="T62" s="1" t="s">
        <x:v>602</x:v>
      </x:c>
    </x:row>
    <x:row r="63" ht="42">
      <x:c r="A63" s="1" t="s">
        <x:v>628</x:v>
      </x:c>
      <x:c r="B63" s="1" t="s">
        <x:v>177</x:v>
      </x:c>
      <x:c r="C63" s="1">
        <x:v>99</x:v>
      </x:c>
      <x:c r="D63" s="1" t="s">
        <x:v>327</x:v>
      </x:c>
      <x:c r="E63" s="1" t="s">
        <x:v>525</x:v>
      </x:c>
      <x:c r="F63" s="1" t="s">
        <x:v>629</x:v>
      </x:c>
      <x:c r="G63" s="1" t="s">
        <x:v>630</x:v>
      </x:c>
      <x:c r="H63" s="6">
        <x:v>343333</x:v>
      </x:c>
      <x:c r="I63" s="6" t="s">
        <x:v>144</x:v>
      </x:c>
      <x:c r="J63" s="6">
        <x:v>343333</x:v>
      </x:c>
      <x:c r="K63" s="6" t="s">
        <x:v>144</x:v>
      </x:c>
      <x:c r="L63" s="6" t="s">
        <x:v>317</x:v>
      </x:c>
      <x:c r="M63" s="6">
        <x:v>0</x:v>
      </x:c>
      <x:c r="N63" s="7">
        <x:f t="shared" si="1"/>
        <x:v>0</x:v>
      </x:c>
      <x:c r="O63" s="1" t="s">
        <x:v>167</x:v>
      </x:c>
      <x:c r="P63" s="1" t="s">
        <x:v>165</x:v>
      </x:c>
      <x:c r="Q63" s="1" t="s">
        <x:v>166</x:v>
      </x:c>
      <x:c r="R63" s="1" t="s">
        <x:v>387</x:v>
      </x:c>
      <x:c r="S63" s="1" t="s">
        <x:v>319</x:v>
      </x:c>
      <x:c r="T63" s="1" t="s">
        <x:v>329</x:v>
      </x:c>
    </x:row>
    <x:row r="64" ht="42">
      <x:c r="A64" s="1" t="s">
        <x:v>631</x:v>
      </x:c>
      <x:c r="B64" s="1" t="s">
        <x:v>179</x:v>
      </x:c>
      <x:c r="C64" s="1">
        <x:v>1</x:v>
      </x:c>
      <x:c r="D64" s="1" t="s">
        <x:v>454</x:v>
      </x:c>
      <x:c r="E64" s="1" t="s">
        <x:v>541</x:v>
      </x:c>
      <x:c r="F64" s="1" t="s">
        <x:v>159</x:v>
      </x:c>
      <x:c r="G64" s="1" t="s">
        <x:v>605</x:v>
      </x:c>
      <x:c r="H64" s="6">
        <x:v>2544787</x:v>
      </x:c>
      <x:c r="I64" s="6" t="s">
        <x:v>144</x:v>
      </x:c>
      <x:c r="J64" s="6">
        <x:v>2544787</x:v>
      </x:c>
      <x:c r="K64" s="6" t="s">
        <x:v>144</x:v>
      </x:c>
      <x:c r="L64" s="6" t="s">
        <x:v>632</x:v>
      </x:c>
      <x:c r="M64" s="6">
        <x:v>1</x:v>
      </x:c>
      <x:c r="N64" s="7">
        <x:f t="shared" si="1"/>
        <x:v>2544787</x:v>
      </x:c>
      <x:c r="O64" s="1" t="s">
        <x:v>167</x:v>
      </x:c>
      <x:c r="P64" s="1" t="s">
        <x:v>165</x:v>
      </x:c>
      <x:c r="Q64" s="1" t="s">
        <x:v>166</x:v>
      </x:c>
      <x:c r="R64" s="1" t="s">
        <x:v>387</x:v>
      </x:c>
      <x:c r="S64" s="1" t="s">
        <x:v>319</x:v>
      </x:c>
      <x:c r="T64" s="1" t="s">
        <x:v>633</x:v>
      </x:c>
    </x:row>
    <x:row r="65" ht="42">
      <x:c r="A65" s="1" t="s">
        <x:v>634</x:v>
      </x:c>
      <x:c r="B65" s="1" t="s">
        <x:v>179</x:v>
      </x:c>
      <x:c r="C65" s="1">
        <x:v>2</x:v>
      </x:c>
      <x:c r="D65" s="1" t="s">
        <x:v>459</x:v>
      </x:c>
      <x:c r="E65" s="1" t="s">
        <x:v>541</x:v>
      </x:c>
      <x:c r="F65" s="1" t="s">
        <x:v>169</x:v>
      </x:c>
      <x:c r="G65" s="1" t="s">
        <x:v>610</x:v>
      </x:c>
      <x:c r="H65" s="6">
        <x:v>618000</x:v>
      </x:c>
      <x:c r="I65" s="6" t="s">
        <x:v>144</x:v>
      </x:c>
      <x:c r="J65" s="6">
        <x:v>618000</x:v>
      </x:c>
      <x:c r="K65" s="6" t="s">
        <x:v>144</x:v>
      </x:c>
      <x:c r="L65" s="6" t="s">
        <x:v>632</x:v>
      </x:c>
      <x:c r="M65" s="6">
        <x:v>1</x:v>
      </x:c>
      <x:c r="N65" s="7">
        <x:f t="shared" si="1"/>
        <x:v>618000</x:v>
      </x:c>
      <x:c r="O65" s="1" t="s">
        <x:v>167</x:v>
      </x:c>
      <x:c r="P65" s="1" t="s">
        <x:v>165</x:v>
      </x:c>
      <x:c r="Q65" s="1" t="s">
        <x:v>166</x:v>
      </x:c>
      <x:c r="R65" s="1" t="s">
        <x:v>387</x:v>
      </x:c>
      <x:c r="S65" s="1" t="s">
        <x:v>319</x:v>
      </x:c>
      <x:c r="T65" s="1" t="s">
        <x:v>633</x:v>
      </x:c>
    </x:row>
    <x:row r="66" ht="42">
      <x:c r="A66" s="1" t="s">
        <x:v>635</x:v>
      </x:c>
      <x:c r="B66" s="1" t="s">
        <x:v>179</x:v>
      </x:c>
      <x:c r="C66" s="1">
        <x:v>3</x:v>
      </x:c>
      <x:c r="D66" s="1" t="s">
        <x:v>636</x:v>
      </x:c>
      <x:c r="E66" s="1" t="s">
        <x:v>541</x:v>
      </x:c>
      <x:c r="F66" s="1" t="s">
        <x:v>171</x:v>
      </x:c>
      <x:c r="G66" s="1" t="s">
        <x:v>615</x:v>
      </x:c>
      <x:c r="H66" s="6">
        <x:v>543840</x:v>
      </x:c>
      <x:c r="I66" s="6" t="s">
        <x:v>144</x:v>
      </x:c>
      <x:c r="J66" s="6">
        <x:v>543840</x:v>
      </x:c>
      <x:c r="K66" s="6" t="s">
        <x:v>144</x:v>
      </x:c>
      <x:c r="L66" s="6" t="s">
        <x:v>632</x:v>
      </x:c>
      <x:c r="M66" s="6">
        <x:v>1</x:v>
      </x:c>
      <x:c r="N66" s="7">
        <x:f t="shared" si="1"/>
        <x:v>543840</x:v>
      </x:c>
      <x:c r="O66" s="1" t="s">
        <x:v>167</x:v>
      </x:c>
      <x:c r="P66" s="1" t="s">
        <x:v>165</x:v>
      </x:c>
      <x:c r="Q66" s="1" t="s">
        <x:v>166</x:v>
      </x:c>
      <x:c r="R66" s="1" t="s">
        <x:v>387</x:v>
      </x:c>
      <x:c r="S66" s="1" t="s">
        <x:v>319</x:v>
      </x:c>
      <x:c r="T66" s="1" t="s">
        <x:v>633</x:v>
      </x:c>
    </x:row>
    <x:row r="67" ht="42">
      <x:c r="A67" s="1" t="s">
        <x:v>637</x:v>
      </x:c>
      <x:c r="B67" s="1" t="s">
        <x:v>179</x:v>
      </x:c>
      <x:c r="C67" s="1">
        <x:v>4</x:v>
      </x:c>
      <x:c r="D67" s="1" t="s">
        <x:v>638</x:v>
      </x:c>
      <x:c r="E67" s="1" t="s">
        <x:v>541</x:v>
      </x:c>
      <x:c r="F67" s="1" t="s">
        <x:v>173</x:v>
      </x:c>
      <x:c r="G67" s="1" t="s">
        <x:v>620</x:v>
      </x:c>
      <x:c r="H67" s="6">
        <x:v>70040</x:v>
      </x:c>
      <x:c r="I67" s="6" t="s">
        <x:v>144</x:v>
      </x:c>
      <x:c r="J67" s="6">
        <x:v>70040</x:v>
      </x:c>
      <x:c r="K67" s="6" t="s">
        <x:v>144</x:v>
      </x:c>
      <x:c r="L67" s="6" t="s">
        <x:v>632</x:v>
      </x:c>
      <x:c r="M67" s="6">
        <x:v>1</x:v>
      </x:c>
      <x:c r="N67" s="7">
        <x:f t="shared" si="1"/>
        <x:v>70040</x:v>
      </x:c>
      <x:c r="O67" s="1" t="s">
        <x:v>167</x:v>
      </x:c>
      <x:c r="P67" s="1" t="s">
        <x:v>165</x:v>
      </x:c>
      <x:c r="Q67" s="1" t="s">
        <x:v>166</x:v>
      </x:c>
      <x:c r="R67" s="1" t="s">
        <x:v>387</x:v>
      </x:c>
      <x:c r="S67" s="1" t="s">
        <x:v>319</x:v>
      </x:c>
      <x:c r="T67" s="1" t="s">
        <x:v>633</x:v>
      </x:c>
    </x:row>
    <x:row r="68" ht="42">
      <x:c r="A68" s="1" t="s">
        <x:v>639</x:v>
      </x:c>
      <x:c r="B68" s="1" t="s">
        <x:v>179</x:v>
      </x:c>
      <x:c r="C68" s="1">
        <x:v>5</x:v>
      </x:c>
      <x:c r="D68" s="1" t="s">
        <x:v>640</x:v>
      </x:c>
      <x:c r="E68" s="1" t="s">
        <x:v>541</x:v>
      </x:c>
      <x:c r="F68" s="1" t="s">
        <x:v>175</x:v>
      </x:c>
      <x:c r="G68" s="1" t="s">
        <x:v>625</x:v>
      </x:c>
      <x:c r="H68" s="6">
        <x:v>1030000</x:v>
      </x:c>
      <x:c r="I68" s="6" t="s">
        <x:v>144</x:v>
      </x:c>
      <x:c r="J68" s="6">
        <x:v>1030000</x:v>
      </x:c>
      <x:c r="K68" s="6" t="s">
        <x:v>144</x:v>
      </x:c>
      <x:c r="L68" s="6" t="s">
        <x:v>632</x:v>
      </x:c>
      <x:c r="M68" s="6">
        <x:v>1</x:v>
      </x:c>
      <x:c r="N68" s="7" t="n">
        <x:f t="shared" ref="N68:N99" si="2">J68*M68</x:f>
        <x:v>1030000</x:v>
      </x:c>
      <x:c r="O68" s="1" t="s">
        <x:v>167</x:v>
      </x:c>
      <x:c r="P68" s="1" t="s">
        <x:v>165</x:v>
      </x:c>
      <x:c r="Q68" s="1" t="s">
        <x:v>166</x:v>
      </x:c>
      <x:c r="R68" s="1" t="s">
        <x:v>387</x:v>
      </x:c>
      <x:c r="S68" s="1" t="s">
        <x:v>319</x:v>
      </x:c>
      <x:c r="T68" s="1" t="s">
        <x:v>633</x:v>
      </x:c>
    </x:row>
    <x:row r="69" ht="42">
      <x:c r="A69" s="1" t="s">
        <x:v>641</x:v>
      </x:c>
      <x:c r="B69" s="1" t="s">
        <x:v>179</x:v>
      </x:c>
      <x:c r="C69" s="1">
        <x:v>6</x:v>
      </x:c>
      <x:c r="D69" s="1" t="s">
        <x:v>642</x:v>
      </x:c>
      <x:c r="E69" s="1" t="s">
        <x:v>541</x:v>
      </x:c>
      <x:c r="F69" s="1" t="s">
        <x:v>177</x:v>
      </x:c>
      <x:c r="G69" s="1" t="s">
        <x:v>630</x:v>
      </x:c>
      <x:c r="H69" s="6">
        <x:v>343333</x:v>
      </x:c>
      <x:c r="I69" s="6" t="s">
        <x:v>144</x:v>
      </x:c>
      <x:c r="J69" s="6">
        <x:v>343333</x:v>
      </x:c>
      <x:c r="K69" s="6" t="s">
        <x:v>144</x:v>
      </x:c>
      <x:c r="L69" s="6" t="s">
        <x:v>632</x:v>
      </x:c>
      <x:c r="M69" s="6">
        <x:v>1</x:v>
      </x:c>
      <x:c r="N69" s="7">
        <x:f t="shared" si="2"/>
        <x:v>343333</x:v>
      </x:c>
      <x:c r="O69" s="1" t="s">
        <x:v>167</x:v>
      </x:c>
      <x:c r="P69" s="1" t="s">
        <x:v>165</x:v>
      </x:c>
      <x:c r="Q69" s="1" t="s">
        <x:v>166</x:v>
      </x:c>
      <x:c r="R69" s="1" t="s">
        <x:v>387</x:v>
      </x:c>
      <x:c r="S69" s="1" t="s">
        <x:v>319</x:v>
      </x:c>
      <x:c r="T69" s="1" t="s">
        <x:v>633</x:v>
      </x:c>
    </x:row>
    <x:row r="70" ht="42">
      <x:c r="A70" s="1" t="s">
        <x:v>643</x:v>
      </x:c>
      <x:c r="B70" s="1" t="s">
        <x:v>183</x:v>
      </x:c>
      <x:c r="C70" s="1">
        <x:v>1</x:v>
      </x:c>
      <x:c r="D70" s="1" t="s">
        <x:v>333</x:v>
      </x:c>
      <x:c r="E70" s="1" t="s">
        <x:v>525</x:v>
      </x:c>
      <x:c r="F70" s="1" t="s">
        <x:v>399</x:v>
      </x:c>
      <x:c r="G70" s="1" t="s">
        <x:v>400</x:v>
      </x:c>
      <x:c r="H70" s="6">
        <x:v>20</x:v>
      </x:c>
      <x:c r="I70" s="6" t="s">
        <x:v>85</x:v>
      </x:c>
      <x:c r="J70" s="6">
        <x:v>20</x:v>
      </x:c>
      <x:c r="K70" s="6" t="s">
        <x:v>85</x:v>
      </x:c>
      <x:c r="L70" s="6" t="s">
        <x:v>386</x:v>
      </x:c>
      <x:c r="M70" s="6">
        <x:v>1</x:v>
      </x:c>
      <x:c r="N70" s="7">
        <x:f t="shared" si="2"/>
        <x:v>20</x:v>
      </x:c>
      <x:c r="O70" s="1" t="s">
        <x:v>167</x:v>
      </x:c>
      <x:c r="P70" s="1" t="s">
        <x:v>165</x:v>
      </x:c>
      <x:c r="Q70" s="1" t="s">
        <x:v>166</x:v>
      </x:c>
      <x:c r="R70" s="1" t="s">
        <x:v>387</x:v>
      </x:c>
      <x:c r="S70" s="1" t="s">
        <x:v>319</x:v>
      </x:c>
      <x:c r="T70" s="1" t="s">
        <x:v>388</x:v>
      </x:c>
    </x:row>
    <x:row r="71" ht="42">
      <x:c r="A71" s="1" t="s">
        <x:v>644</x:v>
      </x:c>
      <x:c r="B71" s="1" t="s">
        <x:v>183</x:v>
      </x:c>
      <x:c r="C71" s="1">
        <x:v>2</x:v>
      </x:c>
      <x:c r="D71" s="1" t="s">
        <x:v>533</x:v>
      </x:c>
      <x:c r="E71" s="1" t="s">
        <x:v>541</x:v>
      </x:c>
      <x:c r="F71" s="1" t="s">
        <x:v>598</x:v>
      </x:c>
      <x:c r="G71" s="1" t="s">
        <x:v>599</x:v>
      </x:c>
      <x:c r="H71" s="6">
        <x:v>10000</x:v>
      </x:c>
      <x:c r="I71" s="6" t="s">
        <x:v>600</x:v>
      </x:c>
      <x:c r="J71" s="6">
        <x:v>10000</x:v>
      </x:c>
      <x:c r="K71" s="6" t="s">
        <x:v>600</x:v>
      </x:c>
      <x:c r="L71" s="6" t="s">
        <x:v>601</x:v>
      </x:c>
      <x:c r="M71" s="6">
        <x:v>1</x:v>
      </x:c>
      <x:c r="N71" s="7">
        <x:f t="shared" si="2"/>
        <x:v>10000</x:v>
      </x:c>
      <x:c r="O71" s="1" t="s">
        <x:v>167</x:v>
      </x:c>
      <x:c r="P71" s="1" t="s">
        <x:v>165</x:v>
      </x:c>
      <x:c r="Q71" s="1" t="s">
        <x:v>166</x:v>
      </x:c>
      <x:c r="R71" s="1" t="s">
        <x:v>387</x:v>
      </x:c>
      <x:c r="S71" s="1" t="s">
        <x:v>319</x:v>
      </x:c>
      <x:c r="T71" s="1" t="s">
        <x:v>602</x:v>
      </x:c>
    </x:row>
    <x:row r="72" ht="42">
      <x:c r="A72" s="1" t="s">
        <x:v>645</x:v>
      </x:c>
      <x:c r="B72" s="1" t="s">
        <x:v>183</x:v>
      </x:c>
      <x:c r="C72" s="1">
        <x:v>99</x:v>
      </x:c>
      <x:c r="D72" s="1" t="s">
        <x:v>327</x:v>
      </x:c>
      <x:c r="E72" s="1" t="s">
        <x:v>525</x:v>
      </x:c>
      <x:c r="F72" s="1" t="s">
        <x:v>646</x:v>
      </x:c>
      <x:c r="G72" s="1" t="s">
        <x:v>647</x:v>
      </x:c>
      <x:c r="H72" s="6">
        <x:v>200000</x:v>
      </x:c>
      <x:c r="I72" s="6" t="s">
        <x:v>144</x:v>
      </x:c>
      <x:c r="J72" s="6">
        <x:v>200000</x:v>
      </x:c>
      <x:c r="K72" s="6" t="s">
        <x:v>144</x:v>
      </x:c>
      <x:c r="L72" s="6" t="s">
        <x:v>317</x:v>
      </x:c>
      <x:c r="M72" s="6">
        <x:v>0</x:v>
      </x:c>
      <x:c r="N72" s="7">
        <x:f t="shared" si="2"/>
        <x:v>0</x:v>
      </x:c>
      <x:c r="O72" s="1" t="s">
        <x:v>167</x:v>
      </x:c>
      <x:c r="P72" s="1" t="s">
        <x:v>165</x:v>
      </x:c>
      <x:c r="Q72" s="1" t="s">
        <x:v>166</x:v>
      </x:c>
      <x:c r="R72" s="1" t="s">
        <x:v>387</x:v>
      </x:c>
      <x:c r="S72" s="1" t="s">
        <x:v>319</x:v>
      </x:c>
      <x:c r="T72" s="1" t="s">
        <x:v>329</x:v>
      </x:c>
    </x:row>
    <x:row r="73" ht="42">
      <x:c r="A73" s="1" t="s">
        <x:v>648</x:v>
      </x:c>
      <x:c r="B73" s="1" t="s">
        <x:v>187</x:v>
      </x:c>
      <x:c r="C73" s="1">
        <x:v>1</x:v>
      </x:c>
      <x:c r="D73" s="1" t="s">
        <x:v>333</x:v>
      </x:c>
      <x:c r="E73" s="1" t="s">
        <x:v>525</x:v>
      </x:c>
      <x:c r="F73" s="1" t="s">
        <x:v>401</x:v>
      </x:c>
      <x:c r="G73" s="1" t="s">
        <x:v>400</x:v>
      </x:c>
      <x:c r="H73" s="6">
        <x:v>20</x:v>
      </x:c>
      <x:c r="I73" s="6" t="s">
        <x:v>85</x:v>
      </x:c>
      <x:c r="J73" s="6">
        <x:v>20</x:v>
      </x:c>
      <x:c r="K73" s="6" t="s">
        <x:v>85</x:v>
      </x:c>
      <x:c r="L73" s="6" t="s">
        <x:v>386</x:v>
      </x:c>
      <x:c r="M73" s="6">
        <x:v>1</x:v>
      </x:c>
      <x:c r="N73" s="7">
        <x:f t="shared" si="2"/>
        <x:v>20</x:v>
      </x:c>
      <x:c r="O73" s="1" t="s">
        <x:v>167</x:v>
      </x:c>
      <x:c r="P73" s="1" t="s">
        <x:v>165</x:v>
      </x:c>
      <x:c r="Q73" s="1" t="s">
        <x:v>166</x:v>
      </x:c>
      <x:c r="R73" s="1" t="s">
        <x:v>387</x:v>
      </x:c>
      <x:c r="S73" s="1" t="s">
        <x:v>319</x:v>
      </x:c>
      <x:c r="T73" s="1" t="s">
        <x:v>388</x:v>
      </x:c>
    </x:row>
    <x:row r="74" ht="42">
      <x:c r="A74" s="1" t="s">
        <x:v>649</x:v>
      </x:c>
      <x:c r="B74" s="1" t="s">
        <x:v>187</x:v>
      </x:c>
      <x:c r="C74" s="1">
        <x:v>2</x:v>
      </x:c>
      <x:c r="D74" s="1" t="s">
        <x:v>533</x:v>
      </x:c>
      <x:c r="E74" s="1" t="s">
        <x:v>541</x:v>
      </x:c>
      <x:c r="F74" s="1" t="s">
        <x:v>598</x:v>
      </x:c>
      <x:c r="G74" s="1" t="s">
        <x:v>599</x:v>
      </x:c>
      <x:c r="H74" s="6">
        <x:v>10000</x:v>
      </x:c>
      <x:c r="I74" s="6" t="s">
        <x:v>600</x:v>
      </x:c>
      <x:c r="J74" s="6">
        <x:v>10000</x:v>
      </x:c>
      <x:c r="K74" s="6" t="s">
        <x:v>600</x:v>
      </x:c>
      <x:c r="L74" s="6" t="s">
        <x:v>601</x:v>
      </x:c>
      <x:c r="M74" s="6">
        <x:v>1</x:v>
      </x:c>
      <x:c r="N74" s="7">
        <x:f t="shared" si="2"/>
        <x:v>10000</x:v>
      </x:c>
      <x:c r="O74" s="1" t="s">
        <x:v>167</x:v>
      </x:c>
      <x:c r="P74" s="1" t="s">
        <x:v>165</x:v>
      </x:c>
      <x:c r="Q74" s="1" t="s">
        <x:v>166</x:v>
      </x:c>
      <x:c r="R74" s="1" t="s">
        <x:v>387</x:v>
      </x:c>
      <x:c r="S74" s="1" t="s">
        <x:v>319</x:v>
      </x:c>
      <x:c r="T74" s="1" t="s">
        <x:v>602</x:v>
      </x:c>
    </x:row>
    <x:row r="75" ht="42">
      <x:c r="A75" s="1" t="s">
        <x:v>650</x:v>
      </x:c>
      <x:c r="B75" s="1" t="s">
        <x:v>187</x:v>
      </x:c>
      <x:c r="C75" s="1">
        <x:v>99</x:v>
      </x:c>
      <x:c r="D75" s="1" t="s">
        <x:v>327</x:v>
      </x:c>
      <x:c r="E75" s="1" t="s">
        <x:v>525</x:v>
      </x:c>
      <x:c r="F75" s="1" t="s">
        <x:v>651</x:v>
      </x:c>
      <x:c r="G75" s="1" t="s">
        <x:v>647</x:v>
      </x:c>
      <x:c r="H75" s="6">
        <x:v>200000</x:v>
      </x:c>
      <x:c r="I75" s="6" t="s">
        <x:v>144</x:v>
      </x:c>
      <x:c r="J75" s="6">
        <x:v>200000</x:v>
      </x:c>
      <x:c r="K75" s="6" t="s">
        <x:v>144</x:v>
      </x:c>
      <x:c r="L75" s="6" t="s">
        <x:v>317</x:v>
      </x:c>
      <x:c r="M75" s="6">
        <x:v>0</x:v>
      </x:c>
      <x:c r="N75" s="7">
        <x:f t="shared" si="2"/>
        <x:v>0</x:v>
      </x:c>
      <x:c r="O75" s="1" t="s">
        <x:v>167</x:v>
      </x:c>
      <x:c r="P75" s="1" t="s">
        <x:v>165</x:v>
      </x:c>
      <x:c r="Q75" s="1" t="s">
        <x:v>166</x:v>
      </x:c>
      <x:c r="R75" s="1" t="s">
        <x:v>387</x:v>
      </x:c>
      <x:c r="S75" s="1" t="s">
        <x:v>319</x:v>
      </x:c>
      <x:c r="T75" s="1" t="s">
        <x:v>329</x:v>
      </x:c>
    </x:row>
    <x:row r="76" ht="42">
      <x:c r="A76" s="1" t="s">
        <x:v>652</x:v>
      </x:c>
      <x:c r="B76" s="1" t="s">
        <x:v>189</x:v>
      </x:c>
      <x:c r="C76" s="1">
        <x:v>1</x:v>
      </x:c>
      <x:c r="D76" s="1" t="s">
        <x:v>333</x:v>
      </x:c>
      <x:c r="E76" s="1" t="s">
        <x:v>525</x:v>
      </x:c>
      <x:c r="F76" s="1" t="s">
        <x:v>402</x:v>
      </x:c>
      <x:c r="G76" s="1" t="s">
        <x:v>400</x:v>
      </x:c>
      <x:c r="H76" s="6">
        <x:v>20</x:v>
      </x:c>
      <x:c r="I76" s="6" t="s">
        <x:v>85</x:v>
      </x:c>
      <x:c r="J76" s="6">
        <x:v>20</x:v>
      </x:c>
      <x:c r="K76" s="6" t="s">
        <x:v>85</x:v>
      </x:c>
      <x:c r="L76" s="6" t="s">
        <x:v>386</x:v>
      </x:c>
      <x:c r="M76" s="6">
        <x:v>1</x:v>
      </x:c>
      <x:c r="N76" s="7">
        <x:f t="shared" si="2"/>
        <x:v>20</x:v>
      </x:c>
      <x:c r="O76" s="1" t="s">
        <x:v>167</x:v>
      </x:c>
      <x:c r="P76" s="1" t="s">
        <x:v>165</x:v>
      </x:c>
      <x:c r="Q76" s="1" t="s">
        <x:v>166</x:v>
      </x:c>
      <x:c r="R76" s="1" t="s">
        <x:v>387</x:v>
      </x:c>
      <x:c r="S76" s="1" t="s">
        <x:v>319</x:v>
      </x:c>
      <x:c r="T76" s="1" t="s">
        <x:v>388</x:v>
      </x:c>
    </x:row>
    <x:row r="77" ht="42">
      <x:c r="A77" s="1" t="s">
        <x:v>653</x:v>
      </x:c>
      <x:c r="B77" s="1" t="s">
        <x:v>189</x:v>
      </x:c>
      <x:c r="C77" s="1">
        <x:v>2</x:v>
      </x:c>
      <x:c r="D77" s="1" t="s">
        <x:v>533</x:v>
      </x:c>
      <x:c r="E77" s="1" t="s">
        <x:v>541</x:v>
      </x:c>
      <x:c r="F77" s="1" t="s">
        <x:v>598</x:v>
      </x:c>
      <x:c r="G77" s="1" t="s">
        <x:v>599</x:v>
      </x:c>
      <x:c r="H77" s="6">
        <x:v>10000</x:v>
      </x:c>
      <x:c r="I77" s="6" t="s">
        <x:v>600</x:v>
      </x:c>
      <x:c r="J77" s="6">
        <x:v>10000</x:v>
      </x:c>
      <x:c r="K77" s="6" t="s">
        <x:v>600</x:v>
      </x:c>
      <x:c r="L77" s="6" t="s">
        <x:v>601</x:v>
      </x:c>
      <x:c r="M77" s="6">
        <x:v>1</x:v>
      </x:c>
      <x:c r="N77" s="7">
        <x:f t="shared" si="2"/>
        <x:v>10000</x:v>
      </x:c>
      <x:c r="O77" s="1" t="s">
        <x:v>167</x:v>
      </x:c>
      <x:c r="P77" s="1" t="s">
        <x:v>165</x:v>
      </x:c>
      <x:c r="Q77" s="1" t="s">
        <x:v>166</x:v>
      </x:c>
      <x:c r="R77" s="1" t="s">
        <x:v>387</x:v>
      </x:c>
      <x:c r="S77" s="1" t="s">
        <x:v>319</x:v>
      </x:c>
      <x:c r="T77" s="1" t="s">
        <x:v>602</x:v>
      </x:c>
    </x:row>
    <x:row r="78" ht="42">
      <x:c r="A78" s="1" t="s">
        <x:v>654</x:v>
      </x:c>
      <x:c r="B78" s="1" t="s">
        <x:v>189</x:v>
      </x:c>
      <x:c r="C78" s="1">
        <x:v>99</x:v>
      </x:c>
      <x:c r="D78" s="1" t="s">
        <x:v>327</x:v>
      </x:c>
      <x:c r="E78" s="1" t="s">
        <x:v>525</x:v>
      </x:c>
      <x:c r="F78" s="1" t="s">
        <x:v>655</x:v>
      </x:c>
      <x:c r="G78" s="1" t="s">
        <x:v>647</x:v>
      </x:c>
      <x:c r="H78" s="6">
        <x:v>200000</x:v>
      </x:c>
      <x:c r="I78" s="6" t="s">
        <x:v>144</x:v>
      </x:c>
      <x:c r="J78" s="6">
        <x:v>200000</x:v>
      </x:c>
      <x:c r="K78" s="6" t="s">
        <x:v>144</x:v>
      </x:c>
      <x:c r="L78" s="6" t="s">
        <x:v>317</x:v>
      </x:c>
      <x:c r="M78" s="6">
        <x:v>0</x:v>
      </x:c>
      <x:c r="N78" s="7">
        <x:f t="shared" si="2"/>
        <x:v>0</x:v>
      </x:c>
      <x:c r="O78" s="1" t="s">
        <x:v>167</x:v>
      </x:c>
      <x:c r="P78" s="1" t="s">
        <x:v>165</x:v>
      </x:c>
      <x:c r="Q78" s="1" t="s">
        <x:v>166</x:v>
      </x:c>
      <x:c r="R78" s="1" t="s">
        <x:v>387</x:v>
      </x:c>
      <x:c r="S78" s="1" t="s">
        <x:v>319</x:v>
      </x:c>
      <x:c r="T78" s="1" t="s">
        <x:v>329</x:v>
      </x:c>
    </x:row>
    <x:row r="79" ht="42">
      <x:c r="A79" s="1" t="s">
        <x:v>656</x:v>
      </x:c>
      <x:c r="B79" s="1" t="s">
        <x:v>191</x:v>
      </x:c>
      <x:c r="C79" s="1">
        <x:v>1</x:v>
      </x:c>
      <x:c r="D79" s="1" t="s">
        <x:v>333</x:v>
      </x:c>
      <x:c r="E79" s="1" t="s">
        <x:v>525</x:v>
      </x:c>
      <x:c r="F79" s="1" t="s">
        <x:v>403</x:v>
      </x:c>
      <x:c r="G79" s="1" t="s">
        <x:v>404</x:v>
      </x:c>
      <x:c r="H79" s="6">
        <x:v>60</x:v>
      </x:c>
      <x:c r="I79" s="6" t="s">
        <x:v>85</x:v>
      </x:c>
      <x:c r="J79" s="6">
        <x:v>60</x:v>
      </x:c>
      <x:c r="K79" s="6" t="s">
        <x:v>85</x:v>
      </x:c>
      <x:c r="L79" s="6" t="s">
        <x:v>386</x:v>
      </x:c>
      <x:c r="M79" s="6">
        <x:v>1</x:v>
      </x:c>
      <x:c r="N79" s="7">
        <x:f t="shared" si="2"/>
        <x:v>60</x:v>
      </x:c>
      <x:c r="O79" s="1" t="s">
        <x:v>167</x:v>
      </x:c>
      <x:c r="P79" s="1" t="s">
        <x:v>165</x:v>
      </x:c>
      <x:c r="Q79" s="1" t="s">
        <x:v>166</x:v>
      </x:c>
      <x:c r="R79" s="1" t="s">
        <x:v>387</x:v>
      </x:c>
      <x:c r="S79" s="1" t="s">
        <x:v>319</x:v>
      </x:c>
      <x:c r="T79" s="1" t="s">
        <x:v>388</x:v>
      </x:c>
    </x:row>
    <x:row r="80" ht="42">
      <x:c r="A80" s="1" t="s">
        <x:v>657</x:v>
      </x:c>
      <x:c r="B80" s="1" t="s">
        <x:v>191</x:v>
      </x:c>
      <x:c r="C80" s="1">
        <x:v>2</x:v>
      </x:c>
      <x:c r="D80" s="1" t="s">
        <x:v>533</x:v>
      </x:c>
      <x:c r="E80" s="1" t="s">
        <x:v>541</x:v>
      </x:c>
      <x:c r="F80" s="1" t="s">
        <x:v>598</x:v>
      </x:c>
      <x:c r="G80" s="1" t="s">
        <x:v>599</x:v>
      </x:c>
      <x:c r="H80" s="6">
        <x:v>10000</x:v>
      </x:c>
      <x:c r="I80" s="6" t="s">
        <x:v>600</x:v>
      </x:c>
      <x:c r="J80" s="6">
        <x:v>10000</x:v>
      </x:c>
      <x:c r="K80" s="6" t="s">
        <x:v>600</x:v>
      </x:c>
      <x:c r="L80" s="6" t="s">
        <x:v>601</x:v>
      </x:c>
      <x:c r="M80" s="6">
        <x:v>1</x:v>
      </x:c>
      <x:c r="N80" s="7">
        <x:f t="shared" si="2"/>
        <x:v>10000</x:v>
      </x:c>
      <x:c r="O80" s="1" t="s">
        <x:v>167</x:v>
      </x:c>
      <x:c r="P80" s="1" t="s">
        <x:v>165</x:v>
      </x:c>
      <x:c r="Q80" s="1" t="s">
        <x:v>166</x:v>
      </x:c>
      <x:c r="R80" s="1" t="s">
        <x:v>387</x:v>
      </x:c>
      <x:c r="S80" s="1" t="s">
        <x:v>319</x:v>
      </x:c>
      <x:c r="T80" s="1" t="s">
        <x:v>602</x:v>
      </x:c>
    </x:row>
    <x:row r="81" ht="42">
      <x:c r="A81" s="1" t="s">
        <x:v>658</x:v>
      </x:c>
      <x:c r="B81" s="1" t="s">
        <x:v>191</x:v>
      </x:c>
      <x:c r="C81" s="1">
        <x:v>99</x:v>
      </x:c>
      <x:c r="D81" s="1" t="s">
        <x:v>327</x:v>
      </x:c>
      <x:c r="E81" s="1" t="s">
        <x:v>525</x:v>
      </x:c>
      <x:c r="F81" s="1" t="s">
        <x:v>659</x:v>
      </x:c>
      <x:c r="G81" s="1" t="s">
        <x:v>660</x:v>
      </x:c>
      <x:c r="H81" s="6">
        <x:v>600000</x:v>
      </x:c>
      <x:c r="I81" s="6" t="s">
        <x:v>144</x:v>
      </x:c>
      <x:c r="J81" s="6">
        <x:v>600000</x:v>
      </x:c>
      <x:c r="K81" s="6" t="s">
        <x:v>144</x:v>
      </x:c>
      <x:c r="L81" s="6" t="s">
        <x:v>317</x:v>
      </x:c>
      <x:c r="M81" s="6">
        <x:v>0</x:v>
      </x:c>
      <x:c r="N81" s="7">
        <x:f t="shared" si="2"/>
        <x:v>0</x:v>
      </x:c>
      <x:c r="O81" s="1" t="s">
        <x:v>167</x:v>
      </x:c>
      <x:c r="P81" s="1" t="s">
        <x:v>165</x:v>
      </x:c>
      <x:c r="Q81" s="1" t="s">
        <x:v>166</x:v>
      </x:c>
      <x:c r="R81" s="1" t="s">
        <x:v>387</x:v>
      </x:c>
      <x:c r="S81" s="1" t="s">
        <x:v>319</x:v>
      </x:c>
      <x:c r="T81" s="1" t="s">
        <x:v>329</x:v>
      </x:c>
    </x:row>
    <x:row r="82" ht="42">
      <x:c r="A82" s="1" t="s">
        <x:v>661</x:v>
      </x:c>
      <x:c r="B82" s="1" t="s">
        <x:v>193</x:v>
      </x:c>
      <x:c r="C82" s="1">
        <x:v>1</x:v>
      </x:c>
      <x:c r="D82" s="1" t="s">
        <x:v>454</x:v>
      </x:c>
      <x:c r="E82" s="1" t="s">
        <x:v>541</x:v>
      </x:c>
      <x:c r="F82" s="1" t="s">
        <x:v>183</x:v>
      </x:c>
      <x:c r="G82" s="1" t="s">
        <x:v>647</x:v>
      </x:c>
      <x:c r="H82" s="6">
        <x:v>200000</x:v>
      </x:c>
      <x:c r="I82" s="6" t="s">
        <x:v>144</x:v>
      </x:c>
      <x:c r="J82" s="6">
        <x:v>200000</x:v>
      </x:c>
      <x:c r="K82" s="6" t="s">
        <x:v>144</x:v>
      </x:c>
      <x:c r="L82" s="6" t="s">
        <x:v>632</x:v>
      </x:c>
      <x:c r="M82" s="6">
        <x:v>1</x:v>
      </x:c>
      <x:c r="N82" s="7">
        <x:f t="shared" si="2"/>
        <x:v>200000</x:v>
      </x:c>
      <x:c r="O82" s="1" t="s">
        <x:v>167</x:v>
      </x:c>
      <x:c r="P82" s="1" t="s">
        <x:v>165</x:v>
      </x:c>
      <x:c r="Q82" s="1" t="s">
        <x:v>166</x:v>
      </x:c>
      <x:c r="R82" s="1" t="s">
        <x:v>387</x:v>
      </x:c>
      <x:c r="S82" s="1" t="s">
        <x:v>319</x:v>
      </x:c>
      <x:c r="T82" s="1" t="s">
        <x:v>633</x:v>
      </x:c>
    </x:row>
    <x:row r="83" ht="42">
      <x:c r="A83" s="1" t="s">
        <x:v>662</x:v>
      </x:c>
      <x:c r="B83" s="1" t="s">
        <x:v>193</x:v>
      </x:c>
      <x:c r="C83" s="1">
        <x:v>2</x:v>
      </x:c>
      <x:c r="D83" s="1" t="s">
        <x:v>459</x:v>
      </x:c>
      <x:c r="E83" s="1" t="s">
        <x:v>541</x:v>
      </x:c>
      <x:c r="F83" s="1" t="s">
        <x:v>187</x:v>
      </x:c>
      <x:c r="G83" s="1" t="s">
        <x:v>647</x:v>
      </x:c>
      <x:c r="H83" s="6">
        <x:v>200000</x:v>
      </x:c>
      <x:c r="I83" s="6" t="s">
        <x:v>144</x:v>
      </x:c>
      <x:c r="J83" s="6">
        <x:v>200000</x:v>
      </x:c>
      <x:c r="K83" s="6" t="s">
        <x:v>144</x:v>
      </x:c>
      <x:c r="L83" s="6" t="s">
        <x:v>632</x:v>
      </x:c>
      <x:c r="M83" s="6">
        <x:v>1</x:v>
      </x:c>
      <x:c r="N83" s="7">
        <x:f t="shared" si="2"/>
        <x:v>200000</x:v>
      </x:c>
      <x:c r="O83" s="1" t="s">
        <x:v>167</x:v>
      </x:c>
      <x:c r="P83" s="1" t="s">
        <x:v>165</x:v>
      </x:c>
      <x:c r="Q83" s="1" t="s">
        <x:v>166</x:v>
      </x:c>
      <x:c r="R83" s="1" t="s">
        <x:v>387</x:v>
      </x:c>
      <x:c r="S83" s="1" t="s">
        <x:v>319</x:v>
      </x:c>
      <x:c r="T83" s="1" t="s">
        <x:v>633</x:v>
      </x:c>
    </x:row>
    <x:row r="84" ht="42">
      <x:c r="A84" s="1" t="s">
        <x:v>663</x:v>
      </x:c>
      <x:c r="B84" s="1" t="s">
        <x:v>193</x:v>
      </x:c>
      <x:c r="C84" s="1">
        <x:v>3</x:v>
      </x:c>
      <x:c r="D84" s="1" t="s">
        <x:v>636</x:v>
      </x:c>
      <x:c r="E84" s="1" t="s">
        <x:v>541</x:v>
      </x:c>
      <x:c r="F84" s="1" t="s">
        <x:v>189</x:v>
      </x:c>
      <x:c r="G84" s="1" t="s">
        <x:v>647</x:v>
      </x:c>
      <x:c r="H84" s="6">
        <x:v>200000</x:v>
      </x:c>
      <x:c r="I84" s="6" t="s">
        <x:v>144</x:v>
      </x:c>
      <x:c r="J84" s="6">
        <x:v>200000</x:v>
      </x:c>
      <x:c r="K84" s="6" t="s">
        <x:v>144</x:v>
      </x:c>
      <x:c r="L84" s="6" t="s">
        <x:v>632</x:v>
      </x:c>
      <x:c r="M84" s="6">
        <x:v>1</x:v>
      </x:c>
      <x:c r="N84" s="7">
        <x:f t="shared" si="2"/>
        <x:v>200000</x:v>
      </x:c>
      <x:c r="O84" s="1" t="s">
        <x:v>167</x:v>
      </x:c>
      <x:c r="P84" s="1" t="s">
        <x:v>165</x:v>
      </x:c>
      <x:c r="Q84" s="1" t="s">
        <x:v>166</x:v>
      </x:c>
      <x:c r="R84" s="1" t="s">
        <x:v>387</x:v>
      </x:c>
      <x:c r="S84" s="1" t="s">
        <x:v>319</x:v>
      </x:c>
      <x:c r="T84" s="1" t="s">
        <x:v>633</x:v>
      </x:c>
    </x:row>
    <x:row r="85" ht="42">
      <x:c r="A85" s="1" t="s">
        <x:v>664</x:v>
      </x:c>
      <x:c r="B85" s="1" t="s">
        <x:v>193</x:v>
      </x:c>
      <x:c r="C85" s="1">
        <x:v>4</x:v>
      </x:c>
      <x:c r="D85" s="1" t="s">
        <x:v>638</x:v>
      </x:c>
      <x:c r="E85" s="1" t="s">
        <x:v>541</x:v>
      </x:c>
      <x:c r="F85" s="1" t="s">
        <x:v>191</x:v>
      </x:c>
      <x:c r="G85" s="1" t="s">
        <x:v>660</x:v>
      </x:c>
      <x:c r="H85" s="6">
        <x:v>600000</x:v>
      </x:c>
      <x:c r="I85" s="6" t="s">
        <x:v>144</x:v>
      </x:c>
      <x:c r="J85" s="6">
        <x:v>600000</x:v>
      </x:c>
      <x:c r="K85" s="6" t="s">
        <x:v>144</x:v>
      </x:c>
      <x:c r="L85" s="6" t="s">
        <x:v>632</x:v>
      </x:c>
      <x:c r="M85" s="6">
        <x:v>1</x:v>
      </x:c>
      <x:c r="N85" s="7">
        <x:f t="shared" si="2"/>
        <x:v>600000</x:v>
      </x:c>
      <x:c r="O85" s="1" t="s">
        <x:v>167</x:v>
      </x:c>
      <x:c r="P85" s="1" t="s">
        <x:v>165</x:v>
      </x:c>
      <x:c r="Q85" s="1" t="s">
        <x:v>166</x:v>
      </x:c>
      <x:c r="R85" s="1" t="s">
        <x:v>387</x:v>
      </x:c>
      <x:c r="S85" s="1" t="s">
        <x:v>319</x:v>
      </x:c>
      <x:c r="T85" s="1" t="s">
        <x:v>633</x:v>
      </x:c>
    </x:row>
    <x:row r="86" ht="42">
      <x:c r="A86" s="1" t="s">
        <x:v>665</x:v>
      </x:c>
      <x:c r="B86" s="1" t="s">
        <x:v>195</x:v>
      </x:c>
      <x:c r="C86" s="1">
        <x:v>1</x:v>
      </x:c>
      <x:c r="D86" s="1" t="s">
        <x:v>406</x:v>
      </x:c>
      <x:c r="E86" s="1" t="s">
        <x:v>525</x:v>
      </x:c>
      <x:c r="F86" s="1" t="s">
        <x:v>405</x:v>
      </x:c>
      <x:c r="G86" s="1" t="s">
        <x:v>407</x:v>
      </x:c>
      <x:c r="H86" s="6">
        <x:v>515000</x:v>
      </x:c>
      <x:c r="I86" s="6" t="s">
        <x:v>144</x:v>
      </x:c>
      <x:c r="J86" s="6">
        <x:v>515000</x:v>
      </x:c>
      <x:c r="K86" s="6" t="s">
        <x:v>144</x:v>
      </x:c>
      <x:c r="L86" s="6" t="s">
        <x:v>317</x:v>
      </x:c>
      <x:c r="M86" s="6">
        <x:v>1</x:v>
      </x:c>
      <x:c r="N86" s="7">
        <x:f t="shared" si="2"/>
        <x:v>515000</x:v>
      </x:c>
      <x:c r="O86" s="1" t="s">
        <x:v>167</x:v>
      </x:c>
      <x:c r="P86" s="1" t="s">
        <x:v>165</x:v>
      </x:c>
      <x:c r="Q86" s="1" t="s">
        <x:v>166</x:v>
      </x:c>
      <x:c r="R86" s="1" t="s">
        <x:v>387</x:v>
      </x:c>
      <x:c r="S86" s="1" t="s">
        <x:v>319</x:v>
      </x:c>
      <x:c r="T86" s="1" t="s">
        <x:v>408</x:v>
      </x:c>
    </x:row>
    <x:row r="87" ht="42">
      <x:c r="A87" s="1" t="s">
        <x:v>666</x:v>
      </x:c>
      <x:c r="B87" s="1" t="s">
        <x:v>195</x:v>
      </x:c>
      <x:c r="C87" s="1">
        <x:v>2</x:v>
      </x:c>
      <x:c r="D87" s="1" t="s">
        <x:v>410</x:v>
      </x:c>
      <x:c r="E87" s="1" t="s">
        <x:v>525</x:v>
      </x:c>
      <x:c r="F87" s="1" t="s">
        <x:v>409</x:v>
      </x:c>
      <x:c r="G87" s="1" t="s">
        <x:v>411</x:v>
      </x:c>
      <x:c r="H87" s="6">
        <x:v>180250</x:v>
      </x:c>
      <x:c r="I87" s="6" t="s">
        <x:v>144</x:v>
      </x:c>
      <x:c r="J87" s="6">
        <x:v>180250</x:v>
      </x:c>
      <x:c r="K87" s="6" t="s">
        <x:v>144</x:v>
      </x:c>
      <x:c r="L87" s="6" t="s">
        <x:v>317</x:v>
      </x:c>
      <x:c r="M87" s="6">
        <x:v>1</x:v>
      </x:c>
      <x:c r="N87" s="7">
        <x:f t="shared" si="2"/>
        <x:v>180250</x:v>
      </x:c>
      <x:c r="O87" s="1" t="s">
        <x:v>167</x:v>
      </x:c>
      <x:c r="P87" s="1" t="s">
        <x:v>165</x:v>
      </x:c>
      <x:c r="Q87" s="1" t="s">
        <x:v>166</x:v>
      </x:c>
      <x:c r="R87" s="1" t="s">
        <x:v>387</x:v>
      </x:c>
      <x:c r="S87" s="1" t="s">
        <x:v>319</x:v>
      </x:c>
      <x:c r="T87" s="1" t="s">
        <x:v>412</x:v>
      </x:c>
    </x:row>
    <x:row r="88" ht="42">
      <x:c r="A88" s="1" t="s">
        <x:v>667</x:v>
      </x:c>
      <x:c r="B88" s="1" t="s">
        <x:v>195</x:v>
      </x:c>
      <x:c r="C88" s="1">
        <x:v>3</x:v>
      </x:c>
      <x:c r="D88" s="1" t="s">
        <x:v>414</x:v>
      </x:c>
      <x:c r="E88" s="1" t="s">
        <x:v>525</x:v>
      </x:c>
      <x:c r="F88" s="1" t="s">
        <x:v>413</x:v>
      </x:c>
      <x:c r="G88" s="1" t="s">
        <x:v>415</x:v>
      </x:c>
      <x:c r="H88" s="6">
        <x:v>94417</x:v>
      </x:c>
      <x:c r="I88" s="6" t="s">
        <x:v>144</x:v>
      </x:c>
      <x:c r="J88" s="6">
        <x:v>94417</x:v>
      </x:c>
      <x:c r="K88" s="6" t="s">
        <x:v>144</x:v>
      </x:c>
      <x:c r="L88" s="6" t="s">
        <x:v>317</x:v>
      </x:c>
      <x:c r="M88" s="6">
        <x:v>1</x:v>
      </x:c>
      <x:c r="N88" s="7">
        <x:f t="shared" si="2"/>
        <x:v>94417</x:v>
      </x:c>
      <x:c r="O88" s="1" t="s">
        <x:v>167</x:v>
      </x:c>
      <x:c r="P88" s="1" t="s">
        <x:v>165</x:v>
      </x:c>
      <x:c r="Q88" s="1" t="s">
        <x:v>166</x:v>
      </x:c>
      <x:c r="R88" s="1" t="s">
        <x:v>387</x:v>
      </x:c>
      <x:c r="S88" s="1" t="s">
        <x:v>319</x:v>
      </x:c>
      <x:c r="T88" s="1" t="s">
        <x:v>416</x:v>
      </x:c>
    </x:row>
    <x:row r="89" ht="42">
      <x:c r="A89" s="1" t="s">
        <x:v>668</x:v>
      </x:c>
      <x:c r="B89" s="1" t="s">
        <x:v>195</x:v>
      </x:c>
      <x:c r="C89" s="1">
        <x:v>4</x:v>
      </x:c>
      <x:c r="D89" s="1" t="s">
        <x:v>418</x:v>
      </x:c>
      <x:c r="E89" s="1" t="s">
        <x:v>525</x:v>
      </x:c>
      <x:c r="F89" s="1" t="s">
        <x:v>417</x:v>
      </x:c>
      <x:c r="G89" s="1" t="s">
        <x:v>419</x:v>
      </x:c>
      <x:c r="H89" s="6">
        <x:v>369083</x:v>
      </x:c>
      <x:c r="I89" s="6" t="s">
        <x:v>144</x:v>
      </x:c>
      <x:c r="J89" s="6">
        <x:v>369083</x:v>
      </x:c>
      <x:c r="K89" s="6" t="s">
        <x:v>144</x:v>
      </x:c>
      <x:c r="L89" s="6" t="s">
        <x:v>317</x:v>
      </x:c>
      <x:c r="M89" s="6">
        <x:v>1</x:v>
      </x:c>
      <x:c r="N89" s="7">
        <x:f t="shared" si="2"/>
        <x:v>369083</x:v>
      </x:c>
      <x:c r="O89" s="1" t="s">
        <x:v>167</x:v>
      </x:c>
      <x:c r="P89" s="1" t="s">
        <x:v>165</x:v>
      </x:c>
      <x:c r="Q89" s="1" t="s">
        <x:v>166</x:v>
      </x:c>
      <x:c r="R89" s="1" t="s">
        <x:v>387</x:v>
      </x:c>
      <x:c r="S89" s="1" t="s">
        <x:v>319</x:v>
      </x:c>
      <x:c r="T89" s="1" t="s">
        <x:v>420</x:v>
      </x:c>
    </x:row>
    <x:row r="90" ht="42">
      <x:c r="A90" s="1" t="s">
        <x:v>669</x:v>
      </x:c>
      <x:c r="B90" s="1" t="s">
        <x:v>195</x:v>
      </x:c>
      <x:c r="C90" s="1">
        <x:v>99</x:v>
      </x:c>
      <x:c r="D90" s="1" t="s">
        <x:v>327</x:v>
      </x:c>
      <x:c r="E90" s="1" t="s">
        <x:v>525</x:v>
      </x:c>
      <x:c r="F90" s="1" t="s">
        <x:v>196</x:v>
      </x:c>
      <x:c r="G90" s="1" t="s">
        <x:v>421</x:v>
      </x:c>
      <x:c r="H90" s="6">
        <x:v>1158750</x:v>
      </x:c>
      <x:c r="I90" s="6" t="s">
        <x:v>144</x:v>
      </x:c>
      <x:c r="J90" s="6">
        <x:v>1158750</x:v>
      </x:c>
      <x:c r="K90" s="6" t="s">
        <x:v>144</x:v>
      </x:c>
      <x:c r="L90" s="6" t="s">
        <x:v>317</x:v>
      </x:c>
      <x:c r="M90" s="6">
        <x:v>0</x:v>
      </x:c>
      <x:c r="N90" s="7">
        <x:f t="shared" si="2"/>
        <x:v>0</x:v>
      </x:c>
      <x:c r="O90" s="1" t="s">
        <x:v>167</x:v>
      </x:c>
      <x:c r="P90" s="1" t="s">
        <x:v>165</x:v>
      </x:c>
      <x:c r="Q90" s="1" t="s">
        <x:v>166</x:v>
      </x:c>
      <x:c r="R90" s="1" t="s">
        <x:v>387</x:v>
      </x:c>
      <x:c r="S90" s="1" t="s">
        <x:v>319</x:v>
      </x:c>
      <x:c r="T90" s="1" t="s">
        <x:v>329</x:v>
      </x:c>
    </x:row>
    <x:row r="91" ht="42">
      <x:c r="A91" s="1" t="s">
        <x:v>670</x:v>
      </x:c>
      <x:c r="B91" s="1" t="s">
        <x:v>200</x:v>
      </x:c>
      <x:c r="C91" s="1">
        <x:v>1</x:v>
      </x:c>
      <x:c r="D91" s="1" t="s">
        <x:v>406</x:v>
      </x:c>
      <x:c r="E91" s="1" t="s">
        <x:v>525</x:v>
      </x:c>
      <x:c r="F91" s="1" t="s">
        <x:v>422</x:v>
      </x:c>
      <x:c r="G91" s="1" t="s">
        <x:v>423</x:v>
      </x:c>
      <x:c r="H91" s="6">
        <x:v>1500</x:v>
      </x:c>
      <x:c r="I91" s="6" t="s">
        <x:v>85</x:v>
      </x:c>
      <x:c r="J91" s="6">
        <x:v>1500</x:v>
      </x:c>
      <x:c r="K91" s="6" t="s">
        <x:v>85</x:v>
      </x:c>
      <x:c r="L91" s="6" t="s">
        <x:v>317</x:v>
      </x:c>
      <x:c r="M91" s="6">
        <x:v>1</x:v>
      </x:c>
      <x:c r="N91" s="7">
        <x:f t="shared" si="2"/>
        <x:v>1500</x:v>
      </x:c>
      <x:c r="O91" s="1" t="s">
        <x:v>167</x:v>
      </x:c>
      <x:c r="P91" s="1" t="s">
        <x:v>165</x:v>
      </x:c>
      <x:c r="Q91" s="1" t="s">
        <x:v>166</x:v>
      </x:c>
      <x:c r="R91" s="1" t="s">
        <x:v>387</x:v>
      </x:c>
      <x:c r="S91" s="1" t="s">
        <x:v>319</x:v>
      </x:c>
      <x:c r="T91" s="1" t="s">
        <x:v>408</x:v>
      </x:c>
    </x:row>
    <x:row r="92" ht="42">
      <x:c r="A92" s="1" t="s">
        <x:v>671</x:v>
      </x:c>
      <x:c r="B92" s="1" t="s">
        <x:v>200</x:v>
      </x:c>
      <x:c r="C92" s="1">
        <x:v>2</x:v>
      </x:c>
      <x:c r="D92" s="1" t="s">
        <x:v>410</x:v>
      </x:c>
      <x:c r="E92" s="1" t="s">
        <x:v>525</x:v>
      </x:c>
      <x:c r="F92" s="1" t="s">
        <x:v>424</x:v>
      </x:c>
      <x:c r="G92" s="1" t="s">
        <x:v>425</x:v>
      </x:c>
      <x:c r="H92" s="6">
        <x:v>524.99940000000004</x:v>
      </x:c>
      <x:c r="I92" s="6" t="s">
        <x:v>85</x:v>
      </x:c>
      <x:c r="J92" s="6">
        <x:v>524.99940000000004</x:v>
      </x:c>
      <x:c r="K92" s="6" t="s">
        <x:v>85</x:v>
      </x:c>
      <x:c r="L92" s="6" t="s">
        <x:v>317</x:v>
      </x:c>
      <x:c r="M92" s="6">
        <x:v>1</x:v>
      </x:c>
      <x:c r="N92" s="7">
        <x:f t="shared" si="2"/>
        <x:v>524.99940000000004</x:v>
      </x:c>
      <x:c r="O92" s="1" t="s">
        <x:v>167</x:v>
      </x:c>
      <x:c r="P92" s="1" t="s">
        <x:v>165</x:v>
      </x:c>
      <x:c r="Q92" s="1" t="s">
        <x:v>166</x:v>
      </x:c>
      <x:c r="R92" s="1" t="s">
        <x:v>387</x:v>
      </x:c>
      <x:c r="S92" s="1" t="s">
        <x:v>319</x:v>
      </x:c>
      <x:c r="T92" s="1" t="s">
        <x:v>412</x:v>
      </x:c>
    </x:row>
    <x:row r="93" ht="42">
      <x:c r="A93" s="1" t="s">
        <x:v>672</x:v>
      </x:c>
      <x:c r="B93" s="1" t="s">
        <x:v>200</x:v>
      </x:c>
      <x:c r="C93" s="1">
        <x:v>3</x:v>
      </x:c>
      <x:c r="D93" s="1" t="s">
        <x:v>414</x:v>
      </x:c>
      <x:c r="E93" s="1" t="s">
        <x:v>525</x:v>
      </x:c>
      <x:c r="F93" s="1" t="s">
        <x:v>426</x:v>
      </x:c>
      <x:c r="G93" s="1" t="s">
        <x:v>427</x:v>
      </x:c>
      <x:c r="H93" s="6">
        <x:v>275.00599999999997</x:v>
      </x:c>
      <x:c r="I93" s="6" t="s">
        <x:v>85</x:v>
      </x:c>
      <x:c r="J93" s="6">
        <x:v>275.00599999999997</x:v>
      </x:c>
      <x:c r="K93" s="6" t="s">
        <x:v>85</x:v>
      </x:c>
      <x:c r="L93" s="6" t="s">
        <x:v>317</x:v>
      </x:c>
      <x:c r="M93" s="6">
        <x:v>1</x:v>
      </x:c>
      <x:c r="N93" s="7">
        <x:f t="shared" si="2"/>
        <x:v>275.00599999999997</x:v>
      </x:c>
      <x:c r="O93" s="1" t="s">
        <x:v>167</x:v>
      </x:c>
      <x:c r="P93" s="1" t="s">
        <x:v>165</x:v>
      </x:c>
      <x:c r="Q93" s="1" t="s">
        <x:v>166</x:v>
      </x:c>
      <x:c r="R93" s="1" t="s">
        <x:v>387</x:v>
      </x:c>
      <x:c r="S93" s="1" t="s">
        <x:v>319</x:v>
      </x:c>
      <x:c r="T93" s="1" t="s">
        <x:v>416</x:v>
      </x:c>
    </x:row>
    <x:row r="94" ht="42">
      <x:c r="A94" s="1" t="s">
        <x:v>673</x:v>
      </x:c>
      <x:c r="B94" s="1" t="s">
        <x:v>200</x:v>
      </x:c>
      <x:c r="C94" s="1">
        <x:v>4</x:v>
      </x:c>
      <x:c r="D94" s="1" t="s">
        <x:v>418</x:v>
      </x:c>
      <x:c r="E94" s="1" t="s">
        <x:v>525</x:v>
      </x:c>
      <x:c r="F94" s="1" t="s">
        <x:v>428</x:v>
      </x:c>
      <x:c r="G94" s="1" t="s">
        <x:v>429</x:v>
      </x:c>
      <x:c r="H94" s="6">
        <x:v>1075</x:v>
      </x:c>
      <x:c r="I94" s="6" t="s">
        <x:v>85</x:v>
      </x:c>
      <x:c r="J94" s="6">
        <x:v>1075</x:v>
      </x:c>
      <x:c r="K94" s="6" t="s">
        <x:v>85</x:v>
      </x:c>
      <x:c r="L94" s="6" t="s">
        <x:v>317</x:v>
      </x:c>
      <x:c r="M94" s="6">
        <x:v>1</x:v>
      </x:c>
      <x:c r="N94" s="7">
        <x:f t="shared" si="2"/>
        <x:v>1075</x:v>
      </x:c>
      <x:c r="O94" s="1" t="s">
        <x:v>167</x:v>
      </x:c>
      <x:c r="P94" s="1" t="s">
        <x:v>165</x:v>
      </x:c>
      <x:c r="Q94" s="1" t="s">
        <x:v>166</x:v>
      </x:c>
      <x:c r="R94" s="1" t="s">
        <x:v>387</x:v>
      </x:c>
      <x:c r="S94" s="1" t="s">
        <x:v>319</x:v>
      </x:c>
      <x:c r="T94" s="1" t="s">
        <x:v>420</x:v>
      </x:c>
    </x:row>
    <x:row r="95" ht="42">
      <x:c r="A95" s="1" t="s">
        <x:v>674</x:v>
      </x:c>
      <x:c r="B95" s="1" t="s">
        <x:v>200</x:v>
      </x:c>
      <x:c r="C95" s="1">
        <x:v>99</x:v>
      </x:c>
      <x:c r="D95" s="1" t="s">
        <x:v>327</x:v>
      </x:c>
      <x:c r="E95" s="1" t="s">
        <x:v>525</x:v>
      </x:c>
      <x:c r="F95" s="1" t="s">
        <x:v>196</x:v>
      </x:c>
      <x:c r="G95" s="1" t="s">
        <x:v>675</x:v>
      </x:c>
      <x:c r="H95" s="6">
        <x:v>3375.0054</x:v>
      </x:c>
      <x:c r="I95" s="6" t="s">
        <x:v>85</x:v>
      </x:c>
      <x:c r="J95" s="6">
        <x:v>3375.0054</x:v>
      </x:c>
      <x:c r="K95" s="6" t="s">
        <x:v>85</x:v>
      </x:c>
      <x:c r="L95" s="6" t="s">
        <x:v>317</x:v>
      </x:c>
      <x:c r="M95" s="6">
        <x:v>0</x:v>
      </x:c>
      <x:c r="N95" s="7">
        <x:f t="shared" si="2"/>
        <x:v>0</x:v>
      </x:c>
      <x:c r="O95" s="1" t="s">
        <x:v>167</x:v>
      </x:c>
      <x:c r="P95" s="1" t="s">
        <x:v>165</x:v>
      </x:c>
      <x:c r="Q95" s="1" t="s">
        <x:v>166</x:v>
      </x:c>
      <x:c r="R95" s="1" t="s">
        <x:v>387</x:v>
      </x:c>
      <x:c r="S95" s="1" t="s">
        <x:v>319</x:v>
      </x:c>
      <x:c r="T95" s="1" t="s">
        <x:v>329</x:v>
      </x:c>
    </x:row>
    <x:row r="96" ht="42">
      <x:c r="A96" s="1" t="s">
        <x:v>676</x:v>
      </x:c>
      <x:c r="B96" s="1" t="s">
        <x:v>204</x:v>
      </x:c>
      <x:c r="C96" s="1">
        <x:v>1</x:v>
      </x:c>
      <x:c r="D96" s="1" t="s">
        <x:v>380</x:v>
      </x:c>
      <x:c r="E96" s="1" t="s">
        <x:v>525</x:v>
      </x:c>
      <x:c r="F96" s="1" t="s">
        <x:v>422</x:v>
      </x:c>
      <x:c r="G96" s="1" t="s">
        <x:v>423</x:v>
      </x:c>
      <x:c r="H96" s="6">
        <x:v>1500</x:v>
      </x:c>
      <x:c r="I96" s="6" t="s">
        <x:v>85</x:v>
      </x:c>
      <x:c r="J96" s="6">
        <x:v>1500</x:v>
      </x:c>
      <x:c r="K96" s="6" t="s">
        <x:v>85</x:v>
      </x:c>
      <x:c r="L96" s="6" t="s">
        <x:v>382</x:v>
      </x:c>
      <x:c r="M96" s="6">
        <x:v>1</x:v>
      </x:c>
      <x:c r="N96" s="7">
        <x:f t="shared" si="2"/>
        <x:v>1500</x:v>
      </x:c>
      <x:c r="O96" s="1" t="s">
        <x:v>167</x:v>
      </x:c>
      <x:c r="P96" s="1" t="s">
        <x:v>165</x:v>
      </x:c>
      <x:c r="Q96" s="1" t="s">
        <x:v>166</x:v>
      </x:c>
      <x:c r="R96" s="1" t="s">
        <x:v>387</x:v>
      </x:c>
      <x:c r="S96" s="1" t="s">
        <x:v>319</x:v>
      </x:c>
      <x:c r="T96" s="1" t="s">
        <x:v>383</x:v>
      </x:c>
    </x:row>
    <x:row r="97" ht="42">
      <x:c r="A97" s="1" t="s">
        <x:v>677</x:v>
      </x:c>
      <x:c r="B97" s="1" t="s">
        <x:v>204</x:v>
      </x:c>
      <x:c r="C97" s="1">
        <x:v>2</x:v>
      </x:c>
      <x:c r="D97" s="1" t="s">
        <x:v>441</x:v>
      </x:c>
      <x:c r="E97" s="1" t="s">
        <x:v>525</x:v>
      </x:c>
      <x:c r="F97" s="1" t="s">
        <x:v>405</x:v>
      </x:c>
      <x:c r="G97" s="1" t="s">
        <x:v>407</x:v>
      </x:c>
      <x:c r="H97" s="6">
        <x:v>515000</x:v>
      </x:c>
      <x:c r="I97" s="6" t="s">
        <x:v>144</x:v>
      </x:c>
      <x:c r="J97" s="6">
        <x:v>515000</x:v>
      </x:c>
      <x:c r="K97" s="6" t="s">
        <x:v>144</x:v>
      </x:c>
      <x:c r="L97" s="6" t="s">
        <x:v>317</x:v>
      </x:c>
      <x:c r="M97" s="6">
        <x:v>1</x:v>
      </x:c>
      <x:c r="N97" s="7">
        <x:f t="shared" si="2"/>
        <x:v>515000</x:v>
      </x:c>
      <x:c r="O97" s="1" t="s">
        <x:v>167</x:v>
      </x:c>
      <x:c r="P97" s="1" t="s">
        <x:v>165</x:v>
      </x:c>
      <x:c r="Q97" s="1" t="s">
        <x:v>166</x:v>
      </x:c>
      <x:c r="R97" s="1" t="s">
        <x:v>387</x:v>
      </x:c>
      <x:c r="S97" s="1" t="s">
        <x:v>319</x:v>
      </x:c>
      <x:c r="T97" s="1" t="s">
        <x:v>595</x:v>
      </x:c>
    </x:row>
    <x:row r="98" ht="42">
      <x:c r="A98" s="1" t="s">
        <x:v>678</x:v>
      </x:c>
      <x:c r="B98" s="1" t="s">
        <x:v>204</x:v>
      </x:c>
      <x:c r="C98" s="1">
        <x:v>99</x:v>
      </x:c>
      <x:c r="D98" s="1" t="s">
        <x:v>327</x:v>
      </x:c>
      <x:c r="E98" s="1" t="s">
        <x:v>525</x:v>
      </x:c>
      <x:c r="F98" s="1" t="s">
        <x:v>430</x:v>
      </x:c>
      <x:c r="G98" s="1" t="s">
        <x:v>431</x:v>
      </x:c>
      <x:c r="H98" s="6">
        <x:v>29.13</x:v>
      </x:c>
      <x:c r="I98" s="6" t="s">
        <x:v>157</x:v>
      </x:c>
      <x:c r="J98" s="6">
        <x:v>29.13</x:v>
      </x:c>
      <x:c r="K98" s="6" t="s">
        <x:v>157</x:v>
      </x:c>
      <x:c r="L98" s="6" t="s">
        <x:v>317</x:v>
      </x:c>
      <x:c r="M98" s="6">
        <x:v>0</x:v>
      </x:c>
      <x:c r="N98" s="7">
        <x:f t="shared" si="2"/>
        <x:v>0</x:v>
      </x:c>
      <x:c r="O98" s="1" t="s">
        <x:v>167</x:v>
      </x:c>
      <x:c r="P98" s="1" t="s">
        <x:v>165</x:v>
      </x:c>
      <x:c r="Q98" s="1" t="s">
        <x:v>166</x:v>
      </x:c>
      <x:c r="R98" s="1" t="s">
        <x:v>387</x:v>
      </x:c>
      <x:c r="S98" s="1" t="s">
        <x:v>319</x:v>
      </x:c>
      <x:c r="T98" s="1" t="s">
        <x:v>329</x:v>
      </x:c>
    </x:row>
    <x:row r="99" ht="42">
      <x:c r="A99" s="1" t="s">
        <x:v>679</x:v>
      </x:c>
      <x:c r="B99" s="1" t="s">
        <x:v>208</x:v>
      </x:c>
      <x:c r="C99" s="1">
        <x:v>1</x:v>
      </x:c>
      <x:c r="D99" s="1" t="s">
        <x:v>380</x:v>
      </x:c>
      <x:c r="E99" s="1" t="s">
        <x:v>525</x:v>
      </x:c>
      <x:c r="F99" s="1" t="s">
        <x:v>424</x:v>
      </x:c>
      <x:c r="G99" s="1" t="s">
        <x:v>425</x:v>
      </x:c>
      <x:c r="H99" s="6">
        <x:v>524.99940000000004</x:v>
      </x:c>
      <x:c r="I99" s="6" t="s">
        <x:v>85</x:v>
      </x:c>
      <x:c r="J99" s="6">
        <x:v>524.99940000000004</x:v>
      </x:c>
      <x:c r="K99" s="6" t="s">
        <x:v>85</x:v>
      </x:c>
      <x:c r="L99" s="6" t="s">
        <x:v>382</x:v>
      </x:c>
      <x:c r="M99" s="6">
        <x:v>1</x:v>
      </x:c>
      <x:c r="N99" s="7">
        <x:f t="shared" si="2"/>
        <x:v>524.99940000000004</x:v>
      </x:c>
      <x:c r="O99" s="1" t="s">
        <x:v>167</x:v>
      </x:c>
      <x:c r="P99" s="1" t="s">
        <x:v>165</x:v>
      </x:c>
      <x:c r="Q99" s="1" t="s">
        <x:v>166</x:v>
      </x:c>
      <x:c r="R99" s="1" t="s">
        <x:v>387</x:v>
      </x:c>
      <x:c r="S99" s="1" t="s">
        <x:v>319</x:v>
      </x:c>
      <x:c r="T99" s="1" t="s">
        <x:v>383</x:v>
      </x:c>
    </x:row>
    <x:row r="100" ht="42">
      <x:c r="A100" s="1" t="s">
        <x:v>680</x:v>
      </x:c>
      <x:c r="B100" s="1" t="s">
        <x:v>208</x:v>
      </x:c>
      <x:c r="C100" s="1">
        <x:v>2</x:v>
      </x:c>
      <x:c r="D100" s="1" t="s">
        <x:v>441</x:v>
      </x:c>
      <x:c r="E100" s="1" t="s">
        <x:v>525</x:v>
      </x:c>
      <x:c r="F100" s="1" t="s">
        <x:v>409</x:v>
      </x:c>
      <x:c r="G100" s="1" t="s">
        <x:v>411</x:v>
      </x:c>
      <x:c r="H100" s="6">
        <x:v>180250</x:v>
      </x:c>
      <x:c r="I100" s="6" t="s">
        <x:v>144</x:v>
      </x:c>
      <x:c r="J100" s="6">
        <x:v>180250</x:v>
      </x:c>
      <x:c r="K100" s="6" t="s">
        <x:v>144</x:v>
      </x:c>
      <x:c r="L100" s="6" t="s">
        <x:v>317</x:v>
      </x:c>
      <x:c r="M100" s="6">
        <x:v>1</x:v>
      </x:c>
      <x:c r="N100" s="7" t="n">
        <x:f t="shared" ref="N100:N131" si="3">J100*M100</x:f>
        <x:v>180250</x:v>
      </x:c>
      <x:c r="O100" s="1" t="s">
        <x:v>167</x:v>
      </x:c>
      <x:c r="P100" s="1" t="s">
        <x:v>165</x:v>
      </x:c>
      <x:c r="Q100" s="1" t="s">
        <x:v>166</x:v>
      </x:c>
      <x:c r="R100" s="1" t="s">
        <x:v>387</x:v>
      </x:c>
      <x:c r="S100" s="1" t="s">
        <x:v>319</x:v>
      </x:c>
      <x:c r="T100" s="1" t="s">
        <x:v>595</x:v>
      </x:c>
    </x:row>
    <x:row r="101" ht="42">
      <x:c r="A101" s="1" t="s">
        <x:v>681</x:v>
      </x:c>
      <x:c r="B101" s="1" t="s">
        <x:v>208</x:v>
      </x:c>
      <x:c r="C101" s="1">
        <x:v>99</x:v>
      </x:c>
      <x:c r="D101" s="1" t="s">
        <x:v>327</x:v>
      </x:c>
      <x:c r="E101" s="1" t="s">
        <x:v>525</x:v>
      </x:c>
      <x:c r="F101" s="1" t="s">
        <x:v>430</x:v>
      </x:c>
      <x:c r="G101" s="1" t="s">
        <x:v>431</x:v>
      </x:c>
      <x:c r="H101" s="6">
        <x:v>29.13</x:v>
      </x:c>
      <x:c r="I101" s="6" t="s">
        <x:v>157</x:v>
      </x:c>
      <x:c r="J101" s="6">
        <x:v>29.13</x:v>
      </x:c>
      <x:c r="K101" s="6" t="s">
        <x:v>157</x:v>
      </x:c>
      <x:c r="L101" s="6" t="s">
        <x:v>317</x:v>
      </x:c>
      <x:c r="M101" s="6">
        <x:v>0</x:v>
      </x:c>
      <x:c r="N101" s="7">
        <x:f t="shared" si="3"/>
        <x:v>0</x:v>
      </x:c>
      <x:c r="O101" s="1" t="s">
        <x:v>167</x:v>
      </x:c>
      <x:c r="P101" s="1" t="s">
        <x:v>165</x:v>
      </x:c>
      <x:c r="Q101" s="1" t="s">
        <x:v>166</x:v>
      </x:c>
      <x:c r="R101" s="1" t="s">
        <x:v>387</x:v>
      </x:c>
      <x:c r="S101" s="1" t="s">
        <x:v>319</x:v>
      </x:c>
      <x:c r="T101" s="1" t="s">
        <x:v>329</x:v>
      </x:c>
    </x:row>
    <x:row r="102" ht="42">
      <x:c r="A102" s="1" t="s">
        <x:v>682</x:v>
      </x:c>
      <x:c r="B102" s="1" t="s">
        <x:v>210</x:v>
      </x:c>
      <x:c r="C102" s="1">
        <x:v>1</x:v>
      </x:c>
      <x:c r="D102" s="1" t="s">
        <x:v>380</x:v>
      </x:c>
      <x:c r="E102" s="1" t="s">
        <x:v>525</x:v>
      </x:c>
      <x:c r="F102" s="1" t="s">
        <x:v>426</x:v>
      </x:c>
      <x:c r="G102" s="1" t="s">
        <x:v>427</x:v>
      </x:c>
      <x:c r="H102" s="6">
        <x:v>275.00599999999997</x:v>
      </x:c>
      <x:c r="I102" s="6" t="s">
        <x:v>85</x:v>
      </x:c>
      <x:c r="J102" s="6">
        <x:v>275.00599999999997</x:v>
      </x:c>
      <x:c r="K102" s="6" t="s">
        <x:v>85</x:v>
      </x:c>
      <x:c r="L102" s="6" t="s">
        <x:v>382</x:v>
      </x:c>
      <x:c r="M102" s="6">
        <x:v>1</x:v>
      </x:c>
      <x:c r="N102" s="7">
        <x:f t="shared" si="3"/>
        <x:v>275.00599999999997</x:v>
      </x:c>
      <x:c r="O102" s="1" t="s">
        <x:v>167</x:v>
      </x:c>
      <x:c r="P102" s="1" t="s">
        <x:v>165</x:v>
      </x:c>
      <x:c r="Q102" s="1" t="s">
        <x:v>166</x:v>
      </x:c>
      <x:c r="R102" s="1" t="s">
        <x:v>387</x:v>
      </x:c>
      <x:c r="S102" s="1" t="s">
        <x:v>319</x:v>
      </x:c>
      <x:c r="T102" s="1" t="s">
        <x:v>383</x:v>
      </x:c>
    </x:row>
    <x:row r="103" ht="42">
      <x:c r="A103" s="1" t="s">
        <x:v>683</x:v>
      </x:c>
      <x:c r="B103" s="1" t="s">
        <x:v>210</x:v>
      </x:c>
      <x:c r="C103" s="1">
        <x:v>2</x:v>
      </x:c>
      <x:c r="D103" s="1" t="s">
        <x:v>441</x:v>
      </x:c>
      <x:c r="E103" s="1" t="s">
        <x:v>525</x:v>
      </x:c>
      <x:c r="F103" s="1" t="s">
        <x:v>413</x:v>
      </x:c>
      <x:c r="G103" s="1" t="s">
        <x:v>415</x:v>
      </x:c>
      <x:c r="H103" s="6">
        <x:v>94417</x:v>
      </x:c>
      <x:c r="I103" s="6" t="s">
        <x:v>144</x:v>
      </x:c>
      <x:c r="J103" s="6">
        <x:v>94417</x:v>
      </x:c>
      <x:c r="K103" s="6" t="s">
        <x:v>144</x:v>
      </x:c>
      <x:c r="L103" s="6" t="s">
        <x:v>317</x:v>
      </x:c>
      <x:c r="M103" s="6">
        <x:v>1</x:v>
      </x:c>
      <x:c r="N103" s="7">
        <x:f t="shared" si="3"/>
        <x:v>94417</x:v>
      </x:c>
      <x:c r="O103" s="1" t="s">
        <x:v>167</x:v>
      </x:c>
      <x:c r="P103" s="1" t="s">
        <x:v>165</x:v>
      </x:c>
      <x:c r="Q103" s="1" t="s">
        <x:v>166</x:v>
      </x:c>
      <x:c r="R103" s="1" t="s">
        <x:v>387</x:v>
      </x:c>
      <x:c r="S103" s="1" t="s">
        <x:v>319</x:v>
      </x:c>
      <x:c r="T103" s="1" t="s">
        <x:v>595</x:v>
      </x:c>
    </x:row>
    <x:row r="104" ht="42">
      <x:c r="A104" s="1" t="s">
        <x:v>684</x:v>
      </x:c>
      <x:c r="B104" s="1" t="s">
        <x:v>210</x:v>
      </x:c>
      <x:c r="C104" s="1">
        <x:v>99</x:v>
      </x:c>
      <x:c r="D104" s="1" t="s">
        <x:v>327</x:v>
      </x:c>
      <x:c r="E104" s="1" t="s">
        <x:v>525</x:v>
      </x:c>
      <x:c r="F104" s="1" t="s">
        <x:v>430</x:v>
      </x:c>
      <x:c r="G104" s="1" t="s">
        <x:v>431</x:v>
      </x:c>
      <x:c r="H104" s="6">
        <x:v>29.13</x:v>
      </x:c>
      <x:c r="I104" s="6" t="s">
        <x:v>157</x:v>
      </x:c>
      <x:c r="J104" s="6">
        <x:v>29.13</x:v>
      </x:c>
      <x:c r="K104" s="6" t="s">
        <x:v>157</x:v>
      </x:c>
      <x:c r="L104" s="6" t="s">
        <x:v>317</x:v>
      </x:c>
      <x:c r="M104" s="6">
        <x:v>0</x:v>
      </x:c>
      <x:c r="N104" s="7">
        <x:f t="shared" si="3"/>
        <x:v>0</x:v>
      </x:c>
      <x:c r="O104" s="1" t="s">
        <x:v>167</x:v>
      </x:c>
      <x:c r="P104" s="1" t="s">
        <x:v>165</x:v>
      </x:c>
      <x:c r="Q104" s="1" t="s">
        <x:v>166</x:v>
      </x:c>
      <x:c r="R104" s="1" t="s">
        <x:v>387</x:v>
      </x:c>
      <x:c r="S104" s="1" t="s">
        <x:v>319</x:v>
      </x:c>
      <x:c r="T104" s="1" t="s">
        <x:v>329</x:v>
      </x:c>
    </x:row>
    <x:row r="105" ht="42">
      <x:c r="A105" s="1" t="s">
        <x:v>685</x:v>
      </x:c>
      <x:c r="B105" s="1" t="s">
        <x:v>212</x:v>
      </x:c>
      <x:c r="C105" s="1">
        <x:v>1</x:v>
      </x:c>
      <x:c r="D105" s="1" t="s">
        <x:v>380</x:v>
      </x:c>
      <x:c r="E105" s="1" t="s">
        <x:v>525</x:v>
      </x:c>
      <x:c r="F105" s="1" t="s">
        <x:v>428</x:v>
      </x:c>
      <x:c r="G105" s="1" t="s">
        <x:v>429</x:v>
      </x:c>
      <x:c r="H105" s="6">
        <x:v>1075</x:v>
      </x:c>
      <x:c r="I105" s="6" t="s">
        <x:v>85</x:v>
      </x:c>
      <x:c r="J105" s="6">
        <x:v>1075</x:v>
      </x:c>
      <x:c r="K105" s="6" t="s">
        <x:v>85</x:v>
      </x:c>
      <x:c r="L105" s="6" t="s">
        <x:v>382</x:v>
      </x:c>
      <x:c r="M105" s="6">
        <x:v>1</x:v>
      </x:c>
      <x:c r="N105" s="7">
        <x:f t="shared" si="3"/>
        <x:v>1075</x:v>
      </x:c>
      <x:c r="O105" s="1" t="s">
        <x:v>167</x:v>
      </x:c>
      <x:c r="P105" s="1" t="s">
        <x:v>165</x:v>
      </x:c>
      <x:c r="Q105" s="1" t="s">
        <x:v>166</x:v>
      </x:c>
      <x:c r="R105" s="1" t="s">
        <x:v>387</x:v>
      </x:c>
      <x:c r="S105" s="1" t="s">
        <x:v>319</x:v>
      </x:c>
      <x:c r="T105" s="1" t="s">
        <x:v>383</x:v>
      </x:c>
    </x:row>
    <x:row r="106" ht="42">
      <x:c r="A106" s="1" t="s">
        <x:v>686</x:v>
      </x:c>
      <x:c r="B106" s="1" t="s">
        <x:v>212</x:v>
      </x:c>
      <x:c r="C106" s="1">
        <x:v>2</x:v>
      </x:c>
      <x:c r="D106" s="1" t="s">
        <x:v>441</x:v>
      </x:c>
      <x:c r="E106" s="1" t="s">
        <x:v>525</x:v>
      </x:c>
      <x:c r="F106" s="1" t="s">
        <x:v>417</x:v>
      </x:c>
      <x:c r="G106" s="1" t="s">
        <x:v>419</x:v>
      </x:c>
      <x:c r="H106" s="6">
        <x:v>369083</x:v>
      </x:c>
      <x:c r="I106" s="6" t="s">
        <x:v>144</x:v>
      </x:c>
      <x:c r="J106" s="6">
        <x:v>369083</x:v>
      </x:c>
      <x:c r="K106" s="6" t="s">
        <x:v>144</x:v>
      </x:c>
      <x:c r="L106" s="6" t="s">
        <x:v>317</x:v>
      </x:c>
      <x:c r="M106" s="6">
        <x:v>1</x:v>
      </x:c>
      <x:c r="N106" s="7">
        <x:f t="shared" si="3"/>
        <x:v>369083</x:v>
      </x:c>
      <x:c r="O106" s="1" t="s">
        <x:v>167</x:v>
      </x:c>
      <x:c r="P106" s="1" t="s">
        <x:v>165</x:v>
      </x:c>
      <x:c r="Q106" s="1" t="s">
        <x:v>166</x:v>
      </x:c>
      <x:c r="R106" s="1" t="s">
        <x:v>387</x:v>
      </x:c>
      <x:c r="S106" s="1" t="s">
        <x:v>319</x:v>
      </x:c>
      <x:c r="T106" s="1" t="s">
        <x:v>595</x:v>
      </x:c>
    </x:row>
    <x:row r="107" ht="42">
      <x:c r="A107" s="1" t="s">
        <x:v>687</x:v>
      </x:c>
      <x:c r="B107" s="1" t="s">
        <x:v>212</x:v>
      </x:c>
      <x:c r="C107" s="1">
        <x:v>99</x:v>
      </x:c>
      <x:c r="D107" s="1" t="s">
        <x:v>327</x:v>
      </x:c>
      <x:c r="E107" s="1" t="s">
        <x:v>525</x:v>
      </x:c>
      <x:c r="F107" s="1" t="s">
        <x:v>430</x:v>
      </x:c>
      <x:c r="G107" s="1" t="s">
        <x:v>431</x:v>
      </x:c>
      <x:c r="H107" s="6">
        <x:v>29.13</x:v>
      </x:c>
      <x:c r="I107" s="6" t="s">
        <x:v>157</x:v>
      </x:c>
      <x:c r="J107" s="6">
        <x:v>29.13</x:v>
      </x:c>
      <x:c r="K107" s="6" t="s">
        <x:v>157</x:v>
      </x:c>
      <x:c r="L107" s="6" t="s">
        <x:v>317</x:v>
      </x:c>
      <x:c r="M107" s="6">
        <x:v>0</x:v>
      </x:c>
      <x:c r="N107" s="7">
        <x:f t="shared" si="3"/>
        <x:v>0</x:v>
      </x:c>
      <x:c r="O107" s="1" t="s">
        <x:v>167</x:v>
      </x:c>
      <x:c r="P107" s="1" t="s">
        <x:v>165</x:v>
      </x:c>
      <x:c r="Q107" s="1" t="s">
        <x:v>166</x:v>
      </x:c>
      <x:c r="R107" s="1" t="s">
        <x:v>387</x:v>
      </x:c>
      <x:c r="S107" s="1" t="s">
        <x:v>319</x:v>
      </x:c>
      <x:c r="T107" s="1" t="s">
        <x:v>329</x:v>
      </x:c>
    </x:row>
    <x:row r="108" ht="42">
      <x:c r="A108" s="1" t="s">
        <x:v>688</x:v>
      </x:c>
      <x:c r="B108" s="1" t="s">
        <x:v>214</x:v>
      </x:c>
      <x:c r="C108" s="1">
        <x:v>1</x:v>
      </x:c>
      <x:c r="D108" s="1" t="s">
        <x:v>373</x:v>
      </x:c>
      <x:c r="E108" s="1" t="s">
        <x:v>541</x:v>
      </x:c>
      <x:c r="F108" s="1" t="s">
        <x:v>689</x:v>
      </x:c>
      <x:c r="G108" s="1" t="s">
        <x:v>507</x:v>
      </x:c>
      <x:c r="H108" s="6">
        <x:v>1853360</x:v>
      </x:c>
      <x:c r="I108" s="6" t="s">
        <x:v>144</x:v>
      </x:c>
      <x:c r="J108" s="6">
        <x:v>1853360</x:v>
      </x:c>
      <x:c r="K108" s="6" t="s">
        <x:v>144</x:v>
      </x:c>
      <x:c r="L108" s="6" t="s">
        <x:v>317</x:v>
      </x:c>
      <x:c r="M108" s="6">
        <x:v>1</x:v>
      </x:c>
      <x:c r="N108" s="7">
        <x:f t="shared" si="3"/>
        <x:v>1853360</x:v>
      </x:c>
      <x:c r="O108" s="1" t="s">
        <x:v>221</x:v>
      </x:c>
      <x:c r="P108" s="1" t="s">
        <x:v>219</x:v>
      </x:c>
      <x:c r="Q108" s="1" t="s">
        <x:v>220</x:v>
      </x:c>
      <x:c r="R108" s="1" t="s">
        <x:v>434</x:v>
      </x:c>
      <x:c r="S108" s="1" t="s">
        <x:v>319</x:v>
      </x:c>
      <x:c r="T108" s="1" t="s">
        <x:v>376</x:v>
      </x:c>
    </x:row>
    <x:row r="109" ht="42">
      <x:c r="A109" s="1" t="s">
        <x:v>690</x:v>
      </x:c>
      <x:c r="B109" s="1" t="s">
        <x:v>214</x:v>
      </x:c>
      <x:c r="C109" s="1">
        <x:v>2</x:v>
      </x:c>
      <x:c r="D109" s="1" t="s">
        <x:v>352</x:v>
      </x:c>
      <x:c r="E109" s="1" t="s">
        <x:v>525</x:v>
      </x:c>
      <x:c r="F109" s="1" t="s">
        <x:v>432</x:v>
      </x:c>
      <x:c r="G109" s="1" t="s">
        <x:v>433</x:v>
      </x:c>
      <x:c r="H109" s="6">
        <x:v>400000</x:v>
      </x:c>
      <x:c r="I109" s="6" t="s">
        <x:v>144</x:v>
      </x:c>
      <x:c r="J109" s="6">
        <x:v>400000</x:v>
      </x:c>
      <x:c r="K109" s="6" t="s">
        <x:v>144</x:v>
      </x:c>
      <x:c r="L109" s="6" t="s">
        <x:v>317</x:v>
      </x:c>
      <x:c r="M109" s="6">
        <x:v>-1</x:v>
      </x:c>
      <x:c r="N109" s="7">
        <x:f t="shared" si="3"/>
        <x:v>-400000</x:v>
      </x:c>
      <x:c r="O109" s="1" t="s">
        <x:v>221</x:v>
      </x:c>
      <x:c r="P109" s="1" t="s">
        <x:v>219</x:v>
      </x:c>
      <x:c r="Q109" s="1" t="s">
        <x:v>220</x:v>
      </x:c>
      <x:c r="R109" s="1" t="s">
        <x:v>434</x:v>
      </x:c>
      <x:c r="S109" s="1" t="s">
        <x:v>319</x:v>
      </x:c>
      <x:c r="T109" s="1" t="s">
        <x:v>435</x:v>
      </x:c>
    </x:row>
    <x:row r="110" ht="42">
      <x:c r="A110" s="1" t="s">
        <x:v>691</x:v>
      </x:c>
      <x:c r="B110" s="1" t="s">
        <x:v>214</x:v>
      </x:c>
      <x:c r="C110" s="1">
        <x:v>3</x:v>
      </x:c>
      <x:c r="D110" s="1" t="s">
        <x:v>352</x:v>
      </x:c>
      <x:c r="E110" s="1" t="s">
        <x:v>525</x:v>
      </x:c>
      <x:c r="F110" s="1" t="s">
        <x:v>436</x:v>
      </x:c>
      <x:c r="G110" s="1" t="s">
        <x:v>433</x:v>
      </x:c>
      <x:c r="H110" s="6">
        <x:v>400000</x:v>
      </x:c>
      <x:c r="I110" s="6" t="s">
        <x:v>144</x:v>
      </x:c>
      <x:c r="J110" s="6">
        <x:v>400000</x:v>
      </x:c>
      <x:c r="K110" s="6" t="s">
        <x:v>144</x:v>
      </x:c>
      <x:c r="L110" s="6" t="s">
        <x:v>317</x:v>
      </x:c>
      <x:c r="M110" s="6">
        <x:v>-1</x:v>
      </x:c>
      <x:c r="N110" s="7">
        <x:f t="shared" si="3"/>
        <x:v>-400000</x:v>
      </x:c>
      <x:c r="O110" s="1" t="s">
        <x:v>221</x:v>
      </x:c>
      <x:c r="P110" s="1" t="s">
        <x:v>219</x:v>
      </x:c>
      <x:c r="Q110" s="1" t="s">
        <x:v>220</x:v>
      </x:c>
      <x:c r="R110" s="1" t="s">
        <x:v>434</x:v>
      </x:c>
      <x:c r="S110" s="1" t="s">
        <x:v>319</x:v>
      </x:c>
      <x:c r="T110" s="1" t="s">
        <x:v>437</x:v>
      </x:c>
    </x:row>
    <x:row r="111" ht="42">
      <x:c r="A111" s="1" t="s">
        <x:v>692</x:v>
      </x:c>
      <x:c r="B111" s="1" t="s">
        <x:v>214</x:v>
      </x:c>
      <x:c r="C111" s="1">
        <x:v>99</x:v>
      </x:c>
      <x:c r="D111" s="1" t="s">
        <x:v>327</x:v>
      </x:c>
      <x:c r="E111" s="1" t="s">
        <x:v>525</x:v>
      </x:c>
      <x:c r="F111" s="1" t="s">
        <x:v>438</x:v>
      </x:c>
      <x:c r="G111" s="1" t="s">
        <x:v>439</x:v>
      </x:c>
      <x:c r="H111" s="6">
        <x:v>1053360</x:v>
      </x:c>
      <x:c r="I111" s="6" t="s">
        <x:v>144</x:v>
      </x:c>
      <x:c r="J111" s="6">
        <x:v>1053360</x:v>
      </x:c>
      <x:c r="K111" s="6" t="s">
        <x:v>144</x:v>
      </x:c>
      <x:c r="L111" s="6" t="s">
        <x:v>317</x:v>
      </x:c>
      <x:c r="M111" s="6">
        <x:v>0</x:v>
      </x:c>
      <x:c r="N111" s="7">
        <x:f t="shared" si="3"/>
        <x:v>0</x:v>
      </x:c>
      <x:c r="O111" s="1" t="s">
        <x:v>221</x:v>
      </x:c>
      <x:c r="P111" s="1" t="s">
        <x:v>219</x:v>
      </x:c>
      <x:c r="Q111" s="1" t="s">
        <x:v>220</x:v>
      </x:c>
      <x:c r="R111" s="1" t="s">
        <x:v>434</x:v>
      </x:c>
      <x:c r="S111" s="1" t="s">
        <x:v>319</x:v>
      </x:c>
      <x:c r="T111" s="1" t="s">
        <x:v>329</x:v>
      </x:c>
    </x:row>
    <x:row r="112" ht="42">
      <x:c r="A112" s="1" t="s">
        <x:v>693</x:v>
      </x:c>
      <x:c r="B112" s="1" t="s">
        <x:v>223</x:v>
      </x:c>
      <x:c r="C112" s="1">
        <x:v>1</x:v>
      </x:c>
      <x:c r="D112" s="1" t="s">
        <x:v>373</x:v>
      </x:c>
      <x:c r="E112" s="1" t="s">
        <x:v>541</x:v>
      </x:c>
      <x:c r="F112" s="1" t="s">
        <x:v>694</x:v>
      </x:c>
      <x:c r="G112" s="1" t="s">
        <x:v>695</x:v>
      </x:c>
      <x:c r="H112" s="6">
        <x:v>200000</x:v>
      </x:c>
      <x:c r="I112" s="6" t="s">
        <x:v>144</x:v>
      </x:c>
      <x:c r="J112" s="6">
        <x:v>200000</x:v>
      </x:c>
      <x:c r="K112" s="6" t="s">
        <x:v>144</x:v>
      </x:c>
      <x:c r="L112" s="6" t="s">
        <x:v>317</x:v>
      </x:c>
      <x:c r="M112" s="6">
        <x:v>1</x:v>
      </x:c>
      <x:c r="N112" s="7">
        <x:f t="shared" si="3"/>
        <x:v>200000</x:v>
      </x:c>
      <x:c r="O112" s="1" t="s">
        <x:v>221</x:v>
      </x:c>
      <x:c r="P112" s="1" t="s">
        <x:v>219</x:v>
      </x:c>
      <x:c r="Q112" s="1" t="s">
        <x:v>220</x:v>
      </x:c>
      <x:c r="R112" s="1" t="s">
        <x:v>434</x:v>
      </x:c>
      <x:c r="S112" s="1" t="s">
        <x:v>319</x:v>
      </x:c>
      <x:c r="T112" s="1" t="s">
        <x:v>376</x:v>
      </x:c>
    </x:row>
    <x:row r="113" ht="42">
      <x:c r="A113" s="1" t="s">
        <x:v>696</x:v>
      </x:c>
      <x:c r="B113" s="1" t="s">
        <x:v>223</x:v>
      </x:c>
      <x:c r="C113" s="1">
        <x:v>2</x:v>
      </x:c>
      <x:c r="D113" s="1" t="s">
        <x:v>337</x:v>
      </x:c>
      <x:c r="E113" s="1" t="s">
        <x:v>525</x:v>
      </x:c>
      <x:c r="F113" s="1" t="s">
        <x:v>432</x:v>
      </x:c>
      <x:c r="G113" s="1" t="s">
        <x:v>433</x:v>
      </x:c>
      <x:c r="H113" s="6">
        <x:v>400000</x:v>
      </x:c>
      <x:c r="I113" s="6" t="s">
        <x:v>144</x:v>
      </x:c>
      <x:c r="J113" s="6">
        <x:v>400000</x:v>
      </x:c>
      <x:c r="K113" s="6" t="s">
        <x:v>144</x:v>
      </x:c>
      <x:c r="L113" s="6" t="s">
        <x:v>317</x:v>
      </x:c>
      <x:c r="M113" s="6">
        <x:v>1</x:v>
      </x:c>
      <x:c r="N113" s="7">
        <x:f t="shared" si="3"/>
        <x:v>400000</x:v>
      </x:c>
      <x:c r="O113" s="1" t="s">
        <x:v>221</x:v>
      </x:c>
      <x:c r="P113" s="1" t="s">
        <x:v>219</x:v>
      </x:c>
      <x:c r="Q113" s="1" t="s">
        <x:v>220</x:v>
      </x:c>
      <x:c r="R113" s="1" t="s">
        <x:v>434</x:v>
      </x:c>
      <x:c r="S113" s="1" t="s">
        <x:v>319</x:v>
      </x:c>
      <x:c r="T113" s="1" t="s">
        <x:v>697</x:v>
      </x:c>
    </x:row>
    <x:row r="114" ht="42">
      <x:c r="A114" s="1" t="s">
        <x:v>698</x:v>
      </x:c>
      <x:c r="B114" s="1" t="s">
        <x:v>223</x:v>
      </x:c>
      <x:c r="C114" s="1">
        <x:v>99</x:v>
      </x:c>
      <x:c r="D114" s="1" t="s">
        <x:v>327</x:v>
      </x:c>
      <x:c r="E114" s="1" t="s">
        <x:v>525</x:v>
      </x:c>
      <x:c r="F114" s="1" t="s">
        <x:v>438</x:v>
      </x:c>
      <x:c r="G114" s="1" t="s">
        <x:v>660</x:v>
      </x:c>
      <x:c r="H114" s="6">
        <x:v>600000</x:v>
      </x:c>
      <x:c r="I114" s="6" t="s">
        <x:v>144</x:v>
      </x:c>
      <x:c r="J114" s="6">
        <x:v>600000</x:v>
      </x:c>
      <x:c r="K114" s="6" t="s">
        <x:v>144</x:v>
      </x:c>
      <x:c r="L114" s="6" t="s">
        <x:v>317</x:v>
      </x:c>
      <x:c r="M114" s="6">
        <x:v>0</x:v>
      </x:c>
      <x:c r="N114" s="7">
        <x:f t="shared" si="3"/>
        <x:v>0</x:v>
      </x:c>
      <x:c r="O114" s="1" t="s">
        <x:v>221</x:v>
      </x:c>
      <x:c r="P114" s="1" t="s">
        <x:v>219</x:v>
      </x:c>
      <x:c r="Q114" s="1" t="s">
        <x:v>220</x:v>
      </x:c>
      <x:c r="R114" s="1" t="s">
        <x:v>434</x:v>
      </x:c>
      <x:c r="S114" s="1" t="s">
        <x:v>319</x:v>
      </x:c>
      <x:c r="T114" s="1" t="s">
        <x:v>329</x:v>
      </x:c>
    </x:row>
    <x:row r="115" ht="42">
      <x:c r="A115" s="1" t="s">
        <x:v>699</x:v>
      </x:c>
      <x:c r="B115" s="1" t="s">
        <x:v>225</x:v>
      </x:c>
      <x:c r="C115" s="1">
        <x:v>1</x:v>
      </x:c>
      <x:c r="D115" s="1" t="s">
        <x:v>373</x:v>
      </x:c>
      <x:c r="E115" s="1" t="s">
        <x:v>541</x:v>
      </x:c>
      <x:c r="F115" s="1" t="s">
        <x:v>700</x:v>
      </x:c>
      <x:c r="G115" s="1" t="s">
        <x:v>695</x:v>
      </x:c>
      <x:c r="H115" s="6">
        <x:v>200000</x:v>
      </x:c>
      <x:c r="I115" s="6" t="s">
        <x:v>144</x:v>
      </x:c>
      <x:c r="J115" s="6">
        <x:v>200000</x:v>
      </x:c>
      <x:c r="K115" s="6" t="s">
        <x:v>144</x:v>
      </x:c>
      <x:c r="L115" s="6" t="s">
        <x:v>317</x:v>
      </x:c>
      <x:c r="M115" s="6">
        <x:v>1</x:v>
      </x:c>
      <x:c r="N115" s="7">
        <x:f t="shared" si="3"/>
        <x:v>200000</x:v>
      </x:c>
      <x:c r="O115" s="1" t="s">
        <x:v>221</x:v>
      </x:c>
      <x:c r="P115" s="1" t="s">
        <x:v>219</x:v>
      </x:c>
      <x:c r="Q115" s="1" t="s">
        <x:v>220</x:v>
      </x:c>
      <x:c r="R115" s="1" t="s">
        <x:v>434</x:v>
      </x:c>
      <x:c r="S115" s="1" t="s">
        <x:v>319</x:v>
      </x:c>
      <x:c r="T115" s="1" t="s">
        <x:v>376</x:v>
      </x:c>
    </x:row>
    <x:row r="116" ht="42">
      <x:c r="A116" s="1" t="s">
        <x:v>701</x:v>
      </x:c>
      <x:c r="B116" s="1" t="s">
        <x:v>225</x:v>
      </x:c>
      <x:c r="C116" s="1">
        <x:v>2</x:v>
      </x:c>
      <x:c r="D116" s="1" t="s">
        <x:v>337</x:v>
      </x:c>
      <x:c r="E116" s="1" t="s">
        <x:v>525</x:v>
      </x:c>
      <x:c r="F116" s="1" t="s">
        <x:v>436</x:v>
      </x:c>
      <x:c r="G116" s="1" t="s">
        <x:v>433</x:v>
      </x:c>
      <x:c r="H116" s="6">
        <x:v>400000</x:v>
      </x:c>
      <x:c r="I116" s="6" t="s">
        <x:v>144</x:v>
      </x:c>
      <x:c r="J116" s="6">
        <x:v>400000</x:v>
      </x:c>
      <x:c r="K116" s="6" t="s">
        <x:v>144</x:v>
      </x:c>
      <x:c r="L116" s="6" t="s">
        <x:v>317</x:v>
      </x:c>
      <x:c r="M116" s="6">
        <x:v>1</x:v>
      </x:c>
      <x:c r="N116" s="7">
        <x:f t="shared" si="3"/>
        <x:v>400000</x:v>
      </x:c>
      <x:c r="O116" s="1" t="s">
        <x:v>221</x:v>
      </x:c>
      <x:c r="P116" s="1" t="s">
        <x:v>219</x:v>
      </x:c>
      <x:c r="Q116" s="1" t="s">
        <x:v>220</x:v>
      </x:c>
      <x:c r="R116" s="1" t="s">
        <x:v>434</x:v>
      </x:c>
      <x:c r="S116" s="1" t="s">
        <x:v>319</x:v>
      </x:c>
      <x:c r="T116" s="1" t="s">
        <x:v>697</x:v>
      </x:c>
    </x:row>
    <x:row r="117" ht="42">
      <x:c r="A117" s="1" t="s">
        <x:v>702</x:v>
      </x:c>
      <x:c r="B117" s="1" t="s">
        <x:v>225</x:v>
      </x:c>
      <x:c r="C117" s="1">
        <x:v>99</x:v>
      </x:c>
      <x:c r="D117" s="1" t="s">
        <x:v>327</x:v>
      </x:c>
      <x:c r="E117" s="1" t="s">
        <x:v>525</x:v>
      </x:c>
      <x:c r="F117" s="1" t="s">
        <x:v>438</x:v>
      </x:c>
      <x:c r="G117" s="1" t="s">
        <x:v>660</x:v>
      </x:c>
      <x:c r="H117" s="6">
        <x:v>600000</x:v>
      </x:c>
      <x:c r="I117" s="6" t="s">
        <x:v>144</x:v>
      </x:c>
      <x:c r="J117" s="6">
        <x:v>600000</x:v>
      </x:c>
      <x:c r="K117" s="6" t="s">
        <x:v>144</x:v>
      </x:c>
      <x:c r="L117" s="6" t="s">
        <x:v>317</x:v>
      </x:c>
      <x:c r="M117" s="6">
        <x:v>0</x:v>
      </x:c>
      <x:c r="N117" s="7">
        <x:f t="shared" si="3"/>
        <x:v>0</x:v>
      </x:c>
      <x:c r="O117" s="1" t="s">
        <x:v>221</x:v>
      </x:c>
      <x:c r="P117" s="1" t="s">
        <x:v>219</x:v>
      </x:c>
      <x:c r="Q117" s="1" t="s">
        <x:v>220</x:v>
      </x:c>
      <x:c r="R117" s="1" t="s">
        <x:v>434</x:v>
      </x:c>
      <x:c r="S117" s="1" t="s">
        <x:v>319</x:v>
      </x:c>
      <x:c r="T117" s="1" t="s">
        <x:v>329</x:v>
      </x:c>
    </x:row>
    <x:row r="118" ht="42">
      <x:c r="A118" s="1" t="s">
        <x:v>703</x:v>
      </x:c>
      <x:c r="B118" s="1" t="s">
        <x:v>227</x:v>
      </x:c>
      <x:c r="C118" s="1">
        <x:v>1</x:v>
      </x:c>
      <x:c r="D118" s="1" t="s">
        <x:v>441</x:v>
      </x:c>
      <x:c r="E118" s="1" t="s">
        <x:v>525</x:v>
      </x:c>
      <x:c r="F118" s="1" t="s">
        <x:v>440</x:v>
      </x:c>
      <x:c r="G118" s="1" t="s">
        <x:v>442</x:v>
      </x:c>
      <x:c r="H118" s="6">
        <x:v>1130488</x:v>
      </x:c>
      <x:c r="I118" s="6" t="s">
        <x:v>144</x:v>
      </x:c>
      <x:c r="J118" s="6">
        <x:v>1130488</x:v>
      </x:c>
      <x:c r="K118" s="6" t="s">
        <x:v>144</x:v>
      </x:c>
      <x:c r="L118" s="6" t="s">
        <x:v>443</x:v>
      </x:c>
      <x:c r="M118" s="6">
        <x:v>1</x:v>
      </x:c>
      <x:c r="N118" s="7">
        <x:f t="shared" si="3"/>
        <x:v>1130488</x:v>
      </x:c>
      <x:c r="O118" s="1" t="s">
        <x:v>234</x:v>
      </x:c>
      <x:c r="P118" s="1" t="s">
        <x:v>233</x:v>
      </x:c>
      <x:c r="Q118" s="1" t="s">
        <x:v>219</x:v>
      </x:c>
      <x:c r="R118" s="1" t="s">
        <x:v>444</x:v>
      </x:c>
      <x:c r="S118" s="1" t="s">
        <x:v>319</x:v>
      </x:c>
      <x:c r="T118" s="1" t="s">
        <x:v>445</x:v>
      </x:c>
    </x:row>
    <x:row r="119" ht="42">
      <x:c r="A119" s="1" t="s">
        <x:v>704</x:v>
      </x:c>
      <x:c r="B119" s="1" t="s">
        <x:v>236</x:v>
      </x:c>
      <x:c r="C119" s="1">
        <x:v>1</x:v>
      </x:c>
      <x:c r="D119" s="1" t="s">
        <x:v>357</x:v>
      </x:c>
      <x:c r="E119" s="1" t="s">
        <x:v>525</x:v>
      </x:c>
      <x:c r="F119" s="1" t="s">
        <x:v>446</x:v>
      </x:c>
      <x:c r="G119" s="1" t="s">
        <x:v>447</x:v>
      </x:c>
      <x:c r="H119" s="6">
        <x:v>4635</x:v>
      </x:c>
      <x:c r="I119" s="6" t="s">
        <x:v>85</x:v>
      </x:c>
      <x:c r="J119" s="6">
        <x:v>4635</x:v>
      </x:c>
      <x:c r="K119" s="6" t="s">
        <x:v>85</x:v>
      </x:c>
      <x:c r="L119" s="6" t="s">
        <x:v>317</x:v>
      </x:c>
      <x:c r="M119" s="6">
        <x:v>1</x:v>
      </x:c>
      <x:c r="N119" s="7">
        <x:f t="shared" si="3"/>
        <x:v>4635</x:v>
      </x:c>
      <x:c r="O119" s="1" t="s">
        <x:v>234</x:v>
      </x:c>
      <x:c r="P119" s="1" t="s">
        <x:v>233</x:v>
      </x:c>
      <x:c r="Q119" s="1" t="s">
        <x:v>219</x:v>
      </x:c>
      <x:c r="R119" s="1" t="s">
        <x:v>444</x:v>
      </x:c>
      <x:c r="S119" s="1" t="s">
        <x:v>319</x:v>
      </x:c>
      <x:c r="T119" s="1" t="s">
        <x:v>448</x:v>
      </x:c>
    </x:row>
    <x:row r="120" ht="42">
      <x:c r="A120" s="1" t="s">
        <x:v>705</x:v>
      </x:c>
      <x:c r="B120" s="1" t="s">
        <x:v>236</x:v>
      </x:c>
      <x:c r="C120" s="1">
        <x:v>2</x:v>
      </x:c>
      <x:c r="D120" s="1" t="s">
        <x:v>362</x:v>
      </x:c>
      <x:c r="E120" s="1" t="s">
        <x:v>541</x:v>
      </x:c>
      <x:c r="F120" s="1" t="s">
        <x:v>227</x:v>
      </x:c>
      <x:c r="G120" s="1" t="s">
        <x:v>706</x:v>
      </x:c>
      <x:c r="H120" s="6">
        <x:v>113.0488</x:v>
      </x:c>
      <x:c r="I120" s="6" t="s">
        <x:v>85</x:v>
      </x:c>
      <x:c r="J120" s="6">
        <x:v>113.0488</x:v>
      </x:c>
      <x:c r="K120" s="6" t="s">
        <x:v>85</x:v>
      </x:c>
      <x:c r="L120" s="6" t="s">
        <x:v>632</x:v>
      </x:c>
      <x:c r="M120" s="6">
        <x:v>1</x:v>
      </x:c>
      <x:c r="N120" s="7">
        <x:f t="shared" si="3"/>
        <x:v>113.0488</x:v>
      </x:c>
      <x:c r="O120" s="1" t="s">
        <x:v>234</x:v>
      </x:c>
      <x:c r="P120" s="1" t="s">
        <x:v>233</x:v>
      </x:c>
      <x:c r="Q120" s="1" t="s">
        <x:v>219</x:v>
      </x:c>
      <x:c r="R120" s="1" t="s">
        <x:v>444</x:v>
      </x:c>
      <x:c r="S120" s="1" t="s">
        <x:v>319</x:v>
      </x:c>
      <x:c r="T120" s="1" t="s">
        <x:v>707</x:v>
      </x:c>
    </x:row>
    <x:row r="121" ht="42">
      <x:c r="A121" s="1" t="s">
        <x:v>708</x:v>
      </x:c>
      <x:c r="B121" s="1" t="s">
        <x:v>236</x:v>
      </x:c>
      <x:c r="C121" s="1">
        <x:v>99</x:v>
      </x:c>
      <x:c r="D121" s="1" t="s">
        <x:v>327</x:v>
      </x:c>
      <x:c r="E121" s="1" t="s">
        <x:v>525</x:v>
      </x:c>
      <x:c r="F121" s="1" t="s">
        <x:v>449</x:v>
      </x:c>
      <x:c r="G121" s="1" t="s">
        <x:v>450</x:v>
      </x:c>
      <x:c r="H121" s="6">
        <x:v>4748.0487999999996</x:v>
      </x:c>
      <x:c r="I121" s="6" t="s">
        <x:v>85</x:v>
      </x:c>
      <x:c r="J121" s="6">
        <x:v>4748.0487999999996</x:v>
      </x:c>
      <x:c r="K121" s="6" t="s">
        <x:v>85</x:v>
      </x:c>
      <x:c r="L121" s="6" t="s">
        <x:v>317</x:v>
      </x:c>
      <x:c r="M121" s="6">
        <x:v>0</x:v>
      </x:c>
      <x:c r="N121" s="7">
        <x:f t="shared" si="3"/>
        <x:v>0</x:v>
      </x:c>
      <x:c r="O121" s="1" t="s">
        <x:v>234</x:v>
      </x:c>
      <x:c r="P121" s="1" t="s">
        <x:v>233</x:v>
      </x:c>
      <x:c r="Q121" s="1" t="s">
        <x:v>219</x:v>
      </x:c>
      <x:c r="R121" s="1" t="s">
        <x:v>444</x:v>
      </x:c>
      <x:c r="S121" s="1" t="s">
        <x:v>319</x:v>
      </x:c>
      <x:c r="T121" s="1" t="s">
        <x:v>329</x:v>
      </x:c>
    </x:row>
    <x:row r="122" ht="42">
      <x:c r="A122" s="1" t="s">
        <x:v>709</x:v>
      </x:c>
      <x:c r="B122" s="1" t="s">
        <x:v>238</x:v>
      </x:c>
      <x:c r="C122" s="1">
        <x:v>1</x:v>
      </x:c>
      <x:c r="D122" s="1" t="s">
        <x:v>710</x:v>
      </x:c>
      <x:c r="E122" s="1" t="s">
        <x:v>541</x:v>
      </x:c>
      <x:c r="F122" s="1" t="s">
        <x:v>711</x:v>
      </x:c>
      <x:c r="G122" s="1" t="s">
        <x:v>712</x:v>
      </x:c>
      <x:c r="H122" s="6">
        <x:v>46350000</x:v>
      </x:c>
      <x:c r="I122" s="6" t="s">
        <x:v>144</x:v>
      </x:c>
      <x:c r="J122" s="6">
        <x:v>46350000</x:v>
      </x:c>
      <x:c r="K122" s="6" t="s">
        <x:v>144</x:v>
      </x:c>
      <x:c r="L122" s="6" t="s">
        <x:v>317</x:v>
      </x:c>
      <x:c r="M122" s="6">
        <x:v>1</x:v>
      </x:c>
      <x:c r="N122" s="7">
        <x:f t="shared" si="3"/>
        <x:v>46350000</x:v>
      </x:c>
      <x:c r="O122" s="1" t="s">
        <x:v>234</x:v>
      </x:c>
      <x:c r="P122" s="1" t="s">
        <x:v>233</x:v>
      </x:c>
      <x:c r="Q122" s="1" t="s">
        <x:v>219</x:v>
      </x:c>
      <x:c r="R122" s="1" t="s">
        <x:v>444</x:v>
      </x:c>
      <x:c r="S122" s="1" t="s">
        <x:v>319</x:v>
      </x:c>
      <x:c r="T122" s="1" t="s">
        <x:v>713</x:v>
      </x:c>
    </x:row>
    <x:row r="123" ht="42">
      <x:c r="A123" s="1" t="s">
        <x:v>714</x:v>
      </x:c>
      <x:c r="B123" s="1" t="s">
        <x:v>238</x:v>
      </x:c>
      <x:c r="C123" s="1">
        <x:v>2</x:v>
      </x:c>
      <x:c r="D123" s="1" t="s">
        <x:v>342</x:v>
      </x:c>
      <x:c r="E123" s="1" t="s">
        <x:v>525</x:v>
      </x:c>
      <x:c r="F123" s="1" t="s">
        <x:v>440</x:v>
      </x:c>
      <x:c r="G123" s="1" t="s">
        <x:v>442</x:v>
      </x:c>
      <x:c r="H123" s="6">
        <x:v>1130488</x:v>
      </x:c>
      <x:c r="I123" s="6" t="s">
        <x:v>144</x:v>
      </x:c>
      <x:c r="J123" s="6">
        <x:v>1130488</x:v>
      </x:c>
      <x:c r="K123" s="6" t="s">
        <x:v>144</x:v>
      </x:c>
      <x:c r="L123" s="6" t="s">
        <x:v>317</x:v>
      </x:c>
      <x:c r="M123" s="6">
        <x:v>1</x:v>
      </x:c>
      <x:c r="N123" s="7">
        <x:f t="shared" si="3"/>
        <x:v>1130488</x:v>
      </x:c>
      <x:c r="O123" s="1" t="s">
        <x:v>234</x:v>
      </x:c>
      <x:c r="P123" s="1" t="s">
        <x:v>233</x:v>
      </x:c>
      <x:c r="Q123" s="1" t="s">
        <x:v>219</x:v>
      </x:c>
      <x:c r="R123" s="1" t="s">
        <x:v>444</x:v>
      </x:c>
      <x:c r="S123" s="1" t="s">
        <x:v>319</x:v>
      </x:c>
      <x:c r="T123" s="1" t="s">
        <x:v>633</x:v>
      </x:c>
    </x:row>
    <x:row r="124" ht="42">
      <x:c r="A124" s="1" t="s">
        <x:v>715</x:v>
      </x:c>
      <x:c r="B124" s="1" t="s">
        <x:v>238</x:v>
      </x:c>
      <x:c r="C124" s="1">
        <x:v>99</x:v>
      </x:c>
      <x:c r="D124" s="1" t="s">
        <x:v>327</x:v>
      </x:c>
      <x:c r="E124" s="1" t="s">
        <x:v>525</x:v>
      </x:c>
      <x:c r="F124" s="1" t="s">
        <x:v>451</x:v>
      </x:c>
      <x:c r="G124" s="1" t="s">
        <x:v>452</x:v>
      </x:c>
      <x:c r="H124" s="6">
        <x:v>47480488</x:v>
      </x:c>
      <x:c r="I124" s="6" t="s">
        <x:v>144</x:v>
      </x:c>
      <x:c r="J124" s="6">
        <x:v>47480488</x:v>
      </x:c>
      <x:c r="K124" s="6" t="s">
        <x:v>144</x:v>
      </x:c>
      <x:c r="L124" s="6" t="s">
        <x:v>317</x:v>
      </x:c>
      <x:c r="M124" s="6">
        <x:v>0</x:v>
      </x:c>
      <x:c r="N124" s="7">
        <x:f t="shared" si="3"/>
        <x:v>0</x:v>
      </x:c>
      <x:c r="O124" s="1" t="s">
        <x:v>234</x:v>
      </x:c>
      <x:c r="P124" s="1" t="s">
        <x:v>233</x:v>
      </x:c>
      <x:c r="Q124" s="1" t="s">
        <x:v>219</x:v>
      </x:c>
      <x:c r="R124" s="1" t="s">
        <x:v>444</x:v>
      </x:c>
      <x:c r="S124" s="1" t="s">
        <x:v>319</x:v>
      </x:c>
      <x:c r="T124" s="1" t="s">
        <x:v>329</x:v>
      </x:c>
    </x:row>
    <x:row r="125" ht="42">
      <x:c r="A125" s="1" t="s">
        <x:v>716</x:v>
      </x:c>
      <x:c r="B125" s="1" t="s">
        <x:v>243</x:v>
      </x:c>
      <x:c r="C125" s="1">
        <x:v>1</x:v>
      </x:c>
      <x:c r="D125" s="1" t="s">
        <x:v>454</x:v>
      </x:c>
      <x:c r="E125" s="1" t="s">
        <x:v>525</x:v>
      </x:c>
      <x:c r="F125" s="1" t="s">
        <x:v>453</x:v>
      </x:c>
      <x:c r="G125" s="1" t="s">
        <x:v>455</x:v>
      </x:c>
      <x:c r="H125" s="6">
        <x:v>968990</x:v>
      </x:c>
      <x:c r="I125" s="6" t="s">
        <x:v>144</x:v>
      </x:c>
      <x:c r="J125" s="6">
        <x:v>968990</x:v>
      </x:c>
      <x:c r="K125" s="6" t="s">
        <x:v>144</x:v>
      </x:c>
      <x:c r="L125" s="6" t="s">
        <x:v>317</x:v>
      </x:c>
      <x:c r="M125" s="6">
        <x:v>1</x:v>
      </x:c>
      <x:c r="N125" s="7">
        <x:f t="shared" si="3"/>
        <x:v>968990</x:v>
      </x:c>
      <x:c r="O125" s="1" t="s">
        <x:v>251</x:v>
      </x:c>
      <x:c r="P125" s="1" t="s">
        <x:v>249</x:v>
      </x:c>
      <x:c r="Q125" s="1" t="s">
        <x:v>250</x:v>
      </x:c>
      <x:c r="R125" s="1" t="s">
        <x:v>456</x:v>
      </x:c>
      <x:c r="S125" s="1" t="s">
        <x:v>319</x:v>
      </x:c>
      <x:c r="T125" s="1" t="s">
        <x:v>457</x:v>
      </x:c>
    </x:row>
    <x:row r="126" ht="42">
      <x:c r="A126" s="1" t="s">
        <x:v>717</x:v>
      </x:c>
      <x:c r="B126" s="1" t="s">
        <x:v>243</x:v>
      </x:c>
      <x:c r="C126" s="1">
        <x:v>2</x:v>
      </x:c>
      <x:c r="D126" s="1" t="s">
        <x:v>459</x:v>
      </x:c>
      <x:c r="E126" s="1" t="s">
        <x:v>525</x:v>
      </x:c>
      <x:c r="F126" s="1" t="s">
        <x:v>458</x:v>
      </x:c>
      <x:c r="G126" s="1" t="s">
        <x:v>460</x:v>
      </x:c>
      <x:c r="H126" s="6">
        <x:v>387596</x:v>
      </x:c>
      <x:c r="I126" s="6" t="s">
        <x:v>144</x:v>
      </x:c>
      <x:c r="J126" s="6">
        <x:v>387596</x:v>
      </x:c>
      <x:c r="K126" s="6" t="s">
        <x:v>144</x:v>
      </x:c>
      <x:c r="L126" s="6" t="s">
        <x:v>317</x:v>
      </x:c>
      <x:c r="M126" s="6">
        <x:v>1</x:v>
      </x:c>
      <x:c r="N126" s="7">
        <x:f t="shared" si="3"/>
        <x:v>387596</x:v>
      </x:c>
      <x:c r="O126" s="1" t="s">
        <x:v>251</x:v>
      </x:c>
      <x:c r="P126" s="1" t="s">
        <x:v>249</x:v>
      </x:c>
      <x:c r="Q126" s="1" t="s">
        <x:v>250</x:v>
      </x:c>
      <x:c r="R126" s="1" t="s">
        <x:v>456</x:v>
      </x:c>
      <x:c r="S126" s="1" t="s">
        <x:v>319</x:v>
      </x:c>
      <x:c r="T126" s="1" t="s">
        <x:v>461</x:v>
      </x:c>
    </x:row>
    <x:row r="127" ht="42">
      <x:c r="A127" s="1" t="s">
        <x:v>718</x:v>
      </x:c>
      <x:c r="B127" s="1" t="s">
        <x:v>252</x:v>
      </x:c>
      <x:c r="C127" s="1">
        <x:v>1</x:v>
      </x:c>
      <x:c r="D127" s="1" t="s">
        <x:v>441</x:v>
      </x:c>
      <x:c r="E127" s="1" t="s">
        <x:v>541</x:v>
      </x:c>
      <x:c r="F127" s="1" t="s">
        <x:v>243</x:v>
      </x:c>
      <x:c r="G127" s="1" t="s">
        <x:v>719</x:v>
      </x:c>
      <x:c r="H127" s="6">
        <x:v>1356586</x:v>
      </x:c>
      <x:c r="I127" s="6" t="s">
        <x:v>144</x:v>
      </x:c>
      <x:c r="J127" s="6">
        <x:v>1356586</x:v>
      </x:c>
      <x:c r="K127" s="6" t="s">
        <x:v>144</x:v>
      </x:c>
      <x:c r="L127" s="6" t="s">
        <x:v>443</x:v>
      </x:c>
      <x:c r="M127" s="6">
        <x:v>1</x:v>
      </x:c>
      <x:c r="N127" s="7">
        <x:f t="shared" si="3"/>
        <x:v>1356586</x:v>
      </x:c>
      <x:c r="O127" s="1" t="s">
        <x:v>251</x:v>
      </x:c>
      <x:c r="P127" s="1" t="s">
        <x:v>249</x:v>
      </x:c>
      <x:c r="Q127" s="1" t="s">
        <x:v>250</x:v>
      </x:c>
      <x:c r="R127" s="1" t="s">
        <x:v>456</x:v>
      </x:c>
      <x:c r="S127" s="1" t="s">
        <x:v>319</x:v>
      </x:c>
      <x:c r="T127" s="1" t="s">
        <x:v>247</x:v>
      </x:c>
    </x:row>
    <x:row r="128" ht="42">
      <x:c r="A128" s="1" t="s">
        <x:v>720</x:v>
      </x:c>
      <x:c r="B128" s="1" t="s">
        <x:v>254</x:v>
      </x:c>
      <x:c r="C128" s="1">
        <x:v>1</x:v>
      </x:c>
      <x:c r="D128" s="1" t="s">
        <x:v>357</x:v>
      </x:c>
      <x:c r="E128" s="1" t="s">
        <x:v>525</x:v>
      </x:c>
      <x:c r="F128" s="1" t="s">
        <x:v>462</x:v>
      </x:c>
      <x:c r="G128" s="1" t="s">
        <x:v>463</x:v>
      </x:c>
      <x:c r="H128" s="6">
        <x:v>4748.0487999999996</x:v>
      </x:c>
      <x:c r="I128" s="6" t="s">
        <x:v>85</x:v>
      </x:c>
      <x:c r="J128" s="6">
        <x:v>4748.0487999999996</x:v>
      </x:c>
      <x:c r="K128" s="6" t="s">
        <x:v>85</x:v>
      </x:c>
      <x:c r="L128" s="6" t="s">
        <x:v>317</x:v>
      </x:c>
      <x:c r="M128" s="6">
        <x:v>1</x:v>
      </x:c>
      <x:c r="N128" s="7">
        <x:f t="shared" si="3"/>
        <x:v>4748.0487999999996</x:v>
      </x:c>
      <x:c r="O128" s="1" t="s">
        <x:v>251</x:v>
      </x:c>
      <x:c r="P128" s="1" t="s">
        <x:v>249</x:v>
      </x:c>
      <x:c r="Q128" s="1" t="s">
        <x:v>250</x:v>
      </x:c>
      <x:c r="R128" s="1" t="s">
        <x:v>456</x:v>
      </x:c>
      <x:c r="S128" s="1" t="s">
        <x:v>319</x:v>
      </x:c>
      <x:c r="T128" s="1" t="s">
        <x:v>448</x:v>
      </x:c>
    </x:row>
    <x:row r="129" ht="42">
      <x:c r="A129" s="1" t="s">
        <x:v>721</x:v>
      </x:c>
      <x:c r="B129" s="1" t="s">
        <x:v>254</x:v>
      </x:c>
      <x:c r="C129" s="1">
        <x:v>2</x:v>
      </x:c>
      <x:c r="D129" s="1" t="s">
        <x:v>362</x:v>
      </x:c>
      <x:c r="E129" s="1" t="s">
        <x:v>541</x:v>
      </x:c>
      <x:c r="F129" s="1" t="s">
        <x:v>252</x:v>
      </x:c>
      <x:c r="G129" s="1" t="s">
        <x:v>722</x:v>
      </x:c>
      <x:c r="H129" s="6">
        <x:v>135.65860000000001</x:v>
      </x:c>
      <x:c r="I129" s="6" t="s">
        <x:v>85</x:v>
      </x:c>
      <x:c r="J129" s="6">
        <x:v>135.65860000000001</x:v>
      </x:c>
      <x:c r="K129" s="6" t="s">
        <x:v>85</x:v>
      </x:c>
      <x:c r="L129" s="6" t="s">
        <x:v>632</x:v>
      </x:c>
      <x:c r="M129" s="6">
        <x:v>1</x:v>
      </x:c>
      <x:c r="N129" s="7">
        <x:f t="shared" si="3"/>
        <x:v>135.65860000000001</x:v>
      </x:c>
      <x:c r="O129" s="1" t="s">
        <x:v>251</x:v>
      </x:c>
      <x:c r="P129" s="1" t="s">
        <x:v>249</x:v>
      </x:c>
      <x:c r="Q129" s="1" t="s">
        <x:v>250</x:v>
      </x:c>
      <x:c r="R129" s="1" t="s">
        <x:v>456</x:v>
      </x:c>
      <x:c r="S129" s="1" t="s">
        <x:v>319</x:v>
      </x:c>
      <x:c r="T129" s="1" t="s">
        <x:v>707</x:v>
      </x:c>
    </x:row>
    <x:row r="130" ht="42">
      <x:c r="A130" s="1" t="s">
        <x:v>723</x:v>
      </x:c>
      <x:c r="B130" s="1" t="s">
        <x:v>254</x:v>
      </x:c>
      <x:c r="C130" s="1">
        <x:v>99</x:v>
      </x:c>
      <x:c r="D130" s="1" t="s">
        <x:v>327</x:v>
      </x:c>
      <x:c r="E130" s="1" t="s">
        <x:v>525</x:v>
      </x:c>
      <x:c r="F130" s="1" t="s">
        <x:v>464</x:v>
      </x:c>
      <x:c r="G130" s="1" t="s">
        <x:v>465</x:v>
      </x:c>
      <x:c r="H130" s="6">
        <x:v>4883.7074000000002</x:v>
      </x:c>
      <x:c r="I130" s="6" t="s">
        <x:v>85</x:v>
      </x:c>
      <x:c r="J130" s="6">
        <x:v>4883.7074000000002</x:v>
      </x:c>
      <x:c r="K130" s="6" t="s">
        <x:v>85</x:v>
      </x:c>
      <x:c r="L130" s="6" t="s">
        <x:v>317</x:v>
      </x:c>
      <x:c r="M130" s="6">
        <x:v>0</x:v>
      </x:c>
      <x:c r="N130" s="7">
        <x:f t="shared" si="3"/>
        <x:v>0</x:v>
      </x:c>
      <x:c r="O130" s="1" t="s">
        <x:v>251</x:v>
      </x:c>
      <x:c r="P130" s="1" t="s">
        <x:v>249</x:v>
      </x:c>
      <x:c r="Q130" s="1" t="s">
        <x:v>250</x:v>
      </x:c>
      <x:c r="R130" s="1" t="s">
        <x:v>456</x:v>
      </x:c>
      <x:c r="S130" s="1" t="s">
        <x:v>319</x:v>
      </x:c>
      <x:c r="T130" s="1" t="s">
        <x:v>329</x:v>
      </x:c>
    </x:row>
    <x:row r="131" ht="42">
      <x:c r="A131" s="1" t="str">
        <x:v>IN-044-01</x:v>
      </x:c>
      <x:c r="B131" s="1" t="str">
        <x:v>VAL-044</x:v>
      </x:c>
      <x:c r="C131" s="1" t="n">
        <x:v>1</x:v>
      </x:c>
      <x:c r="D131" s="1" t="str">
        <x:v>lot_1</x:v>
      </x:c>
      <x:c r="E131" s="1" t="str">
        <x:v>PDF原文披露值</x:v>
      </x:c>
      <x:c r="F131" s="1" t="str">
        <x:v>CE-013-V07</x:v>
      </x:c>
      <x:c r="G131" s="1" t="str">
        <x:v>480,000</x:v>
      </x:c>
      <x:c r="H131" s="6" t="n">
        <x:v>480000</x:v>
      </x:c>
      <x:c r="I131" s="6" t="str">
        <x:v>股</x:v>
      </x:c>
      <x:c r="J131" s="6" t="n">
        <x:v>480000</x:v>
      </x:c>
      <x:c r="K131" s="6" t="str">
        <x:v>股</x:v>
      </x:c>
      <x:c r="L131" s="6" t="str">
        <x:v>无</x:v>
      </x:c>
      <x:c r="M131" s="6" t="n">
        <x:v>1</x:v>
      </x:c>
      <x:c r="N131" s="7" t="n">
        <x:f t="shared" si="3">J131*M131</x:f>
        <x:v>480000</x:v>
      </x:c>
      <x:c r="O131" s="1" t="str">
        <x:v>CE-013-E03</x:v>
      </x:c>
      <x:c r="P131" s="1" t="str">
        <x:v>64</x:v>
      </x:c>
      <x:c r="Q131" s="1" t="str">
        <x:v>63</x:v>
      </x:c>
      <x:c r="R131" s="1" t="str">
        <x:v>原文表格：曾烨→鸿迪投资，转让480,000股，转让价格2,476.80万元。</x:v>
      </x:c>
      <x:c r="S131" s="1" t="str">
        <x:v>PDF原文已定位</x:v>
      </x:c>
      <x:c r="T131" s="1" t="str">
        <x:v>曾烨→鸿迪投资</x:v>
      </x:c>
    </x:row>
    <x:row r="132" ht="42">
      <x:c r="A132" s="1" t="s">
        <x:v>724</x:v>
      </x:c>
      <x:c r="B132" s="1" t="s">
        <x:v>256</x:v>
      </x:c>
      <x:c r="C132" s="1">
        <x:v>99</x:v>
      </x:c>
      <x:c r="D132" s="1" t="s">
        <x:v>327</x:v>
      </x:c>
      <x:c r="E132" s="1" t="s">
        <x:v>525</x:v>
      </x:c>
      <x:c r="F132" s="1" t="s">
        <x:v>466</x:v>
      </x:c>
      <x:c r="G132" s="1" t="s">
        <x:v>725</x:v>
      </x:c>
      <x:c r="H132" s="6">
        <x:v>1659535</x:v>
      </x:c>
      <x:c r="I132" s="6" t="s">
        <x:v>144</x:v>
      </x:c>
      <x:c r="J132" s="6">
        <x:v>1659535</x:v>
      </x:c>
      <x:c r="K132" s="6" t="s">
        <x:v>144</x:v>
      </x:c>
      <x:c r="L132" s="6" t="s">
        <x:v>317</x:v>
      </x:c>
      <x:c r="M132" s="6">
        <x:v>0</x:v>
      </x:c>
      <x:c r="N132" s="7" t="n">
        <x:f t="shared" ref="N132:N163" si="4">J132*M132</x:f>
        <x:v>0</x:v>
      </x:c>
      <x:c r="O132" s="1" t="s">
        <x:v>251</x:v>
      </x:c>
      <x:c r="P132" s="1" t="s">
        <x:v>249</x:v>
      </x:c>
      <x:c r="Q132" s="1" t="s">
        <x:v>250</x:v>
      </x:c>
      <x:c r="R132" s="1" t="s">
        <x:v>456</x:v>
      </x:c>
      <x:c r="S132" s="1" t="s">
        <x:v>319</x:v>
      </x:c>
      <x:c r="T132" s="1" t="s">
        <x:v>329</x:v>
      </x:c>
    </x:row>
    <x:row r="133" ht="42">
      <x:c r="A133" s="1" t="str">
        <x:v>IN-045-01</x:v>
      </x:c>
      <x:c r="B133" s="1" t="str">
        <x:v>VAL-045</x:v>
      </x:c>
      <x:c r="C133" s="1" t="n">
        <x:v>1</x:v>
      </x:c>
      <x:c r="D133" s="1" t="str">
        <x:v>lot_1</x:v>
      </x:c>
      <x:c r="E133" s="1" t="str">
        <x:v>PDF原文披露值</x:v>
      </x:c>
      <x:c r="F133" s="1" t="str">
        <x:v>CE-013-V08</x:v>
      </x:c>
      <x:c r="G133" s="1" t="str">
        <x:v>2,476.80</x:v>
      </x:c>
      <x:c r="H133" s="6" t="n">
        <x:v>2476.8</x:v>
      </x:c>
      <x:c r="I133" s="6" t="str">
        <x:v>万元</x:v>
      </x:c>
      <x:c r="J133" s="6" t="n">
        <x:v>2476.8</x:v>
      </x:c>
      <x:c r="K133" s="6" t="str">
        <x:v>万元</x:v>
      </x:c>
      <x:c r="L133" s="6" t="str">
        <x:v>无</x:v>
      </x:c>
      <x:c r="M133" s="6" t="n">
        <x:v>1</x:v>
      </x:c>
      <x:c r="N133" s="7" t="n">
        <x:f t="shared" si="4">J133*M133</x:f>
        <x:v>2476.8</x:v>
      </x:c>
      <x:c r="O133" s="1" t="str">
        <x:v>CE-013-E03</x:v>
      </x:c>
      <x:c r="P133" s="1" t="str">
        <x:v>64</x:v>
      </x:c>
      <x:c r="Q133" s="1" t="str">
        <x:v>63</x:v>
      </x:c>
      <x:c r="R133" s="1" t="str">
        <x:v>原文表格：曾烨→鸿迪投资，转让480,000股，转让价格2,476.80万元。</x:v>
      </x:c>
      <x:c r="S133" s="1" t="str">
        <x:v>PDF原文已定位</x:v>
      </x:c>
      <x:c r="T133" s="1" t="str">
        <x:v>曾烨→鸿迪投资</x:v>
      </x:c>
    </x:row>
    <x:row r="134" ht="42">
      <x:c r="A134" s="1" t="s">
        <x:v>726</x:v>
      </x:c>
      <x:c r="B134" s="1" t="s">
        <x:v>260</x:v>
      </x:c>
      <x:c r="C134" s="1">
        <x:v>99</x:v>
      </x:c>
      <x:c r="D134" s="1" t="s">
        <x:v>327</x:v>
      </x:c>
      <x:c r="E134" s="1" t="str">
        <x:v>阶段六计算值</x:v>
      </x:c>
      <x:c r="F134" s="1" t="str">
        <x:v>S6-CAL-016-final</x:v>
      </x:c>
      <x:c r="G134" s="1" t="str">
        <x:v>8,563.19</x:v>
      </x:c>
      <x:c r="H134" s="6" t="n">
        <x:v>8563.19</x:v>
      </x:c>
      <x:c r="I134" s="6" t="str">
        <x:v>万元</x:v>
      </x:c>
      <x:c r="J134" s="6" t="n">
        <x:v>8563.19</x:v>
      </x:c>
      <x:c r="K134" s="6" t="str">
        <x:v>万元</x:v>
      </x:c>
      <x:c r="L134" s="6" t="str">
        <x:v>无</x:v>
      </x:c>
      <x:c r="M134" s="6" t="n">
        <x:v>0</x:v>
      </x:c>
      <x:c r="N134" s="7" t="n">
        <x:f t="shared" si="4">J134*M134</x:f>
        <x:v>0</x:v>
      </x:c>
      <x:c r="O134" s="1" t="str">
        <x:v>CE-013-E03</x:v>
      </x:c>
      <x:c r="P134" s="1" t="str">
        <x:v>64</x:v>
      </x:c>
      <x:c r="Q134" s="1" t="str">
        <x:v>63</x:v>
      </x:c>
      <x:c r="R134" s="1" t="str">
        <x:v>招股说明书逐笔披露十笔价款；8,563.19万元为阶段六最终逐笔求和结果。</x:v>
      </x:c>
      <x:c r="S134" s="1" t="str">
        <x:v>上游最终版已验收</x:v>
      </x:c>
      <x:c r="T134" s="1" t="str">
        <x:v>比较阶段六最终计算值，不属于原文直接披露合计。</x:v>
      </x:c>
    </x:row>
    <x:row r="135" ht="42">
      <x:c r="A135" s="1" t="s">
        <x:v>727</x:v>
      </x:c>
      <x:c r="B135" s="1" t="s">
        <x:v>263</x:v>
      </x:c>
      <x:c r="C135" s="1">
        <x:v>1</x:v>
      </x:c>
      <x:c r="D135" s="1" t="s">
        <x:v>710</x:v>
      </x:c>
      <x:c r="E135" s="1" t="s">
        <x:v>541</x:v>
      </x:c>
      <x:c r="F135" s="1" t="s">
        <x:v>728</x:v>
      </x:c>
      <x:c r="G135" s="1" t="s">
        <x:v>729</x:v>
      </x:c>
      <x:c r="H135" s="6">
        <x:v>47480488</x:v>
      </x:c>
      <x:c r="I135" s="6" t="s">
        <x:v>144</x:v>
      </x:c>
      <x:c r="J135" s="6">
        <x:v>47480488</x:v>
      </x:c>
      <x:c r="K135" s="6" t="s">
        <x:v>144</x:v>
      </x:c>
      <x:c r="L135" s="6" t="s">
        <x:v>317</x:v>
      </x:c>
      <x:c r="M135" s="6">
        <x:v>1</x:v>
      </x:c>
      <x:c r="N135" s="7">
        <x:f t="shared" si="4"/>
        <x:v>47480488</x:v>
      </x:c>
      <x:c r="O135" s="1" t="s">
        <x:v>251</x:v>
      </x:c>
      <x:c r="P135" s="1" t="s">
        <x:v>249</x:v>
      </x:c>
      <x:c r="Q135" s="1" t="s">
        <x:v>250</x:v>
      </x:c>
      <x:c r="R135" s="1" t="s">
        <x:v>456</x:v>
      </x:c>
      <x:c r="S135" s="1" t="s">
        <x:v>319</x:v>
      </x:c>
      <x:c r="T135" s="1" t="s">
        <x:v>730</x:v>
      </x:c>
    </x:row>
    <x:row r="136" ht="42">
      <x:c r="A136" s="1" t="s">
        <x:v>731</x:v>
      </x:c>
      <x:c r="B136" s="1" t="s">
        <x:v>263</x:v>
      </x:c>
      <x:c r="C136" s="1">
        <x:v>2</x:v>
      </x:c>
      <x:c r="D136" s="1" t="s">
        <x:v>342</x:v>
      </x:c>
      <x:c r="E136" s="1" t="s">
        <x:v>541</x:v>
      </x:c>
      <x:c r="F136" s="1" t="s">
        <x:v>243</x:v>
      </x:c>
      <x:c r="G136" s="1" t="s">
        <x:v>719</x:v>
      </x:c>
      <x:c r="H136" s="6">
        <x:v>1356586</x:v>
      </x:c>
      <x:c r="I136" s="6" t="s">
        <x:v>144</x:v>
      </x:c>
      <x:c r="J136" s="6">
        <x:v>1356586</x:v>
      </x:c>
      <x:c r="K136" s="6" t="s">
        <x:v>144</x:v>
      </x:c>
      <x:c r="L136" s="6" t="s">
        <x:v>632</x:v>
      </x:c>
      <x:c r="M136" s="6">
        <x:v>1</x:v>
      </x:c>
      <x:c r="N136" s="7">
        <x:f t="shared" si="4"/>
        <x:v>1356586</x:v>
      </x:c>
      <x:c r="O136" s="1" t="s">
        <x:v>251</x:v>
      </x:c>
      <x:c r="P136" s="1" t="s">
        <x:v>249</x:v>
      </x:c>
      <x:c r="Q136" s="1" t="s">
        <x:v>250</x:v>
      </x:c>
      <x:c r="R136" s="1" t="s">
        <x:v>456</x:v>
      </x:c>
      <x:c r="S136" s="1" t="s">
        <x:v>319</x:v>
      </x:c>
      <x:c r="T136" s="1" t="s">
        <x:v>633</x:v>
      </x:c>
    </x:row>
    <x:row r="137" ht="42">
      <x:c r="A137" s="1" t="s">
        <x:v>732</x:v>
      </x:c>
      <x:c r="B137" s="1" t="s">
        <x:v>263</x:v>
      </x:c>
      <x:c r="C137" s="1">
        <x:v>99</x:v>
      </x:c>
      <x:c r="D137" s="1" t="s">
        <x:v>327</x:v>
      </x:c>
      <x:c r="E137" s="1" t="s">
        <x:v>525</x:v>
      </x:c>
      <x:c r="F137" s="1" t="s">
        <x:v>473</x:v>
      </x:c>
      <x:c r="G137" s="1" t="s">
        <x:v>474</x:v>
      </x:c>
      <x:c r="H137" s="6">
        <x:v>48837074</x:v>
      </x:c>
      <x:c r="I137" s="6" t="s">
        <x:v>144</x:v>
      </x:c>
      <x:c r="J137" s="6">
        <x:v>48837074</x:v>
      </x:c>
      <x:c r="K137" s="6" t="s">
        <x:v>144</x:v>
      </x:c>
      <x:c r="L137" s="6" t="s">
        <x:v>317</x:v>
      </x:c>
      <x:c r="M137" s="6">
        <x:v>0</x:v>
      </x:c>
      <x:c r="N137" s="7">
        <x:f t="shared" si="4"/>
        <x:v>0</x:v>
      </x:c>
      <x:c r="O137" s="1" t="s">
        <x:v>251</x:v>
      </x:c>
      <x:c r="P137" s="1" t="s">
        <x:v>249</x:v>
      </x:c>
      <x:c r="Q137" s="1" t="s">
        <x:v>250</x:v>
      </x:c>
      <x:c r="R137" s="1" t="s">
        <x:v>456</x:v>
      </x:c>
      <x:c r="S137" s="1" t="s">
        <x:v>319</x:v>
      </x:c>
      <x:c r="T137" s="1" t="s">
        <x:v>329</x:v>
      </x:c>
    </x:row>
    <x:row r="138" ht="28">
      <x:c r="A138" s="1" t="s">
        <x:v>733</x:v>
      </x:c>
      <x:c r="B138" s="1" t="s">
        <x:v>267</x:v>
      </x:c>
      <x:c r="C138" s="1">
        <x:v>1</x:v>
      </x:c>
      <x:c r="D138" s="1" t="s">
        <x:v>734</x:v>
      </x:c>
      <x:c r="E138" s="1" t="s">
        <x:v>541</x:v>
      </x:c>
      <x:c r="F138" s="1" t="s">
        <x:v>735</x:v>
      </x:c>
      <x:c r="G138" s="1" t="s">
        <x:v>477</x:v>
      </x:c>
      <x:c r="H138" s="6">
        <x:v>48837074</x:v>
      </x:c>
      <x:c r="I138" s="6" t="s">
        <x:v>144</x:v>
      </x:c>
      <x:c r="J138" s="6">
        <x:v>48837074</x:v>
      </x:c>
      <x:c r="K138" s="6" t="s">
        <x:v>144</x:v>
      </x:c>
      <x:c r="L138" s="6" t="s">
        <x:v>317</x:v>
      </x:c>
      <x:c r="M138" s="6">
        <x:v>1</x:v>
      </x:c>
      <x:c r="N138" s="7">
        <x:f t="shared" si="4"/>
        <x:v>48837074</x:v>
      </x:c>
      <x:c r="O138" s="1" t="s">
        <x:v>275</x:v>
      </x:c>
      <x:c r="P138" s="1" t="s">
        <x:v>273</x:v>
      </x:c>
      <x:c r="Q138" s="1" t="s">
        <x:v>274</x:v>
      </x:c>
      <x:c r="R138" s="1" t="s">
        <x:v>478</x:v>
      </x:c>
      <x:c r="S138" s="1" t="s">
        <x:v>319</x:v>
      </x:c>
      <x:c r="T138" s="1" t="s">
        <x:v>736</x:v>
      </x:c>
    </x:row>
    <x:row r="139" ht="28">
      <x:c r="A139" s="1" t="s">
        <x:v>737</x:v>
      </x:c>
      <x:c r="B139" s="1" t="s">
        <x:v>267</x:v>
      </x:c>
      <x:c r="C139" s="1">
        <x:v>2</x:v>
      </x:c>
      <x:c r="D139" s="1" t="s">
        <x:v>476</x:v>
      </x:c>
      <x:c r="E139" s="1" t="s">
        <x:v>541</x:v>
      </x:c>
      <x:c r="F139" s="1" t="s">
        <x:v>475</x:v>
      </x:c>
      <x:c r="G139" s="1" t="s">
        <x:v>477</x:v>
      </x:c>
      <x:c r="H139" s="6">
        <x:v>48837074</x:v>
      </x:c>
      <x:c r="I139" s="6" t="s">
        <x:v>144</x:v>
      </x:c>
      <x:c r="J139" s="6">
        <x:v>48837074</x:v>
      </x:c>
      <x:c r="K139" s="6" t="s">
        <x:v>144</x:v>
      </x:c>
      <x:c r="L139" s="6" t="s">
        <x:v>317</x:v>
      </x:c>
      <x:c r="M139" s="6">
        <x:v>-1</x:v>
      </x:c>
      <x:c r="N139" s="7">
        <x:f t="shared" si="4"/>
        <x:v>-48837074</x:v>
      </x:c>
      <x:c r="O139" s="1" t="s">
        <x:v>275</x:v>
      </x:c>
      <x:c r="P139" s="1" t="s">
        <x:v>273</x:v>
      </x:c>
      <x:c r="Q139" s="1" t="s">
        <x:v>274</x:v>
      </x:c>
      <x:c r="R139" s="1" t="s">
        <x:v>478</x:v>
      </x:c>
      <x:c r="S139" s="1" t="s">
        <x:v>319</x:v>
      </x:c>
      <x:c r="T139" s="1" t="s">
        <x:v>479</x:v>
      </x:c>
    </x:row>
    <x:row r="140" ht="28">
      <x:c r="A140" s="1" t="s">
        <x:v>738</x:v>
      </x:c>
      <x:c r="B140" s="1" t="s">
        <x:v>267</x:v>
      </x:c>
      <x:c r="C140" s="1">
        <x:v>99</x:v>
      </x:c>
      <x:c r="D140" s="1" t="s">
        <x:v>327</x:v>
      </x:c>
      <x:c r="E140" s="1" t="s">
        <x:v>525</x:v>
      </x:c>
      <x:c r="F140" s="1" t="s">
        <x:v>268</x:v>
      </x:c>
      <x:c r="G140" s="1" t="s">
        <x:v>480</x:v>
      </x:c>
      <x:c r="H140" s="6">
        <x:v>0</x:v>
      </x:c>
      <x:c r="I140" s="6" t="s">
        <x:v>144</x:v>
      </x:c>
      <x:c r="J140" s="6">
        <x:v>0</x:v>
      </x:c>
      <x:c r="K140" s="6" t="s">
        <x:v>144</x:v>
      </x:c>
      <x:c r="L140" s="6" t="s">
        <x:v>317</x:v>
      </x:c>
      <x:c r="M140" s="6">
        <x:v>0</x:v>
      </x:c>
      <x:c r="N140" s="7">
        <x:f t="shared" si="4"/>
        <x:v>0</x:v>
      </x:c>
      <x:c r="O140" s="1" t="s">
        <x:v>275</x:v>
      </x:c>
      <x:c r="P140" s="1" t="s">
        <x:v>273</x:v>
      </x:c>
      <x:c r="Q140" s="1" t="s">
        <x:v>274</x:v>
      </x:c>
      <x:c r="R140" s="1" t="s">
        <x:v>478</x:v>
      </x:c>
      <x:c r="S140" s="1" t="s">
        <x:v>319</x:v>
      </x:c>
      <x:c r="T140" s="1" t="s">
        <x:v>329</x:v>
      </x:c>
    </x:row>
    <x:row r="141" ht="42">
      <x:c r="A141" s="1" t="s">
        <x:v>739</x:v>
      </x:c>
      <x:c r="B141" s="1" t="s">
        <x:v>277</x:v>
      </x:c>
      <x:c r="C141" s="1">
        <x:v>1</x:v>
      </x:c>
      <x:c r="D141" s="1" t="s">
        <x:v>315</x:v>
      </x:c>
      <x:c r="E141" s="1" t="s">
        <x:v>525</x:v>
      </x:c>
      <x:c r="F141" s="1" t="s">
        <x:v>481</x:v>
      </x:c>
      <x:c r="G141" s="1" t="s">
        <x:v>482</x:v>
      </x:c>
      <x:c r="H141" s="6">
        <x:v>17792000</x:v>
      </x:c>
      <x:c r="I141" s="6" t="s">
        <x:v>144</x:v>
      </x:c>
      <x:c r="J141" s="6">
        <x:v>17792000</x:v>
      </x:c>
      <x:c r="K141" s="6" t="s">
        <x:v>144</x:v>
      </x:c>
      <x:c r="L141" s="6" t="s">
        <x:v>317</x:v>
      </x:c>
      <x:c r="M141" s="6">
        <x:v>1</x:v>
      </x:c>
      <x:c r="N141" s="7">
        <x:f t="shared" si="4"/>
        <x:v>17792000</x:v>
      </x:c>
      <x:c r="O141" s="1" t="s">
        <x:v>284</x:v>
      </x:c>
      <x:c r="P141" s="1" t="s">
        <x:v>282</x:v>
      </x:c>
      <x:c r="Q141" s="1" t="s">
        <x:v>283</x:v>
      </x:c>
      <x:c r="R141" s="1" t="s">
        <x:v>483</x:v>
      </x:c>
      <x:c r="S141" s="1" t="s">
        <x:v>319</x:v>
      </x:c>
      <x:c r="T141" s="1" t="s">
        <x:v>484</x:v>
      </x:c>
    </x:row>
    <x:row r="142" ht="42">
      <x:c r="A142" s="1" t="s">
        <x:v>740</x:v>
      </x:c>
      <x:c r="B142" s="1" t="s">
        <x:v>277</x:v>
      </x:c>
      <x:c r="C142" s="1">
        <x:v>2</x:v>
      </x:c>
      <x:c r="D142" s="1" t="s">
        <x:v>323</x:v>
      </x:c>
      <x:c r="E142" s="1" t="s">
        <x:v>525</x:v>
      </x:c>
      <x:c r="F142" s="1" t="s">
        <x:v>485</x:v>
      </x:c>
      <x:c r="G142" s="1" t="s">
        <x:v>486</x:v>
      </x:c>
      <x:c r="H142" s="6">
        <x:v>40000000</x:v>
      </x:c>
      <x:c r="I142" s="6" t="s">
        <x:v>144</x:v>
      </x:c>
      <x:c r="J142" s="6">
        <x:v>40000000</x:v>
      </x:c>
      <x:c r="K142" s="6" t="s">
        <x:v>144</x:v>
      </x:c>
      <x:c r="L142" s="6" t="s">
        <x:v>317</x:v>
      </x:c>
      <x:c r="M142" s="6">
        <x:v>1</x:v>
      </x:c>
      <x:c r="N142" s="7">
        <x:f t="shared" si="4"/>
        <x:v>40000000</x:v>
      </x:c>
      <x:c r="O142" s="1" t="s">
        <x:v>284</x:v>
      </x:c>
      <x:c r="P142" s="1" t="s">
        <x:v>282</x:v>
      </x:c>
      <x:c r="Q142" s="1" t="s">
        <x:v>283</x:v>
      </x:c>
      <x:c r="R142" s="1" t="s">
        <x:v>483</x:v>
      </x:c>
      <x:c r="S142" s="1" t="s">
        <x:v>319</x:v>
      </x:c>
      <x:c r="T142" s="1" t="s">
        <x:v>487</x:v>
      </x:c>
    </x:row>
    <x:row r="143" ht="42">
      <x:c r="A143" s="1" t="s">
        <x:v>741</x:v>
      </x:c>
      <x:c r="B143" s="1" t="s">
        <x:v>277</x:v>
      </x:c>
      <x:c r="C143" s="1">
        <x:v>99</x:v>
      </x:c>
      <x:c r="D143" s="1" t="s">
        <x:v>327</x:v>
      </x:c>
      <x:c r="E143" s="1" t="s">
        <x:v>525</x:v>
      </x:c>
      <x:c r="F143" s="1" t="s">
        <x:v>488</x:v>
      </x:c>
      <x:c r="G143" s="1" t="s">
        <x:v>489</x:v>
      </x:c>
      <x:c r="H143" s="6">
        <x:v>44.48</x:v>
      </x:c>
      <x:c r="I143" s="6" t="s">
        <x:v>68</x:v>
      </x:c>
      <x:c r="J143" s="6">
        <x:v>44.48</x:v>
      </x:c>
      <x:c r="K143" s="6" t="s">
        <x:v>68</x:v>
      </x:c>
      <x:c r="L143" s="6" t="s">
        <x:v>317</x:v>
      </x:c>
      <x:c r="M143" s="6">
        <x:v>0</x:v>
      </x:c>
      <x:c r="N143" s="7">
        <x:f t="shared" si="4"/>
        <x:v>0</x:v>
      </x:c>
      <x:c r="O143" s="1" t="s">
        <x:v>284</x:v>
      </x:c>
      <x:c r="P143" s="1" t="s">
        <x:v>282</x:v>
      </x:c>
      <x:c r="Q143" s="1" t="s">
        <x:v>283</x:v>
      </x:c>
      <x:c r="R143" s="1" t="s">
        <x:v>483</x:v>
      </x:c>
      <x:c r="S143" s="1" t="s">
        <x:v>319</x:v>
      </x:c>
      <x:c r="T143" s="1" t="s">
        <x:v>329</x:v>
      </x:c>
    </x:row>
    <x:row r="144" ht="42">
      <x:c r="A144" s="1" t="s">
        <x:v>742</x:v>
      </x:c>
      <x:c r="B144" s="1" t="s">
        <x:v>286</x:v>
      </x:c>
      <x:c r="C144" s="1">
        <x:v>1</x:v>
      </x:c>
      <x:c r="D144" s="1" t="s">
        <x:v>315</x:v>
      </x:c>
      <x:c r="E144" s="1" t="s">
        <x:v>525</x:v>
      </x:c>
      <x:c r="F144" s="1" t="s">
        <x:v>490</x:v>
      </x:c>
      <x:c r="G144" s="1" t="s">
        <x:v>491</x:v>
      </x:c>
      <x:c r="H144" s="6">
        <x:v>7413360</x:v>
      </x:c>
      <x:c r="I144" s="6" t="s">
        <x:v>144</x:v>
      </x:c>
      <x:c r="J144" s="6">
        <x:v>7413360</x:v>
      </x:c>
      <x:c r="K144" s="6" t="s">
        <x:v>144</x:v>
      </x:c>
      <x:c r="L144" s="6" t="s">
        <x:v>317</x:v>
      </x:c>
      <x:c r="M144" s="6">
        <x:v>1</x:v>
      </x:c>
      <x:c r="N144" s="7">
        <x:f t="shared" si="4"/>
        <x:v>7413360</x:v>
      </x:c>
      <x:c r="O144" s="1" t="s">
        <x:v>284</x:v>
      </x:c>
      <x:c r="P144" s="1" t="s">
        <x:v>282</x:v>
      </x:c>
      <x:c r="Q144" s="1" t="s">
        <x:v>283</x:v>
      </x:c>
      <x:c r="R144" s="1" t="s">
        <x:v>483</x:v>
      </x:c>
      <x:c r="S144" s="1" t="s">
        <x:v>319</x:v>
      </x:c>
      <x:c r="T144" s="1" t="s">
        <x:v>484</x:v>
      </x:c>
    </x:row>
    <x:row r="145" ht="42">
      <x:c r="A145" s="1" t="s">
        <x:v>743</x:v>
      </x:c>
      <x:c r="B145" s="1" t="s">
        <x:v>286</x:v>
      </x:c>
      <x:c r="C145" s="1">
        <x:v>2</x:v>
      </x:c>
      <x:c r="D145" s="1" t="s">
        <x:v>323</x:v>
      </x:c>
      <x:c r="E145" s="1" t="s">
        <x:v>525</x:v>
      </x:c>
      <x:c r="F145" s="1" t="s">
        <x:v>485</x:v>
      </x:c>
      <x:c r="G145" s="1" t="s">
        <x:v>486</x:v>
      </x:c>
      <x:c r="H145" s="6">
        <x:v>40000000</x:v>
      </x:c>
      <x:c r="I145" s="6" t="s">
        <x:v>144</x:v>
      </x:c>
      <x:c r="J145" s="6">
        <x:v>40000000</x:v>
      </x:c>
      <x:c r="K145" s="6" t="s">
        <x:v>144</x:v>
      </x:c>
      <x:c r="L145" s="6" t="s">
        <x:v>317</x:v>
      </x:c>
      <x:c r="M145" s="6">
        <x:v>1</x:v>
      </x:c>
      <x:c r="N145" s="7">
        <x:f t="shared" si="4"/>
        <x:v>40000000</x:v>
      </x:c>
      <x:c r="O145" s="1" t="s">
        <x:v>284</x:v>
      </x:c>
      <x:c r="P145" s="1" t="s">
        <x:v>282</x:v>
      </x:c>
      <x:c r="Q145" s="1" t="s">
        <x:v>283</x:v>
      </x:c>
      <x:c r="R145" s="1" t="s">
        <x:v>483</x:v>
      </x:c>
      <x:c r="S145" s="1" t="s">
        <x:v>319</x:v>
      </x:c>
      <x:c r="T145" s="1" t="s">
        <x:v>487</x:v>
      </x:c>
    </x:row>
    <x:row r="146" ht="42">
      <x:c r="A146" s="1" t="s">
        <x:v>744</x:v>
      </x:c>
      <x:c r="B146" s="1" t="s">
        <x:v>286</x:v>
      </x:c>
      <x:c r="C146" s="1">
        <x:v>99</x:v>
      </x:c>
      <x:c r="D146" s="1" t="s">
        <x:v>327</x:v>
      </x:c>
      <x:c r="E146" s="1" t="s">
        <x:v>525</x:v>
      </x:c>
      <x:c r="F146" s="1" t="s">
        <x:v>492</x:v>
      </x:c>
      <x:c r="G146" s="1" t="s">
        <x:v>493</x:v>
      </x:c>
      <x:c r="H146" s="6">
        <x:v>18.53</x:v>
      </x:c>
      <x:c r="I146" s="6" t="s">
        <x:v>68</x:v>
      </x:c>
      <x:c r="J146" s="6">
        <x:v>18.53</x:v>
      </x:c>
      <x:c r="K146" s="6" t="s">
        <x:v>68</x:v>
      </x:c>
      <x:c r="L146" s="6" t="s">
        <x:v>317</x:v>
      </x:c>
      <x:c r="M146" s="6">
        <x:v>0</x:v>
      </x:c>
      <x:c r="N146" s="7">
        <x:f t="shared" si="4"/>
        <x:v>0</x:v>
      </x:c>
      <x:c r="O146" s="1" t="s">
        <x:v>284</x:v>
      </x:c>
      <x:c r="P146" s="1" t="s">
        <x:v>282</x:v>
      </x:c>
      <x:c r="Q146" s="1" t="s">
        <x:v>283</x:v>
      </x:c>
      <x:c r="R146" s="1" t="s">
        <x:v>483</x:v>
      </x:c>
      <x:c r="S146" s="1" t="s">
        <x:v>319</x:v>
      </x:c>
      <x:c r="T146" s="1" t="s">
        <x:v>329</x:v>
      </x:c>
    </x:row>
    <x:row r="147" ht="42">
      <x:c r="A147" s="1" t="s">
        <x:v>745</x:v>
      </x:c>
      <x:c r="B147" s="1" t="s">
        <x:v>288</x:v>
      </x:c>
      <x:c r="C147" s="1">
        <x:v>1</x:v>
      </x:c>
      <x:c r="D147" s="1" t="s">
        <x:v>315</x:v>
      </x:c>
      <x:c r="E147" s="1" t="s">
        <x:v>525</x:v>
      </x:c>
      <x:c r="F147" s="1" t="s">
        <x:v>494</x:v>
      </x:c>
      <x:c r="G147" s="1" t="s">
        <x:v>495</x:v>
      </x:c>
      <x:c r="H147" s="6">
        <x:v>5004000</x:v>
      </x:c>
      <x:c r="I147" s="6" t="s">
        <x:v>144</x:v>
      </x:c>
      <x:c r="J147" s="6">
        <x:v>5004000</x:v>
      </x:c>
      <x:c r="K147" s="6" t="s">
        <x:v>144</x:v>
      </x:c>
      <x:c r="L147" s="6" t="s">
        <x:v>317</x:v>
      </x:c>
      <x:c r="M147" s="6">
        <x:v>1</x:v>
      </x:c>
      <x:c r="N147" s="7">
        <x:f t="shared" si="4"/>
        <x:v>5004000</x:v>
      </x:c>
      <x:c r="O147" s="1" t="s">
        <x:v>284</x:v>
      </x:c>
      <x:c r="P147" s="1" t="s">
        <x:v>282</x:v>
      </x:c>
      <x:c r="Q147" s="1" t="s">
        <x:v>283</x:v>
      </x:c>
      <x:c r="R147" s="1" t="s">
        <x:v>483</x:v>
      </x:c>
      <x:c r="S147" s="1" t="s">
        <x:v>319</x:v>
      </x:c>
      <x:c r="T147" s="1" t="s">
        <x:v>484</x:v>
      </x:c>
    </x:row>
    <x:row r="148" ht="42">
      <x:c r="A148" s="1" t="s">
        <x:v>746</x:v>
      </x:c>
      <x:c r="B148" s="1" t="s">
        <x:v>288</x:v>
      </x:c>
      <x:c r="C148" s="1">
        <x:v>2</x:v>
      </x:c>
      <x:c r="D148" s="1" t="s">
        <x:v>323</x:v>
      </x:c>
      <x:c r="E148" s="1" t="s">
        <x:v>525</x:v>
      </x:c>
      <x:c r="F148" s="1" t="s">
        <x:v>485</x:v>
      </x:c>
      <x:c r="G148" s="1" t="s">
        <x:v>486</x:v>
      </x:c>
      <x:c r="H148" s="6">
        <x:v>40000000</x:v>
      </x:c>
      <x:c r="I148" s="6" t="s">
        <x:v>144</x:v>
      </x:c>
      <x:c r="J148" s="6">
        <x:v>40000000</x:v>
      </x:c>
      <x:c r="K148" s="6" t="s">
        <x:v>144</x:v>
      </x:c>
      <x:c r="L148" s="6" t="s">
        <x:v>317</x:v>
      </x:c>
      <x:c r="M148" s="6">
        <x:v>1</x:v>
      </x:c>
      <x:c r="N148" s="7">
        <x:f t="shared" si="4"/>
        <x:v>40000000</x:v>
      </x:c>
      <x:c r="O148" s="1" t="s">
        <x:v>284</x:v>
      </x:c>
      <x:c r="P148" s="1" t="s">
        <x:v>282</x:v>
      </x:c>
      <x:c r="Q148" s="1" t="s">
        <x:v>283</x:v>
      </x:c>
      <x:c r="R148" s="1" t="s">
        <x:v>483</x:v>
      </x:c>
      <x:c r="S148" s="1" t="s">
        <x:v>319</x:v>
      </x:c>
      <x:c r="T148" s="1" t="s">
        <x:v>487</x:v>
      </x:c>
    </x:row>
    <x:row r="149" ht="42">
      <x:c r="A149" s="1" t="s">
        <x:v>747</x:v>
      </x:c>
      <x:c r="B149" s="1" t="s">
        <x:v>288</x:v>
      </x:c>
      <x:c r="C149" s="1">
        <x:v>99</x:v>
      </x:c>
      <x:c r="D149" s="1" t="s">
        <x:v>327</x:v>
      </x:c>
      <x:c r="E149" s="1" t="s">
        <x:v>525</x:v>
      </x:c>
      <x:c r="F149" s="1" t="s">
        <x:v>496</x:v>
      </x:c>
      <x:c r="G149" s="1" t="s">
        <x:v>497</x:v>
      </x:c>
      <x:c r="H149" s="6">
        <x:v>12.51</x:v>
      </x:c>
      <x:c r="I149" s="6" t="s">
        <x:v>68</x:v>
      </x:c>
      <x:c r="J149" s="6">
        <x:v>12.51</x:v>
      </x:c>
      <x:c r="K149" s="6" t="s">
        <x:v>68</x:v>
      </x:c>
      <x:c r="L149" s="6" t="s">
        <x:v>317</x:v>
      </x:c>
      <x:c r="M149" s="6">
        <x:v>0</x:v>
      </x:c>
      <x:c r="N149" s="7">
        <x:f t="shared" si="4"/>
        <x:v>0</x:v>
      </x:c>
      <x:c r="O149" s="1" t="s">
        <x:v>284</x:v>
      </x:c>
      <x:c r="P149" s="1" t="s">
        <x:v>282</x:v>
      </x:c>
      <x:c r="Q149" s="1" t="s">
        <x:v>283</x:v>
      </x:c>
      <x:c r="R149" s="1" t="s">
        <x:v>483</x:v>
      </x:c>
      <x:c r="S149" s="1" t="s">
        <x:v>319</x:v>
      </x:c>
      <x:c r="T149" s="1" t="s">
        <x:v>329</x:v>
      </x:c>
    </x:row>
    <x:row r="150" ht="42">
      <x:c r="A150" s="1" t="s">
        <x:v>748</x:v>
      </x:c>
      <x:c r="B150" s="1" t="s">
        <x:v>290</x:v>
      </x:c>
      <x:c r="C150" s="1">
        <x:v>1</x:v>
      </x:c>
      <x:c r="D150" s="1" t="s">
        <x:v>315</x:v>
      </x:c>
      <x:c r="E150" s="1" t="s">
        <x:v>525</x:v>
      </x:c>
      <x:c r="F150" s="1" t="s">
        <x:v>498</x:v>
      </x:c>
      <x:c r="G150" s="1" t="s">
        <x:v>499</x:v>
      </x:c>
      <x:c r="H150" s="6">
        <x:v>2835320</x:v>
      </x:c>
      <x:c r="I150" s="6" t="s">
        <x:v>144</x:v>
      </x:c>
      <x:c r="J150" s="6">
        <x:v>2835320</x:v>
      </x:c>
      <x:c r="K150" s="6" t="s">
        <x:v>144</x:v>
      </x:c>
      <x:c r="L150" s="6" t="s">
        <x:v>317</x:v>
      </x:c>
      <x:c r="M150" s="6">
        <x:v>1</x:v>
      </x:c>
      <x:c r="N150" s="7">
        <x:f t="shared" si="4"/>
        <x:v>2835320</x:v>
      </x:c>
      <x:c r="O150" s="1" t="s">
        <x:v>284</x:v>
      </x:c>
      <x:c r="P150" s="1" t="s">
        <x:v>282</x:v>
      </x:c>
      <x:c r="Q150" s="1" t="s">
        <x:v>283</x:v>
      </x:c>
      <x:c r="R150" s="1" t="s">
        <x:v>483</x:v>
      </x:c>
      <x:c r="S150" s="1" t="s">
        <x:v>319</x:v>
      </x:c>
      <x:c r="T150" s="1" t="s">
        <x:v>484</x:v>
      </x:c>
    </x:row>
    <x:row r="151" ht="42">
      <x:c r="A151" s="1" t="s">
        <x:v>749</x:v>
      </x:c>
      <x:c r="B151" s="1" t="s">
        <x:v>290</x:v>
      </x:c>
      <x:c r="C151" s="1">
        <x:v>2</x:v>
      </x:c>
      <x:c r="D151" s="1" t="s">
        <x:v>323</x:v>
      </x:c>
      <x:c r="E151" s="1" t="s">
        <x:v>525</x:v>
      </x:c>
      <x:c r="F151" s="1" t="s">
        <x:v>485</x:v>
      </x:c>
      <x:c r="G151" s="1" t="s">
        <x:v>486</x:v>
      </x:c>
      <x:c r="H151" s="6">
        <x:v>40000000</x:v>
      </x:c>
      <x:c r="I151" s="6" t="s">
        <x:v>144</x:v>
      </x:c>
      <x:c r="J151" s="6">
        <x:v>40000000</x:v>
      </x:c>
      <x:c r="K151" s="6" t="s">
        <x:v>144</x:v>
      </x:c>
      <x:c r="L151" s="6" t="s">
        <x:v>317</x:v>
      </x:c>
      <x:c r="M151" s="6">
        <x:v>1</x:v>
      </x:c>
      <x:c r="N151" s="7">
        <x:f t="shared" si="4"/>
        <x:v>40000000</x:v>
      </x:c>
      <x:c r="O151" s="1" t="s">
        <x:v>284</x:v>
      </x:c>
      <x:c r="P151" s="1" t="s">
        <x:v>282</x:v>
      </x:c>
      <x:c r="Q151" s="1" t="s">
        <x:v>283</x:v>
      </x:c>
      <x:c r="R151" s="1" t="s">
        <x:v>483</x:v>
      </x:c>
      <x:c r="S151" s="1" t="s">
        <x:v>319</x:v>
      </x:c>
      <x:c r="T151" s="1" t="s">
        <x:v>487</x:v>
      </x:c>
    </x:row>
    <x:row r="152" ht="42">
      <x:c r="A152" s="1" t="s">
        <x:v>750</x:v>
      </x:c>
      <x:c r="B152" s="1" t="s">
        <x:v>290</x:v>
      </x:c>
      <x:c r="C152" s="1">
        <x:v>99</x:v>
      </x:c>
      <x:c r="D152" s="1" t="s">
        <x:v>327</x:v>
      </x:c>
      <x:c r="E152" s="1" t="s">
        <x:v>525</x:v>
      </x:c>
      <x:c r="F152" s="1" t="s">
        <x:v>500</x:v>
      </x:c>
      <x:c r="G152" s="1" t="s">
        <x:v>501</x:v>
      </x:c>
      <x:c r="H152" s="6">
        <x:v>7.09</x:v>
      </x:c>
      <x:c r="I152" s="6" t="s">
        <x:v>68</x:v>
      </x:c>
      <x:c r="J152" s="6">
        <x:v>7.09</x:v>
      </x:c>
      <x:c r="K152" s="6" t="s">
        <x:v>68</x:v>
      </x:c>
      <x:c r="L152" s="6" t="s">
        <x:v>317</x:v>
      </x:c>
      <x:c r="M152" s="6">
        <x:v>0</x:v>
      </x:c>
      <x:c r="N152" s="7">
        <x:f t="shared" si="4"/>
        <x:v>0</x:v>
      </x:c>
      <x:c r="O152" s="1" t="s">
        <x:v>284</x:v>
      </x:c>
      <x:c r="P152" s="1" t="s">
        <x:v>282</x:v>
      </x:c>
      <x:c r="Q152" s="1" t="s">
        <x:v>283</x:v>
      </x:c>
      <x:c r="R152" s="1" t="s">
        <x:v>483</x:v>
      </x:c>
      <x:c r="S152" s="1" t="s">
        <x:v>319</x:v>
      </x:c>
      <x:c r="T152" s="1" t="s">
        <x:v>329</x:v>
      </x:c>
    </x:row>
    <x:row r="153" ht="42">
      <x:c r="A153" s="1" t="s">
        <x:v>751</x:v>
      </x:c>
      <x:c r="B153" s="1" t="s">
        <x:v>292</x:v>
      </x:c>
      <x:c r="C153" s="1">
        <x:v>1</x:v>
      </x:c>
      <x:c r="D153" s="1" t="s">
        <x:v>315</x:v>
      </x:c>
      <x:c r="E153" s="1" t="s">
        <x:v>525</x:v>
      </x:c>
      <x:c r="F153" s="1" t="s">
        <x:v>502</x:v>
      </x:c>
      <x:c r="G153" s="1" t="s">
        <x:v>503</x:v>
      </x:c>
      <x:c r="H153" s="6">
        <x:v>2502000</x:v>
      </x:c>
      <x:c r="I153" s="6" t="s">
        <x:v>144</x:v>
      </x:c>
      <x:c r="J153" s="6">
        <x:v>2502000</x:v>
      </x:c>
      <x:c r="K153" s="6" t="s">
        <x:v>144</x:v>
      </x:c>
      <x:c r="L153" s="6" t="s">
        <x:v>317</x:v>
      </x:c>
      <x:c r="M153" s="6">
        <x:v>1</x:v>
      </x:c>
      <x:c r="N153" s="7">
        <x:f t="shared" si="4"/>
        <x:v>2502000</x:v>
      </x:c>
      <x:c r="O153" s="1" t="s">
        <x:v>284</x:v>
      </x:c>
      <x:c r="P153" s="1" t="s">
        <x:v>282</x:v>
      </x:c>
      <x:c r="Q153" s="1" t="s">
        <x:v>283</x:v>
      </x:c>
      <x:c r="R153" s="1" t="s">
        <x:v>483</x:v>
      </x:c>
      <x:c r="S153" s="1" t="s">
        <x:v>319</x:v>
      </x:c>
      <x:c r="T153" s="1" t="s">
        <x:v>484</x:v>
      </x:c>
    </x:row>
    <x:row r="154" ht="42">
      <x:c r="A154" s="1" t="s">
        <x:v>752</x:v>
      </x:c>
      <x:c r="B154" s="1" t="s">
        <x:v>292</x:v>
      </x:c>
      <x:c r="C154" s="1">
        <x:v>2</x:v>
      </x:c>
      <x:c r="D154" s="1" t="s">
        <x:v>323</x:v>
      </x:c>
      <x:c r="E154" s="1" t="s">
        <x:v>525</x:v>
      </x:c>
      <x:c r="F154" s="1" t="s">
        <x:v>485</x:v>
      </x:c>
      <x:c r="G154" s="1" t="s">
        <x:v>486</x:v>
      </x:c>
      <x:c r="H154" s="6">
        <x:v>40000000</x:v>
      </x:c>
      <x:c r="I154" s="6" t="s">
        <x:v>144</x:v>
      </x:c>
      <x:c r="J154" s="6">
        <x:v>40000000</x:v>
      </x:c>
      <x:c r="K154" s="6" t="s">
        <x:v>144</x:v>
      </x:c>
      <x:c r="L154" s="6" t="s">
        <x:v>317</x:v>
      </x:c>
      <x:c r="M154" s="6">
        <x:v>1</x:v>
      </x:c>
      <x:c r="N154" s="7">
        <x:f t="shared" si="4"/>
        <x:v>40000000</x:v>
      </x:c>
      <x:c r="O154" s="1" t="s">
        <x:v>284</x:v>
      </x:c>
      <x:c r="P154" s="1" t="s">
        <x:v>282</x:v>
      </x:c>
      <x:c r="Q154" s="1" t="s">
        <x:v>283</x:v>
      </x:c>
      <x:c r="R154" s="1" t="s">
        <x:v>483</x:v>
      </x:c>
      <x:c r="S154" s="1" t="s">
        <x:v>319</x:v>
      </x:c>
      <x:c r="T154" s="1" t="s">
        <x:v>487</x:v>
      </x:c>
    </x:row>
    <x:row r="155" ht="42">
      <x:c r="A155" s="1" t="s">
        <x:v>753</x:v>
      </x:c>
      <x:c r="B155" s="1" t="s">
        <x:v>292</x:v>
      </x:c>
      <x:c r="C155" s="1">
        <x:v>99</x:v>
      </x:c>
      <x:c r="D155" s="1" t="s">
        <x:v>327</x:v>
      </x:c>
      <x:c r="E155" s="1" t="s">
        <x:v>525</x:v>
      </x:c>
      <x:c r="F155" s="1" t="s">
        <x:v>504</x:v>
      </x:c>
      <x:c r="G155" s="1" t="s">
        <x:v>505</x:v>
      </x:c>
      <x:c r="H155" s="6">
        <x:v>6.26</x:v>
      </x:c>
      <x:c r="I155" s="6" t="s">
        <x:v>68</x:v>
      </x:c>
      <x:c r="J155" s="6">
        <x:v>6.26</x:v>
      </x:c>
      <x:c r="K155" s="6" t="s">
        <x:v>68</x:v>
      </x:c>
      <x:c r="L155" s="6" t="s">
        <x:v>317</x:v>
      </x:c>
      <x:c r="M155" s="6">
        <x:v>0</x:v>
      </x:c>
      <x:c r="N155" s="7">
        <x:f t="shared" si="4"/>
        <x:v>0</x:v>
      </x:c>
      <x:c r="O155" s="1" t="s">
        <x:v>284</x:v>
      </x:c>
      <x:c r="P155" s="1" t="s">
        <x:v>282</x:v>
      </x:c>
      <x:c r="Q155" s="1" t="s">
        <x:v>283</x:v>
      </x:c>
      <x:c r="R155" s="1" t="s">
        <x:v>483</x:v>
      </x:c>
      <x:c r="S155" s="1" t="s">
        <x:v>319</x:v>
      </x:c>
      <x:c r="T155" s="1" t="s">
        <x:v>329</x:v>
      </x:c>
    </x:row>
    <x:row r="156" ht="42">
      <x:c r="A156" s="1" t="s">
        <x:v>754</x:v>
      </x:c>
      <x:c r="B156" s="1" t="s">
        <x:v>294</x:v>
      </x:c>
      <x:c r="C156" s="1">
        <x:v>1</x:v>
      </x:c>
      <x:c r="D156" s="1" t="s">
        <x:v>315</x:v>
      </x:c>
      <x:c r="E156" s="1" t="s">
        <x:v>525</x:v>
      </x:c>
      <x:c r="F156" s="1" t="s">
        <x:v>506</x:v>
      </x:c>
      <x:c r="G156" s="1" t="s">
        <x:v>507</x:v>
      </x:c>
      <x:c r="H156" s="6">
        <x:v>1853360</x:v>
      </x:c>
      <x:c r="I156" s="6" t="s">
        <x:v>144</x:v>
      </x:c>
      <x:c r="J156" s="6">
        <x:v>1853360</x:v>
      </x:c>
      <x:c r="K156" s="6" t="s">
        <x:v>144</x:v>
      </x:c>
      <x:c r="L156" s="6" t="s">
        <x:v>317</x:v>
      </x:c>
      <x:c r="M156" s="6">
        <x:v>1</x:v>
      </x:c>
      <x:c r="N156" s="7">
        <x:f t="shared" si="4"/>
        <x:v>1853360</x:v>
      </x:c>
      <x:c r="O156" s="1" t="s">
        <x:v>284</x:v>
      </x:c>
      <x:c r="P156" s="1" t="s">
        <x:v>282</x:v>
      </x:c>
      <x:c r="Q156" s="1" t="s">
        <x:v>283</x:v>
      </x:c>
      <x:c r="R156" s="1" t="s">
        <x:v>483</x:v>
      </x:c>
      <x:c r="S156" s="1" t="s">
        <x:v>319</x:v>
      </x:c>
      <x:c r="T156" s="1" t="s">
        <x:v>484</x:v>
      </x:c>
    </x:row>
    <x:row r="157" ht="42">
      <x:c r="A157" s="1" t="s">
        <x:v>755</x:v>
      </x:c>
      <x:c r="B157" s="1" t="s">
        <x:v>294</x:v>
      </x:c>
      <x:c r="C157" s="1">
        <x:v>2</x:v>
      </x:c>
      <x:c r="D157" s="1" t="s">
        <x:v>323</x:v>
      </x:c>
      <x:c r="E157" s="1" t="s">
        <x:v>525</x:v>
      </x:c>
      <x:c r="F157" s="1" t="s">
        <x:v>485</x:v>
      </x:c>
      <x:c r="G157" s="1" t="s">
        <x:v>486</x:v>
      </x:c>
      <x:c r="H157" s="6">
        <x:v>40000000</x:v>
      </x:c>
      <x:c r="I157" s="6" t="s">
        <x:v>144</x:v>
      </x:c>
      <x:c r="J157" s="6">
        <x:v>40000000</x:v>
      </x:c>
      <x:c r="K157" s="6" t="s">
        <x:v>144</x:v>
      </x:c>
      <x:c r="L157" s="6" t="s">
        <x:v>317</x:v>
      </x:c>
      <x:c r="M157" s="6">
        <x:v>1</x:v>
      </x:c>
      <x:c r="N157" s="7">
        <x:f t="shared" si="4"/>
        <x:v>40000000</x:v>
      </x:c>
      <x:c r="O157" s="1" t="s">
        <x:v>284</x:v>
      </x:c>
      <x:c r="P157" s="1" t="s">
        <x:v>282</x:v>
      </x:c>
      <x:c r="Q157" s="1" t="s">
        <x:v>283</x:v>
      </x:c>
      <x:c r="R157" s="1" t="s">
        <x:v>483</x:v>
      </x:c>
      <x:c r="S157" s="1" t="s">
        <x:v>319</x:v>
      </x:c>
      <x:c r="T157" s="1" t="s">
        <x:v>487</x:v>
      </x:c>
    </x:row>
    <x:row r="158" ht="42">
      <x:c r="A158" s="1" t="s">
        <x:v>756</x:v>
      </x:c>
      <x:c r="B158" s="1" t="s">
        <x:v>294</x:v>
      </x:c>
      <x:c r="C158" s="1">
        <x:v>99</x:v>
      </x:c>
      <x:c r="D158" s="1" t="s">
        <x:v>327</x:v>
      </x:c>
      <x:c r="E158" s="1" t="s">
        <x:v>525</x:v>
      </x:c>
      <x:c r="F158" s="1" t="s">
        <x:v>508</x:v>
      </x:c>
      <x:c r="G158" s="1" t="s">
        <x:v>509</x:v>
      </x:c>
      <x:c r="H158" s="6">
        <x:v>4.63</x:v>
      </x:c>
      <x:c r="I158" s="6" t="s">
        <x:v>68</x:v>
      </x:c>
      <x:c r="J158" s="6">
        <x:v>4.63</x:v>
      </x:c>
      <x:c r="K158" s="6" t="s">
        <x:v>68</x:v>
      </x:c>
      <x:c r="L158" s="6" t="s">
        <x:v>317</x:v>
      </x:c>
      <x:c r="M158" s="6">
        <x:v>0</x:v>
      </x:c>
      <x:c r="N158" s="7">
        <x:f t="shared" si="4"/>
        <x:v>0</x:v>
      </x:c>
      <x:c r="O158" s="1" t="s">
        <x:v>284</x:v>
      </x:c>
      <x:c r="P158" s="1" t="s">
        <x:v>282</x:v>
      </x:c>
      <x:c r="Q158" s="1" t="s">
        <x:v>283</x:v>
      </x:c>
      <x:c r="R158" s="1" t="s">
        <x:v>483</x:v>
      </x:c>
      <x:c r="S158" s="1" t="s">
        <x:v>319</x:v>
      </x:c>
      <x:c r="T158" s="1" t="s">
        <x:v>329</x:v>
      </x:c>
    </x:row>
    <x:row r="159" ht="42">
      <x:c r="A159" s="1" t="s">
        <x:v>757</x:v>
      </x:c>
      <x:c r="B159" s="1" t="s">
        <x:v>296</x:v>
      </x:c>
      <x:c r="C159" s="1">
        <x:v>1</x:v>
      </x:c>
      <x:c r="D159" s="1" t="s">
        <x:v>315</x:v>
      </x:c>
      <x:c r="E159" s="1" t="s">
        <x:v>525</x:v>
      </x:c>
      <x:c r="F159" s="1" t="s">
        <x:v>510</x:v>
      </x:c>
      <x:c r="G159" s="1" t="s">
        <x:v>511</x:v>
      </x:c>
      <x:c r="H159" s="6">
        <x:v>933320</x:v>
      </x:c>
      <x:c r="I159" s="6" t="s">
        <x:v>144</x:v>
      </x:c>
      <x:c r="J159" s="6">
        <x:v>933320</x:v>
      </x:c>
      <x:c r="K159" s="6" t="s">
        <x:v>144</x:v>
      </x:c>
      <x:c r="L159" s="6" t="s">
        <x:v>317</x:v>
      </x:c>
      <x:c r="M159" s="6">
        <x:v>1</x:v>
      </x:c>
      <x:c r="N159" s="7">
        <x:f t="shared" si="4"/>
        <x:v>933320</x:v>
      </x:c>
      <x:c r="O159" s="1" t="s">
        <x:v>284</x:v>
      </x:c>
      <x:c r="P159" s="1" t="s">
        <x:v>282</x:v>
      </x:c>
      <x:c r="Q159" s="1" t="s">
        <x:v>283</x:v>
      </x:c>
      <x:c r="R159" s="1" t="s">
        <x:v>483</x:v>
      </x:c>
      <x:c r="S159" s="1" t="s">
        <x:v>319</x:v>
      </x:c>
      <x:c r="T159" s="1" t="s">
        <x:v>484</x:v>
      </x:c>
    </x:row>
    <x:row r="160" ht="42">
      <x:c r="A160" s="1" t="s">
        <x:v>758</x:v>
      </x:c>
      <x:c r="B160" s="1" t="s">
        <x:v>296</x:v>
      </x:c>
      <x:c r="C160" s="1">
        <x:v>2</x:v>
      </x:c>
      <x:c r="D160" s="1" t="s">
        <x:v>323</x:v>
      </x:c>
      <x:c r="E160" s="1" t="s">
        <x:v>525</x:v>
      </x:c>
      <x:c r="F160" s="1" t="s">
        <x:v>485</x:v>
      </x:c>
      <x:c r="G160" s="1" t="s">
        <x:v>486</x:v>
      </x:c>
      <x:c r="H160" s="6">
        <x:v>40000000</x:v>
      </x:c>
      <x:c r="I160" s="6" t="s">
        <x:v>144</x:v>
      </x:c>
      <x:c r="J160" s="6">
        <x:v>40000000</x:v>
      </x:c>
      <x:c r="K160" s="6" t="s">
        <x:v>144</x:v>
      </x:c>
      <x:c r="L160" s="6" t="s">
        <x:v>317</x:v>
      </x:c>
      <x:c r="M160" s="6">
        <x:v>1</x:v>
      </x:c>
      <x:c r="N160" s="7">
        <x:f t="shared" si="4"/>
        <x:v>40000000</x:v>
      </x:c>
      <x:c r="O160" s="1" t="s">
        <x:v>284</x:v>
      </x:c>
      <x:c r="P160" s="1" t="s">
        <x:v>282</x:v>
      </x:c>
      <x:c r="Q160" s="1" t="s">
        <x:v>283</x:v>
      </x:c>
      <x:c r="R160" s="1" t="s">
        <x:v>483</x:v>
      </x:c>
      <x:c r="S160" s="1" t="s">
        <x:v>319</x:v>
      </x:c>
      <x:c r="T160" s="1" t="s">
        <x:v>487</x:v>
      </x:c>
    </x:row>
    <x:row r="161" ht="42">
      <x:c r="A161" s="1" t="s">
        <x:v>759</x:v>
      </x:c>
      <x:c r="B161" s="1" t="s">
        <x:v>296</x:v>
      </x:c>
      <x:c r="C161" s="1">
        <x:v>99</x:v>
      </x:c>
      <x:c r="D161" s="1" t="s">
        <x:v>327</x:v>
      </x:c>
      <x:c r="E161" s="1" t="s">
        <x:v>525</x:v>
      </x:c>
      <x:c r="F161" s="1" t="s">
        <x:v>512</x:v>
      </x:c>
      <x:c r="G161" s="1" t="s">
        <x:v>513</x:v>
      </x:c>
      <x:c r="H161" s="6">
        <x:v>2.33</x:v>
      </x:c>
      <x:c r="I161" s="6" t="s">
        <x:v>68</x:v>
      </x:c>
      <x:c r="J161" s="6">
        <x:v>2.33</x:v>
      </x:c>
      <x:c r="K161" s="6" t="s">
        <x:v>68</x:v>
      </x:c>
      <x:c r="L161" s="6" t="s">
        <x:v>317</x:v>
      </x:c>
      <x:c r="M161" s="6">
        <x:v>0</x:v>
      </x:c>
      <x:c r="N161" s="7">
        <x:f t="shared" si="4"/>
        <x:v>0</x:v>
      </x:c>
      <x:c r="O161" s="1" t="s">
        <x:v>284</x:v>
      </x:c>
      <x:c r="P161" s="1" t="s">
        <x:v>282</x:v>
      </x:c>
      <x:c r="Q161" s="1" t="s">
        <x:v>283</x:v>
      </x:c>
      <x:c r="R161" s="1" t="s">
        <x:v>483</x:v>
      </x:c>
      <x:c r="S161" s="1" t="s">
        <x:v>319</x:v>
      </x:c>
      <x:c r="T161" s="1" t="s">
        <x:v>329</x:v>
      </x:c>
    </x:row>
    <x:row r="162" ht="42">
      <x:c r="A162" s="1" t="s">
        <x:v>760</x:v>
      </x:c>
      <x:c r="B162" s="1" t="s">
        <x:v>298</x:v>
      </x:c>
      <x:c r="C162" s="1">
        <x:v>1</x:v>
      </x:c>
      <x:c r="D162" s="1" t="s">
        <x:v>315</x:v>
      </x:c>
      <x:c r="E162" s="1" t="s">
        <x:v>525</x:v>
      </x:c>
      <x:c r="F162" s="1" t="s">
        <x:v>514</x:v>
      </x:c>
      <x:c r="G162" s="1" t="s">
        <x:v>374</x:v>
      </x:c>
      <x:c r="H162" s="6">
        <x:v>666680</x:v>
      </x:c>
      <x:c r="I162" s="6" t="s">
        <x:v>144</x:v>
      </x:c>
      <x:c r="J162" s="6">
        <x:v>666680</x:v>
      </x:c>
      <x:c r="K162" s="6" t="s">
        <x:v>144</x:v>
      </x:c>
      <x:c r="L162" s="6" t="s">
        <x:v>317</x:v>
      </x:c>
      <x:c r="M162" s="6">
        <x:v>1</x:v>
      </x:c>
      <x:c r="N162" s="7">
        <x:f t="shared" si="4"/>
        <x:v>666680</x:v>
      </x:c>
      <x:c r="O162" s="1" t="s">
        <x:v>284</x:v>
      </x:c>
      <x:c r="P162" s="1" t="s">
        <x:v>282</x:v>
      </x:c>
      <x:c r="Q162" s="1" t="s">
        <x:v>283</x:v>
      </x:c>
      <x:c r="R162" s="1" t="s">
        <x:v>483</x:v>
      </x:c>
      <x:c r="S162" s="1" t="s">
        <x:v>319</x:v>
      </x:c>
      <x:c r="T162" s="1" t="s">
        <x:v>484</x:v>
      </x:c>
    </x:row>
    <x:row r="163" ht="42">
      <x:c r="A163" s="1" t="s">
        <x:v>761</x:v>
      </x:c>
      <x:c r="B163" s="1" t="s">
        <x:v>298</x:v>
      </x:c>
      <x:c r="C163" s="1">
        <x:v>2</x:v>
      </x:c>
      <x:c r="D163" s="1" t="s">
        <x:v>323</x:v>
      </x:c>
      <x:c r="E163" s="1" t="s">
        <x:v>525</x:v>
      </x:c>
      <x:c r="F163" s="1" t="s">
        <x:v>485</x:v>
      </x:c>
      <x:c r="G163" s="1" t="s">
        <x:v>486</x:v>
      </x:c>
      <x:c r="H163" s="6">
        <x:v>40000000</x:v>
      </x:c>
      <x:c r="I163" s="6" t="s">
        <x:v>144</x:v>
      </x:c>
      <x:c r="J163" s="6">
        <x:v>40000000</x:v>
      </x:c>
      <x:c r="K163" s="6" t="s">
        <x:v>144</x:v>
      </x:c>
      <x:c r="L163" s="6" t="s">
        <x:v>317</x:v>
      </x:c>
      <x:c r="M163" s="6">
        <x:v>1</x:v>
      </x:c>
      <x:c r="N163" s="7">
        <x:f t="shared" si="4"/>
        <x:v>40000000</x:v>
      </x:c>
      <x:c r="O163" s="1" t="s">
        <x:v>284</x:v>
      </x:c>
      <x:c r="P163" s="1" t="s">
        <x:v>282</x:v>
      </x:c>
      <x:c r="Q163" s="1" t="s">
        <x:v>283</x:v>
      </x:c>
      <x:c r="R163" s="1" t="s">
        <x:v>483</x:v>
      </x:c>
      <x:c r="S163" s="1" t="s">
        <x:v>319</x:v>
      </x:c>
      <x:c r="T163" s="1" t="s">
        <x:v>487</x:v>
      </x:c>
    </x:row>
    <x:row r="164" ht="42">
      <x:c r="A164" s="1" t="s">
        <x:v>762</x:v>
      </x:c>
      <x:c r="B164" s="1" t="s">
        <x:v>298</x:v>
      </x:c>
      <x:c r="C164" s="1">
        <x:v>99</x:v>
      </x:c>
      <x:c r="D164" s="1" t="s">
        <x:v>327</x:v>
      </x:c>
      <x:c r="E164" s="1" t="s">
        <x:v>525</x:v>
      </x:c>
      <x:c r="F164" s="1" t="s">
        <x:v>515</x:v>
      </x:c>
      <x:c r="G164" s="1" t="s">
        <x:v>516</x:v>
      </x:c>
      <x:c r="H164" s="6">
        <x:v>1.67</x:v>
      </x:c>
      <x:c r="I164" s="6" t="s">
        <x:v>68</x:v>
      </x:c>
      <x:c r="J164" s="6">
        <x:v>1.67</x:v>
      </x:c>
      <x:c r="K164" s="6" t="s">
        <x:v>68</x:v>
      </x:c>
      <x:c r="L164" s="6" t="s">
        <x:v>317</x:v>
      </x:c>
      <x:c r="M164" s="6">
        <x:v>0</x:v>
      </x:c>
      <x:c r="N164" s="7" t="n">
        <x:f t="shared" ref="N164" si="5">J164*M164</x:f>
        <x:v>0</x:v>
      </x:c>
      <x:c r="O164" s="1" t="s">
        <x:v>284</x:v>
      </x:c>
      <x:c r="P164" s="1" t="s">
        <x:v>282</x:v>
      </x:c>
      <x:c r="Q164" s="1" t="s">
        <x:v>283</x:v>
      </x:c>
      <x:c r="R164" s="1" t="s">
        <x:v>483</x:v>
      </x:c>
      <x:c r="S164" s="1" t="s">
        <x:v>319</x:v>
      </x:c>
      <x:c r="T164" s="1" t="s">
        <x:v>329</x:v>
      </x:c>
    </x:row>
    <x:row r="165">
      <x:c r="A165" t="str">
        <x:v>IN-044-02</x:v>
      </x:c>
      <x:c r="B165" t="str">
        <x:v>VAL-044</x:v>
      </x:c>
      <x:c r="C165" t="n">
        <x:v>2</x:v>
      </x:c>
      <x:c r="D165" t="str">
        <x:v>lot_2</x:v>
      </x:c>
      <x:c r="E165" t="str">
        <x:v>PDF原文披露值</x:v>
      </x:c>
      <x:c r="F165" t="str">
        <x:v>CE-013-V09</x:v>
      </x:c>
      <x:c r="G165" t="str">
        <x:v>484,495</x:v>
      </x:c>
      <x:c r="H165" t="n">
        <x:v>484495</x:v>
      </x:c>
      <x:c r="I165" t="str">
        <x:v>股</x:v>
      </x:c>
      <x:c r="J165" t="n">
        <x:v>484495</x:v>
      </x:c>
      <x:c r="K165" t="str">
        <x:v>股</x:v>
      </x:c>
      <x:c r="L165" t="str">
        <x:v>无</x:v>
      </x:c>
      <x:c r="M165" t="n">
        <x:v>1</x:v>
      </x:c>
      <x:c r="N165" t="n">
        <x:f>J165*M165</x:f>
        <x:v>484495</x:v>
      </x:c>
      <x:c r="O165" t="str">
        <x:v>CE-013-E03</x:v>
      </x:c>
      <x:c r="P165" t="str">
        <x:v>64</x:v>
      </x:c>
      <x:c r="Q165" t="str">
        <x:v>63</x:v>
      </x:c>
      <x:c r="R165" t="str">
        <x:v>原文表格：曾烨→郦韩英，转让484,495股，转让价格2,499.99万元。</x:v>
      </x:c>
      <x:c r="S165" t="str">
        <x:v>PDF原文已定位</x:v>
      </x:c>
      <x:c r="T165" t="str">
        <x:v>曾烨→郦韩英</x:v>
      </x:c>
    </x:row>
    <x:row r="166">
      <x:c r="A166" t="str">
        <x:v>IN-045-02</x:v>
      </x:c>
      <x:c r="B166" t="str">
        <x:v>VAL-045</x:v>
      </x:c>
      <x:c r="C166" t="n">
        <x:v>2</x:v>
      </x:c>
      <x:c r="D166" t="str">
        <x:v>lot_2</x:v>
      </x:c>
      <x:c r="E166" t="str">
        <x:v>PDF原文披露值</x:v>
      </x:c>
      <x:c r="F166" t="str">
        <x:v>CE-013-V10</x:v>
      </x:c>
      <x:c r="G166" t="str">
        <x:v>2,499.99</x:v>
      </x:c>
      <x:c r="H166" t="n">
        <x:v>2499.99</x:v>
      </x:c>
      <x:c r="I166" t="str">
        <x:v>万元</x:v>
      </x:c>
      <x:c r="J166" t="n">
        <x:v>2499.99</x:v>
      </x:c>
      <x:c r="K166" t="str">
        <x:v>万元</x:v>
      </x:c>
      <x:c r="L166" t="str">
        <x:v>无</x:v>
      </x:c>
      <x:c r="M166" t="n">
        <x:v>1</x:v>
      </x:c>
      <x:c r="N166" t="n">
        <x:f>J166*M166</x:f>
        <x:v>2499.99</x:v>
      </x:c>
      <x:c r="O166" t="str">
        <x:v>CE-013-E03</x:v>
      </x:c>
      <x:c r="P166" t="str">
        <x:v>64</x:v>
      </x:c>
      <x:c r="Q166" t="str">
        <x:v>63</x:v>
      </x:c>
      <x:c r="R166" t="str">
        <x:v>原文表格：曾烨→郦韩英，转让484,495股，转让价格2,499.99万元。</x:v>
      </x:c>
      <x:c r="S166" t="str">
        <x:v>PDF原文已定位</x:v>
      </x:c>
      <x:c r="T166" t="str">
        <x:v>曾烨→郦韩英</x:v>
      </x:c>
    </x:row>
    <x:row r="167">
      <x:c r="A167" t="str">
        <x:v>IN-044-03</x:v>
      </x:c>
      <x:c r="B167" t="str">
        <x:v>VAL-044</x:v>
      </x:c>
      <x:c r="C167" t="n">
        <x:v>3</x:v>
      </x:c>
      <x:c r="D167" t="str">
        <x:v>lot_3</x:v>
      </x:c>
      <x:c r="E167" t="str">
        <x:v>PDF原文披露值</x:v>
      </x:c>
      <x:c r="F167" t="str">
        <x:v>CE-013-V11</x:v>
      </x:c>
      <x:c r="G167" t="str">
        <x:v>116,280</x:v>
      </x:c>
      <x:c r="H167" t="n">
        <x:v>116280</x:v>
      </x:c>
      <x:c r="I167" t="str">
        <x:v>股</x:v>
      </x:c>
      <x:c r="J167" t="n">
        <x:v>116280</x:v>
      </x:c>
      <x:c r="K167" t="str">
        <x:v>股</x:v>
      </x:c>
      <x:c r="L167" t="str">
        <x:v>无</x:v>
      </x:c>
      <x:c r="M167" t="n">
        <x:v>1</x:v>
      </x:c>
      <x:c r="N167" t="n">
        <x:f>J167*M167</x:f>
        <x:v>116280</x:v>
      </x:c>
      <x:c r="O167" t="str">
        <x:v>CE-013-E03</x:v>
      </x:c>
      <x:c r="P167" t="str">
        <x:v>64</x:v>
      </x:c>
      <x:c r="Q167" t="str">
        <x:v>63</x:v>
      </x:c>
      <x:c r="R167" t="str">
        <x:v>原文表格：刘云锋→福建开京，转让116,280股，转让价格600.00万元。</x:v>
      </x:c>
      <x:c r="S167" t="str">
        <x:v>PDF原文已定位</x:v>
      </x:c>
      <x:c r="T167" t="str">
        <x:v>刘云锋→福建开京</x:v>
      </x:c>
    </x:row>
    <x:row r="168">
      <x:c r="A168" t="str">
        <x:v>IN-045-03</x:v>
      </x:c>
      <x:c r="B168" t="str">
        <x:v>VAL-045</x:v>
      </x:c>
      <x:c r="C168" t="n">
        <x:v>3</x:v>
      </x:c>
      <x:c r="D168" t="str">
        <x:v>lot_3</x:v>
      </x:c>
      <x:c r="E168" t="str">
        <x:v>PDF原文披露值</x:v>
      </x:c>
      <x:c r="F168" t="str">
        <x:v>CE-013-V12</x:v>
      </x:c>
      <x:c r="G168" t="str">
        <x:v>600.00</x:v>
      </x:c>
      <x:c r="H168" t="n">
        <x:v>600</x:v>
      </x:c>
      <x:c r="I168" t="str">
        <x:v>万元</x:v>
      </x:c>
      <x:c r="J168" t="n">
        <x:v>600</x:v>
      </x:c>
      <x:c r="K168" t="str">
        <x:v>万元</x:v>
      </x:c>
      <x:c r="L168" t="str">
        <x:v>无</x:v>
      </x:c>
      <x:c r="M168" t="n">
        <x:v>1</x:v>
      </x:c>
      <x:c r="N168" t="n">
        <x:f>J168*M168</x:f>
        <x:v>600</x:v>
      </x:c>
      <x:c r="O168" t="str">
        <x:v>CE-013-E03</x:v>
      </x:c>
      <x:c r="P168" t="str">
        <x:v>64</x:v>
      </x:c>
      <x:c r="Q168" t="str">
        <x:v>63</x:v>
      </x:c>
      <x:c r="R168" t="str">
        <x:v>原文表格：刘云锋→福建开京，转让116,280股，转让价格600.00万元。</x:v>
      </x:c>
      <x:c r="S168" t="str">
        <x:v>PDF原文已定位</x:v>
      </x:c>
      <x:c r="T168" t="str">
        <x:v>刘云锋→福建开京</x:v>
      </x:c>
    </x:row>
    <x:row r="169">
      <x:c r="A169" t="str">
        <x:v>IN-044-04</x:v>
      </x:c>
      <x:c r="B169" t="str">
        <x:v>VAL-044</x:v>
      </x:c>
      <x:c r="C169" t="n">
        <x:v>4</x:v>
      </x:c>
      <x:c r="D169" t="str">
        <x:v>lot_4</x:v>
      </x:c>
      <x:c r="E169" t="str">
        <x:v>PDF原文披露值</x:v>
      </x:c>
      <x:c r="F169" t="str">
        <x:v>CE-013-V13</x:v>
      </x:c>
      <x:c r="G169" t="str">
        <x:v>85,000</x:v>
      </x:c>
      <x:c r="H169" t="n">
        <x:v>85000</x:v>
      </x:c>
      <x:c r="I169" t="str">
        <x:v>股</x:v>
      </x:c>
      <x:c r="J169" t="n">
        <x:v>85000</x:v>
      </x:c>
      <x:c r="K169" t="str">
        <x:v>股</x:v>
      </x:c>
      <x:c r="L169" t="str">
        <x:v>无</x:v>
      </x:c>
      <x:c r="M169" t="n">
        <x:v>1</x:v>
      </x:c>
      <x:c r="N169" t="n">
        <x:f>J169*M169</x:f>
        <x:v>85000</x:v>
      </x:c>
      <x:c r="O169" t="str">
        <x:v>CE-013-E03</x:v>
      </x:c>
      <x:c r="P169" t="str">
        <x:v>64</x:v>
      </x:c>
      <x:c r="Q169" t="str">
        <x:v>63</x:v>
      </x:c>
      <x:c r="R169" t="str">
        <x:v>原文表格：刘云锋→沈笑彦，转让85,000股，转让价格438.60万元。</x:v>
      </x:c>
      <x:c r="S169" t="str">
        <x:v>PDF原文已定位</x:v>
      </x:c>
      <x:c r="T169" t="str">
        <x:v>刘云锋→沈笑彦</x:v>
      </x:c>
    </x:row>
    <x:row r="170">
      <x:c r="A170" t="str">
        <x:v>IN-045-04</x:v>
      </x:c>
      <x:c r="B170" t="str">
        <x:v>VAL-045</x:v>
      </x:c>
      <x:c r="C170" t="n">
        <x:v>4</x:v>
      </x:c>
      <x:c r="D170" t="str">
        <x:v>lot_4</x:v>
      </x:c>
      <x:c r="E170" t="str">
        <x:v>PDF原文披露值</x:v>
      </x:c>
      <x:c r="F170" t="str">
        <x:v>CE-013-V14</x:v>
      </x:c>
      <x:c r="G170" t="str">
        <x:v>438.60</x:v>
      </x:c>
      <x:c r="H170" t="n">
        <x:v>438.6</x:v>
      </x:c>
      <x:c r="I170" t="str">
        <x:v>万元</x:v>
      </x:c>
      <x:c r="J170" t="n">
        <x:v>438.6</x:v>
      </x:c>
      <x:c r="K170" t="str">
        <x:v>万元</x:v>
      </x:c>
      <x:c r="L170" t="str">
        <x:v>无</x:v>
      </x:c>
      <x:c r="M170" t="n">
        <x:v>1</x:v>
      </x:c>
      <x:c r="N170" t="n">
        <x:f>J170*M170</x:f>
        <x:v>438.6</x:v>
      </x:c>
      <x:c r="O170" t="str">
        <x:v>CE-013-E03</x:v>
      </x:c>
      <x:c r="P170" t="str">
        <x:v>64</x:v>
      </x:c>
      <x:c r="Q170" t="str">
        <x:v>63</x:v>
      </x:c>
      <x:c r="R170" t="str">
        <x:v>原文表格：刘云锋→沈笑彦，转让85,000股，转让价格438.60万元。</x:v>
      </x:c>
      <x:c r="S170" t="str">
        <x:v>PDF原文已定位</x:v>
      </x:c>
      <x:c r="T170" t="str">
        <x:v>刘云锋→沈笑彦</x:v>
      </x:c>
    </x:row>
    <x:row r="171">
      <x:c r="A171" t="str">
        <x:v>IN-044-05</x:v>
      </x:c>
      <x:c r="B171" t="str">
        <x:v>VAL-044</x:v>
      </x:c>
      <x:c r="C171" t="n">
        <x:v>5</x:v>
      </x:c>
      <x:c r="D171" t="str">
        <x:v>lot_5</x:v>
      </x:c>
      <x:c r="E171" t="str">
        <x:v>PDF原文披露值</x:v>
      </x:c>
      <x:c r="F171" t="str">
        <x:v>CE-013-V15</x:v>
      </x:c>
      <x:c r="G171" t="str">
        <x:v>85,000</x:v>
      </x:c>
      <x:c r="H171" t="n">
        <x:v>85000</x:v>
      </x:c>
      <x:c r="I171" t="str">
        <x:v>股</x:v>
      </x:c>
      <x:c r="J171" t="n">
        <x:v>85000</x:v>
      </x:c>
      <x:c r="K171" t="str">
        <x:v>股</x:v>
      </x:c>
      <x:c r="L171" t="str">
        <x:v>无</x:v>
      </x:c>
      <x:c r="M171" t="n">
        <x:v>1</x:v>
      </x:c>
      <x:c r="N171" t="n">
        <x:f>J171*M171</x:f>
        <x:v>85000</x:v>
      </x:c>
      <x:c r="O171" t="str">
        <x:v>CE-013-E03</x:v>
      </x:c>
      <x:c r="P171" t="str">
        <x:v>64</x:v>
      </x:c>
      <x:c r="Q171" t="str">
        <x:v>63</x:v>
      </x:c>
      <x:c r="R171" t="str">
        <x:v>原文表格：刘云锋→衣嘉平，转让85,000股，转让价格438.60万元。</x:v>
      </x:c>
      <x:c r="S171" t="str">
        <x:v>PDF原文已定位</x:v>
      </x:c>
      <x:c r="T171" t="str">
        <x:v>刘云锋→衣嘉平</x:v>
      </x:c>
    </x:row>
    <x:row r="172">
      <x:c r="A172" t="str">
        <x:v>IN-045-05</x:v>
      </x:c>
      <x:c r="B172" t="str">
        <x:v>VAL-045</x:v>
      </x:c>
      <x:c r="C172" t="n">
        <x:v>5</x:v>
      </x:c>
      <x:c r="D172" t="str">
        <x:v>lot_5</x:v>
      </x:c>
      <x:c r="E172" t="str">
        <x:v>PDF原文披露值</x:v>
      </x:c>
      <x:c r="F172" t="str">
        <x:v>CE-013-V16</x:v>
      </x:c>
      <x:c r="G172" t="str">
        <x:v>438.60</x:v>
      </x:c>
      <x:c r="H172" t="n">
        <x:v>438.6</x:v>
      </x:c>
      <x:c r="I172" t="str">
        <x:v>万元</x:v>
      </x:c>
      <x:c r="J172" t="n">
        <x:v>438.6</x:v>
      </x:c>
      <x:c r="K172" t="str">
        <x:v>万元</x:v>
      </x:c>
      <x:c r="L172" t="str">
        <x:v>无</x:v>
      </x:c>
      <x:c r="M172" t="n">
        <x:v>1</x:v>
      </x:c>
      <x:c r="N172" t="n">
        <x:f>J172*M172</x:f>
        <x:v>438.6</x:v>
      </x:c>
      <x:c r="O172" t="str">
        <x:v>CE-013-E03</x:v>
      </x:c>
      <x:c r="P172" t="str">
        <x:v>64</x:v>
      </x:c>
      <x:c r="Q172" t="str">
        <x:v>63</x:v>
      </x:c>
      <x:c r="R172" t="str">
        <x:v>原文表格：刘云锋→衣嘉平，转让85,000股，转让价格438.60万元。</x:v>
      </x:c>
      <x:c r="S172" t="str">
        <x:v>PDF原文已定位</x:v>
      </x:c>
      <x:c r="T172" t="str">
        <x:v>刘云锋→衣嘉平</x:v>
      </x:c>
    </x:row>
    <x:row r="173">
      <x:c r="A173" t="str">
        <x:v>IN-044-06</x:v>
      </x:c>
      <x:c r="B173" t="str">
        <x:v>VAL-044</x:v>
      </x:c>
      <x:c r="C173" t="n">
        <x:v>6</x:v>
      </x:c>
      <x:c r="D173" t="str">
        <x:v>lot_6</x:v>
      </x:c>
      <x:c r="E173" t="str">
        <x:v>PDF原文披露值</x:v>
      </x:c>
      <x:c r="F173" t="str">
        <x:v>CE-013-V17</x:v>
      </x:c>
      <x:c r="G173" t="str">
        <x:v>85,000</x:v>
      </x:c>
      <x:c r="H173" t="n">
        <x:v>85000</x:v>
      </x:c>
      <x:c r="I173" t="str">
        <x:v>股</x:v>
      </x:c>
      <x:c r="J173" t="n">
        <x:v>85000</x:v>
      </x:c>
      <x:c r="K173" t="str">
        <x:v>股</x:v>
      </x:c>
      <x:c r="L173" t="str">
        <x:v>无</x:v>
      </x:c>
      <x:c r="M173" t="n">
        <x:v>1</x:v>
      </x:c>
      <x:c r="N173" t="n">
        <x:f>J173*M173</x:f>
        <x:v>85000</x:v>
      </x:c>
      <x:c r="O173" t="str">
        <x:v>CE-013-E03</x:v>
      </x:c>
      <x:c r="P173" t="str">
        <x:v>64</x:v>
      </x:c>
      <x:c r="Q173" t="str">
        <x:v>63</x:v>
      </x:c>
      <x:c r="R173" t="str">
        <x:v>原文表格：刘云锋→余满芬，转让85,000股，转让价格438.60万元。</x:v>
      </x:c>
      <x:c r="S173" t="str">
        <x:v>PDF原文已定位</x:v>
      </x:c>
      <x:c r="T173" t="str">
        <x:v>刘云锋→余满芬</x:v>
      </x:c>
    </x:row>
    <x:row r="174">
      <x:c r="A174" t="str">
        <x:v>IN-045-06</x:v>
      </x:c>
      <x:c r="B174" t="str">
        <x:v>VAL-045</x:v>
      </x:c>
      <x:c r="C174" t="n">
        <x:v>6</x:v>
      </x:c>
      <x:c r="D174" t="str">
        <x:v>lot_6</x:v>
      </x:c>
      <x:c r="E174" t="str">
        <x:v>PDF原文披露值</x:v>
      </x:c>
      <x:c r="F174" t="str">
        <x:v>CE-013-V18</x:v>
      </x:c>
      <x:c r="G174" t="str">
        <x:v>438.60</x:v>
      </x:c>
      <x:c r="H174" t="n">
        <x:v>438.6</x:v>
      </x:c>
      <x:c r="I174" t="str">
        <x:v>万元</x:v>
      </x:c>
      <x:c r="J174" t="n">
        <x:v>438.6</x:v>
      </x:c>
      <x:c r="K174" t="str">
        <x:v>万元</x:v>
      </x:c>
      <x:c r="L174" t="str">
        <x:v>无</x:v>
      </x:c>
      <x:c r="M174" t="n">
        <x:v>1</x:v>
      </x:c>
      <x:c r="N174" t="n">
        <x:f>J174*M174</x:f>
        <x:v>438.6</x:v>
      </x:c>
      <x:c r="O174" t="str">
        <x:v>CE-013-E03</x:v>
      </x:c>
      <x:c r="P174" t="str">
        <x:v>64</x:v>
      </x:c>
      <x:c r="Q174" t="str">
        <x:v>63</x:v>
      </x:c>
      <x:c r="R174" t="str">
        <x:v>原文表格：刘云锋→余满芬，转让85,000股，转让价格438.60万元。</x:v>
      </x:c>
      <x:c r="S174" t="str">
        <x:v>PDF原文已定位</x:v>
      </x:c>
      <x:c r="T174" t="str">
        <x:v>刘云锋→余满芬</x:v>
      </x:c>
    </x:row>
    <x:row r="175">
      <x:c r="A175" t="str">
        <x:v>IN-044-07</x:v>
      </x:c>
      <x:c r="B175" t="str">
        <x:v>VAL-044</x:v>
      </x:c>
      <x:c r="C175" t="n">
        <x:v>7</x:v>
      </x:c>
      <x:c r="D175" t="str">
        <x:v>lot_7</x:v>
      </x:c>
      <x:c r="E175" t="str">
        <x:v>PDF原文披露值</x:v>
      </x:c>
      <x:c r="F175" t="str">
        <x:v>CE-013-V19</x:v>
      </x:c>
      <x:c r="G175" t="str">
        <x:v>38,760</x:v>
      </x:c>
      <x:c r="H175" t="n">
        <x:v>38760</x:v>
      </x:c>
      <x:c r="I175" t="str">
        <x:v>股</x:v>
      </x:c>
      <x:c r="J175" t="n">
        <x:v>38760</x:v>
      </x:c>
      <x:c r="K175" t="str">
        <x:v>股</x:v>
      </x:c>
      <x:c r="L175" t="str">
        <x:v>无</x:v>
      </x:c>
      <x:c r="M175" t="n">
        <x:v>1</x:v>
      </x:c>
      <x:c r="N175" t="n">
        <x:f>J175*M175</x:f>
        <x:v>38760</x:v>
      </x:c>
      <x:c r="O175" t="str">
        <x:v>CE-013-E03</x:v>
      </x:c>
      <x:c r="P175" t="str">
        <x:v>64</x:v>
      </x:c>
      <x:c r="Q175" t="str">
        <x:v>63</x:v>
      </x:c>
      <x:c r="R175" t="str">
        <x:v>原文表格：刘云锋→崔振南，转让38,760股，转让价格200.00万元。</x:v>
      </x:c>
      <x:c r="S175" t="str">
        <x:v>PDF原文已定位</x:v>
      </x:c>
      <x:c r="T175" t="str">
        <x:v>刘云锋→崔振南</x:v>
      </x:c>
    </x:row>
    <x:row r="176">
      <x:c r="A176" t="str">
        <x:v>IN-045-07</x:v>
      </x:c>
      <x:c r="B176" t="str">
        <x:v>VAL-045</x:v>
      </x:c>
      <x:c r="C176" t="n">
        <x:v>7</x:v>
      </x:c>
      <x:c r="D176" t="str">
        <x:v>lot_7</x:v>
      </x:c>
      <x:c r="E176" t="str">
        <x:v>PDF原文披露值</x:v>
      </x:c>
      <x:c r="F176" t="str">
        <x:v>CE-013-V20</x:v>
      </x:c>
      <x:c r="G176" t="str">
        <x:v>200.00</x:v>
      </x:c>
      <x:c r="H176" t="n">
        <x:v>200</x:v>
      </x:c>
      <x:c r="I176" t="str">
        <x:v>万元</x:v>
      </x:c>
      <x:c r="J176" t="n">
        <x:v>200</x:v>
      </x:c>
      <x:c r="K176" t="str">
        <x:v>万元</x:v>
      </x:c>
      <x:c r="L176" t="str">
        <x:v>无</x:v>
      </x:c>
      <x:c r="M176" t="n">
        <x:v>1</x:v>
      </x:c>
      <x:c r="N176" t="n">
        <x:f>J176*M176</x:f>
        <x:v>200</x:v>
      </x:c>
      <x:c r="O176" t="str">
        <x:v>CE-013-E03</x:v>
      </x:c>
      <x:c r="P176" t="str">
        <x:v>64</x:v>
      </x:c>
      <x:c r="Q176" t="str">
        <x:v>63</x:v>
      </x:c>
      <x:c r="R176" t="str">
        <x:v>原文表格：刘云锋→崔振南，转让38,760股，转让价格200.00万元。</x:v>
      </x:c>
      <x:c r="S176" t="str">
        <x:v>PDF原文已定位</x:v>
      </x:c>
      <x:c r="T176" t="str">
        <x:v>刘云锋→崔振南</x:v>
      </x:c>
    </x:row>
    <x:row r="177">
      <x:c r="A177" t="str">
        <x:v>IN-044-08</x:v>
      </x:c>
      <x:c r="B177" t="str">
        <x:v>VAL-044</x:v>
      </x:c>
      <x:c r="C177" t="n">
        <x:v>8</x:v>
      </x:c>
      <x:c r="D177" t="str">
        <x:v>lot_8</x:v>
      </x:c>
      <x:c r="E177" t="str">
        <x:v>PDF原文披露值</x:v>
      </x:c>
      <x:c r="F177" t="str">
        <x:v>CE-013-V21</x:v>
      </x:c>
      <x:c r="G177" t="str">
        <x:v>85,000</x:v>
      </x:c>
      <x:c r="H177" t="n">
        <x:v>85000</x:v>
      </x:c>
      <x:c r="I177" t="str">
        <x:v>股</x:v>
      </x:c>
      <x:c r="J177" t="n">
        <x:v>85000</x:v>
      </x:c>
      <x:c r="K177" t="str">
        <x:v>股</x:v>
      </x:c>
      <x:c r="L177" t="str">
        <x:v>无</x:v>
      </x:c>
      <x:c r="M177" t="n">
        <x:v>1</x:v>
      </x:c>
      <x:c r="N177" t="n">
        <x:f>J177*M177</x:f>
        <x:v>85000</x:v>
      </x:c>
      <x:c r="O177" t="str">
        <x:v>CE-013-E03</x:v>
      </x:c>
      <x:c r="P177" t="str">
        <x:v>64</x:v>
      </x:c>
      <x:c r="Q177" t="str">
        <x:v>63</x:v>
      </x:c>
      <x:c r="R177" t="str">
        <x:v>原文表格：刘云锋→湘裕君源，转让85,000股，转让价格438.60万元。</x:v>
      </x:c>
      <x:c r="S177" t="str">
        <x:v>PDF原文已定位</x:v>
      </x:c>
      <x:c r="T177" t="str">
        <x:v>刘云锋→湘裕君源</x:v>
      </x:c>
    </x:row>
    <x:row r="178">
      <x:c r="A178" t="str">
        <x:v>IN-045-08</x:v>
      </x:c>
      <x:c r="B178" t="str">
        <x:v>VAL-045</x:v>
      </x:c>
      <x:c r="C178" t="n">
        <x:v>8</x:v>
      </x:c>
      <x:c r="D178" t="str">
        <x:v>lot_8</x:v>
      </x:c>
      <x:c r="E178" t="str">
        <x:v>PDF原文披露值</x:v>
      </x:c>
      <x:c r="F178" t="str">
        <x:v>CE-013-V22</x:v>
      </x:c>
      <x:c r="G178" t="str">
        <x:v>438.60</x:v>
      </x:c>
      <x:c r="H178" t="n">
        <x:v>438.6</x:v>
      </x:c>
      <x:c r="I178" t="str">
        <x:v>万元</x:v>
      </x:c>
      <x:c r="J178" t="n">
        <x:v>438.6</x:v>
      </x:c>
      <x:c r="K178" t="str">
        <x:v>万元</x:v>
      </x:c>
      <x:c r="L178" t="str">
        <x:v>无</x:v>
      </x:c>
      <x:c r="M178" t="n">
        <x:v>1</x:v>
      </x:c>
      <x:c r="N178" t="n">
        <x:f>J178*M178</x:f>
        <x:v>438.6</x:v>
      </x:c>
      <x:c r="O178" t="str">
        <x:v>CE-013-E03</x:v>
      </x:c>
      <x:c r="P178" t="str">
        <x:v>64</x:v>
      </x:c>
      <x:c r="Q178" t="str">
        <x:v>63</x:v>
      </x:c>
      <x:c r="R178" t="str">
        <x:v>原文表格：刘云锋→湘裕君源，转让85,000股，转让价格438.60万元。</x:v>
      </x:c>
      <x:c r="S178" t="str">
        <x:v>PDF原文已定位</x:v>
      </x:c>
      <x:c r="T178" t="str">
        <x:v>刘云锋→湘裕君源</x:v>
      </x:c>
    </x:row>
    <x:row r="179">
      <x:c r="A179" t="str">
        <x:v>IN-044-09</x:v>
      </x:c>
      <x:c r="B179" t="str">
        <x:v>VAL-044</x:v>
      </x:c>
      <x:c r="C179" t="n">
        <x:v>9</x:v>
      </x:c>
      <x:c r="D179" t="str">
        <x:v>lot_9</x:v>
      </x:c>
      <x:c r="E179" t="str">
        <x:v>PDF原文披露值</x:v>
      </x:c>
      <x:c r="F179" t="str">
        <x:v>CE-013-V23</x:v>
      </x:c>
      <x:c r="G179" t="str">
        <x:v>50,000</x:v>
      </x:c>
      <x:c r="H179" t="n">
        <x:v>50000</x:v>
      </x:c>
      <x:c r="I179" t="str">
        <x:v>股</x:v>
      </x:c>
      <x:c r="J179" t="n">
        <x:v>50000</x:v>
      </x:c>
      <x:c r="K179" t="str">
        <x:v>股</x:v>
      </x:c>
      <x:c r="L179" t="str">
        <x:v>无</x:v>
      </x:c>
      <x:c r="M179" t="n">
        <x:v>1</x:v>
      </x:c>
      <x:c r="N179" t="n">
        <x:f>J179*M179</x:f>
        <x:v>50000</x:v>
      </x:c>
      <x:c r="O179" t="str">
        <x:v>CE-013-E03</x:v>
      </x:c>
      <x:c r="P179" t="str">
        <x:v>64</x:v>
      </x:c>
      <x:c r="Q179" t="str">
        <x:v>63</x:v>
      </x:c>
      <x:c r="R179" t="str">
        <x:v>原文表格：李文发→湘裕君源，转让50,000股，转让价格258.00万元。</x:v>
      </x:c>
      <x:c r="S179" t="str">
        <x:v>PDF原文已定位</x:v>
      </x:c>
      <x:c r="T179" t="str">
        <x:v>李文发→湘裕君源</x:v>
      </x:c>
    </x:row>
    <x:row r="180">
      <x:c r="A180" t="str">
        <x:v>IN-045-09</x:v>
      </x:c>
      <x:c r="B180" t="str">
        <x:v>VAL-045</x:v>
      </x:c>
      <x:c r="C180" t="n">
        <x:v>9</x:v>
      </x:c>
      <x:c r="D180" t="str">
        <x:v>lot_9</x:v>
      </x:c>
      <x:c r="E180" t="str">
        <x:v>PDF原文披露值</x:v>
      </x:c>
      <x:c r="F180" t="str">
        <x:v>CE-013-V24</x:v>
      </x:c>
      <x:c r="G180" t="str">
        <x:v>258.00</x:v>
      </x:c>
      <x:c r="H180" t="n">
        <x:v>258</x:v>
      </x:c>
      <x:c r="I180" t="str">
        <x:v>万元</x:v>
      </x:c>
      <x:c r="J180" t="n">
        <x:v>258</x:v>
      </x:c>
      <x:c r="K180" t="str">
        <x:v>万元</x:v>
      </x:c>
      <x:c r="L180" t="str">
        <x:v>无</x:v>
      </x:c>
      <x:c r="M180" t="n">
        <x:v>1</x:v>
      </x:c>
      <x:c r="N180" t="n">
        <x:f>J180*M180</x:f>
        <x:v>258</x:v>
      </x:c>
      <x:c r="O180" t="str">
        <x:v>CE-013-E03</x:v>
      </x:c>
      <x:c r="P180" t="str">
        <x:v>64</x:v>
      </x:c>
      <x:c r="Q180" t="str">
        <x:v>63</x:v>
      </x:c>
      <x:c r="R180" t="str">
        <x:v>原文表格：李文发→湘裕君源，转让50,000股，转让价格258.00万元。</x:v>
      </x:c>
      <x:c r="S180" t="str">
        <x:v>PDF原文已定位</x:v>
      </x:c>
      <x:c r="T180" t="str">
        <x:v>李文发→湘裕君源</x:v>
      </x:c>
    </x:row>
    <x:row r="181">
      <x:c r="A181" t="str">
        <x:v>IN-044-10</x:v>
      </x:c>
      <x:c r="B181" t="str">
        <x:v>VAL-044</x:v>
      </x:c>
      <x:c r="C181" t="n">
        <x:v>10</x:v>
      </x:c>
      <x:c r="D181" t="str">
        <x:v>lot_10</x:v>
      </x:c>
      <x:c r="E181" t="str">
        <x:v>PDF原文披露值</x:v>
      </x:c>
      <x:c r="F181" t="str">
        <x:v>CE-013-V25</x:v>
      </x:c>
      <x:c r="G181" t="str">
        <x:v>150,000</x:v>
      </x:c>
      <x:c r="H181" t="n">
        <x:v>150000</x:v>
      </x:c>
      <x:c r="I181" t="str">
        <x:v>股</x:v>
      </x:c>
      <x:c r="J181" t="n">
        <x:v>150000</x:v>
      </x:c>
      <x:c r="K181" t="str">
        <x:v>股</x:v>
      </x:c>
      <x:c r="L181" t="str">
        <x:v>无</x:v>
      </x:c>
      <x:c r="M181" t="n">
        <x:v>1</x:v>
      </x:c>
      <x:c r="N181" t="n">
        <x:f>J181*M181</x:f>
        <x:v>150000</x:v>
      </x:c>
      <x:c r="O181" t="str">
        <x:v>CE-013-E03</x:v>
      </x:c>
      <x:c r="P181" t="str">
        <x:v>64</x:v>
      </x:c>
      <x:c r="Q181" t="str">
        <x:v>63</x:v>
      </x:c>
      <x:c r="R181" t="str">
        <x:v>原文表格：秦国君→湘裕君源，转让150,000股，转让价格774.00万元。</x:v>
      </x:c>
      <x:c r="S181" t="str">
        <x:v>PDF原文已定位</x:v>
      </x:c>
      <x:c r="T181" t="str">
        <x:v>秦国君→湘裕君源</x:v>
      </x:c>
    </x:row>
    <x:row r="182">
      <x:c r="A182" t="str">
        <x:v>IN-045-10</x:v>
      </x:c>
      <x:c r="B182" t="str">
        <x:v>VAL-045</x:v>
      </x:c>
      <x:c r="C182" t="n">
        <x:v>10</x:v>
      </x:c>
      <x:c r="D182" t="str">
        <x:v>lot_10</x:v>
      </x:c>
      <x:c r="E182" t="str">
        <x:v>PDF原文披露值</x:v>
      </x:c>
      <x:c r="F182" t="str">
        <x:v>CE-013-V26</x:v>
      </x:c>
      <x:c r="G182" t="str">
        <x:v>774.00</x:v>
      </x:c>
      <x:c r="H182" t="n">
        <x:v>774</x:v>
      </x:c>
      <x:c r="I182" t="str">
        <x:v>万元</x:v>
      </x:c>
      <x:c r="J182" t="n">
        <x:v>774</x:v>
      </x:c>
      <x:c r="K182" t="str">
        <x:v>万元</x:v>
      </x:c>
      <x:c r="L182" t="str">
        <x:v>无</x:v>
      </x:c>
      <x:c r="M182" t="n">
        <x:v>1</x:v>
      </x:c>
      <x:c r="N182" t="n">
        <x:f>J182*M182</x:f>
        <x:v>774</x:v>
      </x:c>
      <x:c r="O182" t="str">
        <x:v>CE-013-E03</x:v>
      </x:c>
      <x:c r="P182" t="str">
        <x:v>64</x:v>
      </x:c>
      <x:c r="Q182" t="str">
        <x:v>63</x:v>
      </x:c>
      <x:c r="R182" t="str">
        <x:v>原文表格：秦国君→湘裕君源，转让150,000股，转让价格774.00万元。</x:v>
      </x:c>
      <x:c r="S182" t="str">
        <x:v>PDF原文已定位</x:v>
      </x:c>
      <x:c r="T182" t="str">
        <x:v>秦国君→湘裕君源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b2574287faf544ad"/>
  </x:tableParts>
</x:worksheet>
</file>

<file path=xl/worksheets/sheet5.xml><?xml version="1.0" encoding="utf-8"?>
<x:worksheet xmlns:x="http://schemas.openxmlformats.org/spreadsheetml/2006/main">
  <x:sheetFormatPr defaultRowHeight="14"/>
  <x:cols>
    <x:col min="1" max="1" width="13" customWidth="1"/>
    <x:col min="2" max="2" width="17" customWidth="1"/>
    <x:col min="3" max="3" width="12" customWidth="1"/>
    <x:col min="4" max="4" width="13" customWidth="1"/>
    <x:col min="5" max="5" width="14" customWidth="1"/>
    <x:col min="6" max="6" width="34" customWidth="1"/>
    <x:col min="7" max="7" width="15" customWidth="1"/>
    <x:col min="8" max="8" width="24" customWidth="1"/>
    <x:col min="9" max="9" width="17" customWidth="1"/>
    <x:col min="10" max="10" width="22" customWidth="1"/>
    <x:col min="11" max="11" width="12" customWidth="1"/>
    <x:col min="12" max="12" width="17" customWidth="1"/>
    <x:col min="13" max="13" width="22" customWidth="1"/>
    <x:col min="14" max="16" width="17" customWidth="1"/>
    <x:col min="17" max="17" width="10" customWidth="1"/>
    <x:col min="18" max="19" width="17" customWidth="1"/>
    <x:col min="20" max="20" width="16" customWidth="1"/>
    <x:col min="21" max="21" width="22" customWidth="1"/>
    <x:col min="22" max="22" width="16" customWidth="1"/>
    <x:col min="23" max="23" width="12" customWidth="1"/>
    <x:col min="24" max="24" width="22" customWidth="1"/>
    <x:col min="25" max="25" width="28" customWidth="1"/>
    <x:col min="26" max="27" width="10" customWidth="1"/>
    <x:col min="28" max="28" width="22" customWidth="1"/>
    <x:col min="29" max="29" width="48" customWidth="1"/>
    <x:col min="30" max="30" width="38" customWidth="1"/>
  </x:cols>
  <x:sheetData>
    <x:row r="1" ht="18.649999618530273" customHeight="1">
      <x:c r="A1" s="18" t="s">
        <x:v>763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</x:row>
    <x:row r="3" ht="21.399999618530273" customHeight="1">
      <x:c r="A3" s="5" t="s">
        <x:v>43</x:v>
      </x:c>
      <x:c r="B3" s="5" t="s">
        <x:v>44</x:v>
      </x:c>
      <x:c r="C3" s="5" t="s">
        <x:v>45</x:v>
      </x:c>
      <x:c r="D3" s="5" t="s">
        <x:v>46</x:v>
      </x:c>
      <x:c r="E3" s="5" t="s">
        <x:v>47</x:v>
      </x:c>
      <x:c r="F3" s="5" t="s">
        <x:v>48</x:v>
      </x:c>
      <x:c r="G3" s="5" t="s">
        <x:v>49</x:v>
      </x:c>
      <x:c r="H3" s="5" t="s">
        <x:v>764</x:v>
      </x:c>
      <x:c r="I3" s="5" t="s">
        <x:v>765</x:v>
      </x:c>
      <x:c r="J3" s="5" t="s">
        <x:v>766</x:v>
      </x:c>
      <x:c r="K3" s="5" t="s">
        <x:v>50</x:v>
      </x:c>
      <x:c r="L3" s="5" t="s">
        <x:v>767</x:v>
      </x:c>
      <x:c r="M3" s="5" t="s">
        <x:v>768</x:v>
      </x:c>
      <x:c r="N3" s="5" t="s">
        <x:v>769</x:v>
      </x:c>
      <x:c r="O3" s="5" t="s">
        <x:v>770</x:v>
      </x:c>
      <x:c r="P3" s="5" t="s">
        <x:v>771</x:v>
      </x:c>
      <x:c r="Q3" s="5" t="s">
        <x:v>51</x:v>
      </x:c>
      <x:c r="R3" s="5" t="s">
        <x:v>772</x:v>
      </x:c>
      <x:c r="S3" s="5" t="s">
        <x:v>773</x:v>
      </x:c>
      <x:c r="T3" s="5" t="s">
        <x:v>774</x:v>
      </x:c>
      <x:c r="U3" s="5" t="s">
        <x:v>775</x:v>
      </x:c>
      <x:c r="V3" s="5" t="s">
        <x:v>776</x:v>
      </x:c>
      <x:c r="W3" s="5" t="s">
        <x:v>53</x:v>
      </x:c>
      <x:c r="X3" s="5" t="s">
        <x:v>777</x:v>
      </x:c>
      <x:c r="Y3" s="5" t="s">
        <x:v>778</x:v>
      </x:c>
      <x:c r="Z3" s="5" t="s">
        <x:v>56</x:v>
      </x:c>
      <x:c r="AA3" s="5" t="s">
        <x:v>57</x:v>
      </x:c>
      <x:c r="AB3" s="5" t="s">
        <x:v>58</x:v>
      </x:c>
      <x:c r="AC3" s="5" t="s">
        <x:v>309</x:v>
      </x:c>
      <x:c r="AD3" s="5" t="s">
        <x:v>59</x:v>
      </x:c>
    </x:row>
    <x:row r="4" ht="28">
      <x:c r="A4" s="1" t="s">
        <x:v>61</x:v>
      </x:c>
      <x:c r="B4" s="1" t="s">
        <x:v>62</x:v>
      </x:c>
      <x:c r="C4" s="1" t="s">
        <x:v>63</x:v>
      </x:c>
      <x:c r="D4" s="1" t="s">
        <x:v>64</x:v>
      </x:c>
      <x:c r="E4" s="1" t="s">
        <x:v>65</x:v>
      </x:c>
      <x:c r="F4" s="1" t="s">
        <x:v>66</x:v>
      </x:c>
      <x:c r="G4" s="1" t="s">
        <x:v>67</x:v>
      </x:c>
      <x:c r="H4" s="1" t="s">
        <x:v>779</x:v>
      </x:c>
      <x:c r="I4" s="8" t="n">
        <x:f>SUMIFS('03_计算输入与公式'!$J$4:$J$164,'03_计算输入与公式'!$B$4:$B$164,A4,'03_计算输入与公式'!$D$4:$D$164,"numerator")/SUMIFS('03_计算输入与公式'!$J$4:$J$164,'03_计算输入与公式'!$B$4:$B$164,A4,'03_计算输入与公式'!$D$4:$D$164,"denominator")*100</x:f>
        <x:v>50</x:v>
      </x:c>
      <x:c r="J4" s="1" t="s">
        <x:v>780</x:v>
      </x:c>
      <x:c r="K4" s="1" t="s">
        <x:v>68</x:v>
      </x:c>
      <x:c r="L4" s="9" t="n">
        <x:f>IF(COUNTIFS('03_计算输入与公式'!$B$4:$B$164,A4,'03_计算输入与公式'!$D$4:$D$164,"comparison")=0,"",SUMIFS('03_计算输入与公式'!$J$4:$J$164,'03_计算输入与公式'!$B$4:$B$164,A4,'03_计算输入与公式'!$D$4:$D$164,"comparison"))</x:f>
        <x:v>50</x:v>
      </x:c>
      <x:c r="M4" s="10" t="s">
        <x:v>326</x:v>
      </x:c>
      <x:c r="N4" s="8" t="n">
        <x:f>ROUND(I4-L4,12)</x:f>
        <x:v>0</x:v>
      </x:c>
      <x:c r="O4" s="8" t="n">
        <x:f>ABS(N4)</x:f>
        <x:v>0</x:v>
      </x:c>
      <x:c r="P4" s="11" t="n">
        <x:f>IF(L4=0,"",O4/ABS(L4))</x:f>
        <x:v>0</x:v>
      </x:c>
      <x:c r="Q4" s="1">
        <x:v>2</x:v>
      </x:c>
      <x:c r="R4" s="1" t="n">
        <x:f>L4-0.005</x:f>
        <x:v>49.995</x:v>
      </x:c>
      <x:c r="S4" s="1" t="n">
        <x:f>L4+0.005</x:f>
        <x:v>50.005</x:v>
      </x:c>
      <x:c r="T4" s="17" t="b">
        <x:v>1</x:v>
      </x:c>
      <x:c r="U4" s="1" t="s">
        <x:v>781</x:v>
      </x:c>
      <x:c r="V4" s="1" t="s">
        <x:v>782</x:v>
      </x:c>
      <x:c r="W4" s="1" t="s">
        <x:v>70</x:v>
      </x:c>
      <x:c r="X4" s="1" t="str">
        <x:v>确认通过－完全一致</x:v>
      </x:c>
      <x:c r="Y4" s="1" t="str">
        <x:v>自动校验结果已验收。</x:v>
      </x:c>
      <x:c r="Z4" s="1" t="s">
        <x:v>72</x:v>
      </x:c>
      <x:c r="AA4" s="1" t="s">
        <x:v>73</x:v>
      </x:c>
      <x:c r="AB4" s="1" t="s">
        <x:v>74</x:v>
      </x:c>
      <x:c r="AC4" s="1" t="s">
        <x:v>318</x:v>
      </x:c>
      <x:c r="AD4" s="1" t="s">
        <x:v>75</x:v>
      </x:c>
    </x:row>
    <x:row r="5" ht="28">
      <x:c r="A5" s="1" t="s">
        <x:v>76</x:v>
      </x:c>
      <x:c r="B5" s="1" t="s">
        <x:v>62</x:v>
      </x:c>
      <x:c r="C5" s="1" t="s">
        <x:v>63</x:v>
      </x:c>
      <x:c r="D5" s="1" t="s">
        <x:v>64</x:v>
      </x:c>
      <x:c r="E5" s="1" t="s">
        <x:v>65</x:v>
      </x:c>
      <x:c r="F5" s="1" t="s">
        <x:v>77</x:v>
      </x:c>
      <x:c r="G5" s="1" t="s">
        <x:v>67</x:v>
      </x:c>
      <x:c r="H5" s="1" t="s">
        <x:v>779</x:v>
      </x:c>
      <x:c r="I5" s="8" t="n">
        <x:f>SUMIFS('03_计算输入与公式'!$J$4:$J$164,'03_计算输入与公式'!$B$4:$B$164,A5,'03_计算输入与公式'!$D$4:$D$164,"numerator")/SUMIFS('03_计算输入与公式'!$J$4:$J$164,'03_计算输入与公式'!$B$4:$B$164,A5,'03_计算输入与公式'!$D$4:$D$164,"denominator")*100</x:f>
        <x:v>50</x:v>
      </x:c>
      <x:c r="J5" s="1" t="s">
        <x:v>780</x:v>
      </x:c>
      <x:c r="K5" s="1" t="s">
        <x:v>68</x:v>
      </x:c>
      <x:c r="L5" s="9" t="n">
        <x:f>IF(COUNTIFS('03_计算输入与公式'!$B$4:$B$164,A5,'03_计算输入与公式'!$D$4:$D$164,"comparison")=0,"",SUMIFS('03_计算输入与公式'!$J$4:$J$164,'03_计算输入与公式'!$B$4:$B$164,A5,'03_计算输入与公式'!$D$4:$D$164,"comparison"))</x:f>
        <x:v>50</x:v>
      </x:c>
      <x:c r="M5" s="10" t="s">
        <x:v>331</x:v>
      </x:c>
      <x:c r="N5" s="8" t="n">
        <x:f>ROUND(I5-L5,12)</x:f>
        <x:v>0</x:v>
      </x:c>
      <x:c r="O5" s="8" t="n">
        <x:f>ABS(N5)</x:f>
        <x:v>0</x:v>
      </x:c>
      <x:c r="P5" s="11" t="n">
        <x:f>IF(L5=0,"",O5/ABS(L5))</x:f>
        <x:v>0</x:v>
      </x:c>
      <x:c r="Q5" s="1">
        <x:v>2</x:v>
      </x:c>
      <x:c r="R5" s="1" t="n">
        <x:f>L5-0.005</x:f>
        <x:v>49.995</x:v>
      </x:c>
      <x:c r="S5" s="1" t="n">
        <x:f>L5+0.005</x:f>
        <x:v>50.005</x:v>
      </x:c>
      <x:c r="T5" s="17" t="b">
        <x:v>1</x:v>
      </x:c>
      <x:c r="U5" s="1" t="s">
        <x:v>781</x:v>
      </x:c>
      <x:c r="V5" s="1" t="s">
        <x:v>782</x:v>
      </x:c>
      <x:c r="W5" s="1" t="s">
        <x:v>70</x:v>
      </x:c>
      <x:c r="X5" s="1" t="str">
        <x:v>确认通过－完全一致</x:v>
      </x:c>
      <x:c r="Y5" s="1" t="str">
        <x:v>自动校验结果已验收。</x:v>
      </x:c>
      <x:c r="Z5" s="1" t="s">
        <x:v>72</x:v>
      </x:c>
      <x:c r="AA5" s="1" t="s">
        <x:v>73</x:v>
      </x:c>
      <x:c r="AB5" s="1" t="s">
        <x:v>74</x:v>
      </x:c>
      <x:c r="AC5" s="1" t="s">
        <x:v>318</x:v>
      </x:c>
      <x:c r="AD5" s="1" t="s">
        <x:v>75</x:v>
      </x:c>
    </x:row>
    <x:row r="6" ht="42">
      <x:c r="A6" s="1" t="s">
        <x:v>78</x:v>
      </x:c>
      <x:c r="B6" s="1" t="s">
        <x:v>79</x:v>
      </x:c>
      <x:c r="C6" s="1" t="s">
        <x:v>80</x:v>
      </x:c>
      <x:c r="D6" s="1" t="s">
        <x:v>81</x:v>
      </x:c>
      <x:c r="E6" s="1" t="s">
        <x:v>82</x:v>
      </x:c>
      <x:c r="F6" s="1" t="s">
        <x:v>83</x:v>
      </x:c>
      <x:c r="G6" s="1" t="s">
        <x:v>84</x:v>
      </x:c>
      <x:c r="H6" s="1" t="s">
        <x:v>783</x:v>
      </x:c>
      <x:c r="I6" s="8" t="n">
        <x:f>SUMIFS('03_计算输入与公式'!$J$4:$J$164,'03_计算输入与公式'!$B$4:$B$164,A6,'03_计算输入与公式'!$D$4:$D$164,"factor1")*SUMIFS('03_计算输入与公式'!$J$4:$J$164,'03_计算输入与公式'!$B$4:$B$164,A6,'03_计算输入与公式'!$D$4:$D$164,"factor2")</x:f>
        <x:v>25</x:v>
      </x:c>
      <x:c r="J6" s="1" t="s">
        <x:v>316</x:v>
      </x:c>
      <x:c r="K6" s="1" t="s">
        <x:v>85</x:v>
      </x:c>
      <x:c r="L6" s="9" t="str">
        <x:f>IF(COUNTIFS('03_计算输入与公式'!$B$4:$B$164,A6,'03_计算输入与公式'!$D$4:$D$164,"comparison")=0,"",SUMIFS('03_计算输入与公式'!$J$4:$J$164,'03_计算输入与公式'!$B$4:$B$164,A6,'03_计算输入与公式'!$D$4:$D$164,"comparison"))</x:f>
      </x:c>
      <x:c r="M6" s="10"/>
      <x:c r="N6" s="8"/>
      <x:c r="O6" s="8"/>
      <x:c r="P6" s="11"/>
      <x:c r="Q6" s="1">
        <x:v>4</x:v>
      </x:c>
      <x:c r="R6" s="1"/>
      <x:c r="S6" s="1"/>
      <x:c r="T6" s="1" t="s">
        <x:v>784</x:v>
      </x:c>
      <x:c r="U6" s="1" t="s">
        <x:v>785</x:v>
      </x:c>
      <x:c r="V6" s="1" t="s">
        <x:v>782</x:v>
      </x:c>
      <x:c r="W6" s="1" t="s">
        <x:v>70</x:v>
      </x:c>
      <x:c r="X6" s="1" t="str">
        <x:v>确认通过－完全一致</x:v>
      </x:c>
      <x:c r="Y6" s="1" t="str">
        <x:v>自动校验结果已验收。</x:v>
      </x:c>
      <x:c r="Z6" s="1" t="s">
        <x:v>86</x:v>
      </x:c>
      <x:c r="AA6" s="1" t="s">
        <x:v>87</x:v>
      </x:c>
      <x:c r="AB6" s="1" t="s">
        <x:v>88</x:v>
      </x:c>
      <x:c r="AC6" s="1" t="s">
        <x:v>334</x:v>
      </x:c>
      <x:c r="AD6" s="1" t="s">
        <x:v>89</x:v>
      </x:c>
    </x:row>
    <x:row r="7" ht="42">
      <x:c r="A7" s="1" t="s">
        <x:v>90</x:v>
      </x:c>
      <x:c r="B7" s="1" t="s">
        <x:v>79</x:v>
      </x:c>
      <x:c r="C7" s="1" t="s">
        <x:v>80</x:v>
      </x:c>
      <x:c r="D7" s="1" t="s">
        <x:v>81</x:v>
      </x:c>
      <x:c r="E7" s="1" t="s">
        <x:v>82</x:v>
      </x:c>
      <x:c r="F7" s="1" t="s">
        <x:v>91</x:v>
      </x:c>
      <x:c r="G7" s="1" t="s">
        <x:v>84</x:v>
      </x:c>
      <x:c r="H7" s="1" t="s">
        <x:v>783</x:v>
      </x:c>
      <x:c r="I7" s="8" t="n">
        <x:f>SUMIFS('03_计算输入与公式'!$J$4:$J$164,'03_计算输入与公式'!$B$4:$B$164,A7,'03_计算输入与公式'!$D$4:$D$164,"factor1")*SUMIFS('03_计算输入与公式'!$J$4:$J$164,'03_计算输入与公式'!$B$4:$B$164,A7,'03_计算输入与公式'!$D$4:$D$164,"factor2")</x:f>
        <x:v>25</x:v>
      </x:c>
      <x:c r="J7" s="1" t="s">
        <x:v>316</x:v>
      </x:c>
      <x:c r="K7" s="1" t="s">
        <x:v>85</x:v>
      </x:c>
      <x:c r="L7" s="9" t="str">
        <x:f>IF(COUNTIFS('03_计算输入与公式'!$B$4:$B$164,A7,'03_计算输入与公式'!$D$4:$D$164,"comparison")=0,"",SUMIFS('03_计算输入与公式'!$J$4:$J$164,'03_计算输入与公式'!$B$4:$B$164,A7,'03_计算输入与公式'!$D$4:$D$164,"comparison"))</x:f>
      </x:c>
      <x:c r="M7" s="10"/>
      <x:c r="N7" s="8"/>
      <x:c r="O7" s="8"/>
      <x:c r="P7" s="11"/>
      <x:c r="Q7" s="1">
        <x:v>4</x:v>
      </x:c>
      <x:c r="R7" s="1"/>
      <x:c r="S7" s="1"/>
      <x:c r="T7" s="1" t="s">
        <x:v>784</x:v>
      </x:c>
      <x:c r="U7" s="1" t="s">
        <x:v>785</x:v>
      </x:c>
      <x:c r="V7" s="1" t="s">
        <x:v>782</x:v>
      </x:c>
      <x:c r="W7" s="1" t="s">
        <x:v>70</x:v>
      </x:c>
      <x:c r="X7" s="1" t="str">
        <x:v>确认通过－完全一致</x:v>
      </x:c>
      <x:c r="Y7" s="1" t="str">
        <x:v>自动校验结果已验收。</x:v>
      </x:c>
      <x:c r="Z7" s="1" t="s">
        <x:v>86</x:v>
      </x:c>
      <x:c r="AA7" s="1" t="s">
        <x:v>87</x:v>
      </x:c>
      <x:c r="AB7" s="1" t="s">
        <x:v>88</x:v>
      </x:c>
      <x:c r="AC7" s="1" t="s">
        <x:v>334</x:v>
      </x:c>
      <x:c r="AD7" s="1" t="s">
        <x:v>89</x:v>
      </x:c>
    </x:row>
    <x:row r="8" ht="42">
      <x:c r="A8" s="1" t="s">
        <x:v>92</x:v>
      </x:c>
      <x:c r="B8" s="1" t="s">
        <x:v>93</x:v>
      </x:c>
      <x:c r="C8" s="1" t="s">
        <x:v>80</x:v>
      </x:c>
      <x:c r="D8" s="1" t="s">
        <x:v>94</x:v>
      </x:c>
      <x:c r="E8" s="1" t="s">
        <x:v>95</x:v>
      </x:c>
      <x:c r="F8" s="1" t="s">
        <x:v>96</x:v>
      </x:c>
      <x:c r="G8" s="1" t="s">
        <x:v>97</x:v>
      </x:c>
      <x:c r="H8" s="1" t="s">
        <x:v>786</x:v>
      </x:c>
      <x:c r="I8" s="8" t="n">
        <x:f>SUMIFS('03_计算输入与公式'!$N$4:$N$164,'03_计算输入与公式'!$B$4:$B$164,A8)</x:f>
        <x:v>25</x:v>
      </x:c>
      <x:c r="J8" s="1" t="s">
        <x:v>787</x:v>
      </x:c>
      <x:c r="K8" s="1" t="s">
        <x:v>85</x:v>
      </x:c>
      <x:c r="L8" s="9" t="str">
        <x:f>IF(COUNTIFS('03_计算输入与公式'!$B$4:$B$164,A8,'03_计算输入与公式'!$D$4:$D$164,"comparison")=0,"",SUMIFS('03_计算输入与公式'!$J$4:$J$164,'03_计算输入与公式'!$B$4:$B$164,A8,'03_计算输入与公式'!$D$4:$D$164,"comparison"))</x:f>
      </x:c>
      <x:c r="M8" s="10"/>
      <x:c r="N8" s="8"/>
      <x:c r="O8" s="8"/>
      <x:c r="P8" s="11"/>
      <x:c r="Q8" s="1">
        <x:v>4</x:v>
      </x:c>
      <x:c r="R8" s="1"/>
      <x:c r="S8" s="1"/>
      <x:c r="T8" s="1" t="s">
        <x:v>784</x:v>
      </x:c>
      <x:c r="U8" s="1" t="s">
        <x:v>785</x:v>
      </x:c>
      <x:c r="V8" s="1" t="s">
        <x:v>782</x:v>
      </x:c>
      <x:c r="W8" s="1" t="s">
        <x:v>70</x:v>
      </x:c>
      <x:c r="X8" s="1" t="str">
        <x:v>确认通过－完全一致</x:v>
      </x:c>
      <x:c r="Y8" s="1" t="str">
        <x:v>自动校验结果已验收。</x:v>
      </x:c>
      <x:c r="Z8" s="1" t="s">
        <x:v>86</x:v>
      </x:c>
      <x:c r="AA8" s="1" t="s">
        <x:v>87</x:v>
      </x:c>
      <x:c r="AB8" s="1" t="s">
        <x:v>88</x:v>
      </x:c>
      <x:c r="AC8" s="1" t="s">
        <x:v>334</x:v>
      </x:c>
      <x:c r="AD8" s="1" t="s">
        <x:v>98</x:v>
      </x:c>
    </x:row>
    <x:row r="9" ht="42">
      <x:c r="A9" s="1" t="s">
        <x:v>99</x:v>
      </x:c>
      <x:c r="B9" s="1" t="s">
        <x:v>93</x:v>
      </x:c>
      <x:c r="C9" s="1" t="s">
        <x:v>80</x:v>
      </x:c>
      <x:c r="D9" s="1" t="s">
        <x:v>94</x:v>
      </x:c>
      <x:c r="E9" s="1" t="s">
        <x:v>95</x:v>
      </x:c>
      <x:c r="F9" s="1" t="s">
        <x:v>100</x:v>
      </x:c>
      <x:c r="G9" s="1" t="s">
        <x:v>97</x:v>
      </x:c>
      <x:c r="H9" s="1" t="s">
        <x:v>786</x:v>
      </x:c>
      <x:c r="I9" s="8" t="n">
        <x:f>SUMIFS('03_计算输入与公式'!$N$4:$N$164,'03_计算输入与公式'!$B$4:$B$164,A9)</x:f>
        <x:v>25</x:v>
      </x:c>
      <x:c r="J9" s="1" t="s">
        <x:v>787</x:v>
      </x:c>
      <x:c r="K9" s="1" t="s">
        <x:v>85</x:v>
      </x:c>
      <x:c r="L9" s="9" t="str">
        <x:f>IF(COUNTIFS('03_计算输入与公式'!$B$4:$B$164,A9,'03_计算输入与公式'!$D$4:$D$164,"comparison")=0,"",SUMIFS('03_计算输入与公式'!$J$4:$J$164,'03_计算输入与公式'!$B$4:$B$164,A9,'03_计算输入与公式'!$D$4:$D$164,"comparison"))</x:f>
      </x:c>
      <x:c r="M9" s="10"/>
      <x:c r="N9" s="8"/>
      <x:c r="O9" s="8"/>
      <x:c r="P9" s="11"/>
      <x:c r="Q9" s="1">
        <x:v>4</x:v>
      </x:c>
      <x:c r="R9" s="1"/>
      <x:c r="S9" s="1"/>
      <x:c r="T9" s="1" t="s">
        <x:v>784</x:v>
      </x:c>
      <x:c r="U9" s="1" t="s">
        <x:v>785</x:v>
      </x:c>
      <x:c r="V9" s="1" t="s">
        <x:v>782</x:v>
      </x:c>
      <x:c r="W9" s="1" t="s">
        <x:v>70</x:v>
      </x:c>
      <x:c r="X9" s="1" t="str">
        <x:v>确认通过－完全一致</x:v>
      </x:c>
      <x:c r="Y9" s="1" t="str">
        <x:v>自动校验结果已验收。</x:v>
      </x:c>
      <x:c r="Z9" s="1" t="s">
        <x:v>86</x:v>
      </x:c>
      <x:c r="AA9" s="1" t="s">
        <x:v>87</x:v>
      </x:c>
      <x:c r="AB9" s="1" t="s">
        <x:v>88</x:v>
      </x:c>
      <x:c r="AC9" s="1" t="s">
        <x:v>334</x:v>
      </x:c>
      <x:c r="AD9" s="1" t="s">
        <x:v>101</x:v>
      </x:c>
    </x:row>
    <x:row r="10" ht="42">
      <x:c r="A10" s="1" t="s">
        <x:v>102</x:v>
      </x:c>
      <x:c r="B10" s="1" t="s">
        <x:v>93</x:v>
      </x:c>
      <x:c r="C10" s="1" t="s">
        <x:v>80</x:v>
      </x:c>
      <x:c r="D10" s="1" t="s">
        <x:v>81</x:v>
      </x:c>
      <x:c r="E10" s="1" t="s">
        <x:v>95</x:v>
      </x:c>
      <x:c r="F10" s="1" t="s">
        <x:v>103</x:v>
      </x:c>
      <x:c r="G10" s="1" t="s">
        <x:v>97</x:v>
      </x:c>
      <x:c r="H10" s="1" t="s">
        <x:v>786</x:v>
      </x:c>
      <x:c r="I10" s="8" t="n">
        <x:f>SUMIFS('03_计算输入与公式'!$N$4:$N$164,'03_计算输入与公式'!$B$4:$B$164,A10)</x:f>
        <x:v>50</x:v>
      </x:c>
      <x:c r="J10" s="1" t="s">
        <x:v>780</x:v>
      </x:c>
      <x:c r="K10" s="1" t="s">
        <x:v>85</x:v>
      </x:c>
      <x:c r="L10" s="9" t="n">
        <x:f>IF(COUNTIFS('03_计算输入与公式'!$B$4:$B$164,A10,'03_计算输入与公式'!$D$4:$D$164,"comparison")=0,"",SUMIFS('03_计算输入与公式'!$J$4:$J$164,'03_计算输入与公式'!$B$4:$B$164,A10,'03_计算输入与公式'!$D$4:$D$164,"comparison"))</x:f>
        <x:v>50</x:v>
      </x:c>
      <x:c r="M10" s="10" t="s">
        <x:v>552</x:v>
      </x:c>
      <x:c r="N10" s="8" t="n">
        <x:f t="shared" ref="N10:N15" si="0">ROUND(I10-L10,12)</x:f>
        <x:v>0</x:v>
      </x:c>
      <x:c r="O10" s="8" t="n">
        <x:f t="shared" ref="O10:O15" si="1">ABS(N10)</x:f>
        <x:v>0</x:v>
      </x:c>
      <x:c r="P10" s="11" t="n">
        <x:f t="shared" ref="P10:P15" si="2">IF(L10=0,"",O10/ABS(L10))</x:f>
        <x:v>0</x:v>
      </x:c>
      <x:c r="Q10" s="1">
        <x:v>2</x:v>
      </x:c>
      <x:c r="R10" s="1" t="n">
        <x:f>L10-0.005</x:f>
        <x:v>49.995</x:v>
      </x:c>
      <x:c r="S10" s="1" t="n">
        <x:f>L10+0.005</x:f>
        <x:v>50.005</x:v>
      </x:c>
      <x:c r="T10" s="17" t="b">
        <x:v>1</x:v>
      </x:c>
      <x:c r="U10" s="1" t="s">
        <x:v>781</x:v>
      </x:c>
      <x:c r="V10" s="1" t="s">
        <x:v>782</x:v>
      </x:c>
      <x:c r="W10" s="1" t="s">
        <x:v>70</x:v>
      </x:c>
      <x:c r="X10" s="1" t="str">
        <x:v>确认通过－完全一致</x:v>
      </x:c>
      <x:c r="Y10" s="1" t="str">
        <x:v>自动校验结果已验收。</x:v>
      </x:c>
      <x:c r="Z10" s="1" t="s">
        <x:v>86</x:v>
      </x:c>
      <x:c r="AA10" s="1" t="s">
        <x:v>87</x:v>
      </x:c>
      <x:c r="AB10" s="1" t="s">
        <x:v>88</x:v>
      </x:c>
      <x:c r="AC10" s="1" t="s">
        <x:v>334</x:v>
      </x:c>
      <x:c r="AD10" s="1" t="s">
        <x:v>104</x:v>
      </x:c>
    </x:row>
    <x:row r="11" ht="42">
      <x:c r="A11" s="1" t="s">
        <x:v>105</x:v>
      </x:c>
      <x:c r="B11" s="1" t="s">
        <x:v>93</x:v>
      </x:c>
      <x:c r="C11" s="1" t="s">
        <x:v>80</x:v>
      </x:c>
      <x:c r="D11" s="1" t="s">
        <x:v>81</x:v>
      </x:c>
      <x:c r="E11" s="1" t="s">
        <x:v>95</x:v>
      </x:c>
      <x:c r="F11" s="1" t="s">
        <x:v>106</x:v>
      </x:c>
      <x:c r="G11" s="1" t="s">
        <x:v>97</x:v>
      </x:c>
      <x:c r="H11" s="1" t="s">
        <x:v>786</x:v>
      </x:c>
      <x:c r="I11" s="8" t="n">
        <x:f>SUMIFS('03_计算输入与公式'!$N$4:$N$164,'03_计算输入与公式'!$B$4:$B$164,A11)</x:f>
        <x:v>50</x:v>
      </x:c>
      <x:c r="J11" s="1" t="s">
        <x:v>780</x:v>
      </x:c>
      <x:c r="K11" s="1" t="s">
        <x:v>85</x:v>
      </x:c>
      <x:c r="L11" s="9" t="n">
        <x:f>IF(COUNTIFS('03_计算输入与公式'!$B$4:$B$164,A11,'03_计算输入与公式'!$D$4:$D$164,"comparison")=0,"",SUMIFS('03_计算输入与公式'!$J$4:$J$164,'03_计算输入与公式'!$B$4:$B$164,A11,'03_计算输入与公式'!$D$4:$D$164,"comparison"))</x:f>
        <x:v>50</x:v>
      </x:c>
      <x:c r="M11" s="10" t="s">
        <x:v>556</x:v>
      </x:c>
      <x:c r="N11" s="8">
        <x:f t="shared" si="0"/>
        <x:v>0</x:v>
      </x:c>
      <x:c r="O11" s="8">
        <x:f t="shared" si="1"/>
        <x:v>0</x:v>
      </x:c>
      <x:c r="P11" s="11">
        <x:f t="shared" si="2"/>
        <x:v>0</x:v>
      </x:c>
      <x:c r="Q11" s="1">
        <x:v>2</x:v>
      </x:c>
      <x:c r="R11" s="1" t="n">
        <x:f>L11-0.005</x:f>
        <x:v>49.995</x:v>
      </x:c>
      <x:c r="S11" s="1" t="n">
        <x:f>L11+0.005</x:f>
        <x:v>50.005</x:v>
      </x:c>
      <x:c r="T11" s="17" t="b">
        <x:v>1</x:v>
      </x:c>
      <x:c r="U11" s="1" t="s">
        <x:v>781</x:v>
      </x:c>
      <x:c r="V11" s="1" t="s">
        <x:v>782</x:v>
      </x:c>
      <x:c r="W11" s="1" t="s">
        <x:v>70</x:v>
      </x:c>
      <x:c r="X11" s="1" t="str">
        <x:v>确认通过－完全一致</x:v>
      </x:c>
      <x:c r="Y11" s="1" t="str">
        <x:v>自动校验结果已验收。</x:v>
      </x:c>
      <x:c r="Z11" s="1" t="s">
        <x:v>86</x:v>
      </x:c>
      <x:c r="AA11" s="1" t="s">
        <x:v>87</x:v>
      </x:c>
      <x:c r="AB11" s="1" t="s">
        <x:v>88</x:v>
      </x:c>
      <x:c r="AC11" s="1" t="s">
        <x:v>334</x:v>
      </x:c>
      <x:c r="AD11" s="1" t="s">
        <x:v>104</x:v>
      </x:c>
    </x:row>
    <x:row r="12" ht="42">
      <x:c r="A12" s="1" t="s">
        <x:v>107</x:v>
      </x:c>
      <x:c r="B12" s="1" t="s">
        <x:v>108</x:v>
      </x:c>
      <x:c r="C12" s="1" t="s">
        <x:v>109</x:v>
      </x:c>
      <x:c r="D12" s="1" t="s">
        <x:v>110</x:v>
      </x:c>
      <x:c r="E12" s="1" t="s">
        <x:v>111</x:v>
      </x:c>
      <x:c r="F12" s="1" t="s">
        <x:v>112</x:v>
      </x:c>
      <x:c r="G12" s="1" t="s">
        <x:v>97</x:v>
      </x:c>
      <x:c r="H12" s="1" t="s">
        <x:v>786</x:v>
      </x:c>
      <x:c r="I12" s="8" t="n">
        <x:f>SUMIFS('03_计算输入与公式'!$N$4:$N$164,'03_计算输入与公式'!$B$4:$B$164,A12)</x:f>
        <x:v>65.75</x:v>
      </x:c>
      <x:c r="J12" s="1" t="s">
        <x:v>562</x:v>
      </x:c>
      <x:c r="K12" s="1" t="s">
        <x:v>85</x:v>
      </x:c>
      <x:c r="L12" s="9" t="n">
        <x:f>IF(COUNTIFS('03_计算输入与公式'!$B$4:$B$164,A12,'03_计算输入与公式'!$D$4:$D$164,"comparison")=0,"",SUMIFS('03_计算输入与公式'!$J$4:$J$164,'03_计算输入与公式'!$B$4:$B$164,A12,'03_计算输入与公式'!$D$4:$D$164,"comparison"))</x:f>
        <x:v>65.75</x:v>
      </x:c>
      <x:c r="M12" s="10" t="s">
        <x:v>561</x:v>
      </x:c>
      <x:c r="N12" s="8">
        <x:f t="shared" si="0"/>
        <x:v>0</x:v>
      </x:c>
      <x:c r="O12" s="8">
        <x:f t="shared" si="1"/>
        <x:v>0</x:v>
      </x:c>
      <x:c r="P12" s="11">
        <x:f t="shared" si="2"/>
        <x:v>0</x:v>
      </x:c>
      <x:c r="Q12" s="1">
        <x:v>2</x:v>
      </x:c>
      <x:c r="R12" s="1" t="n">
        <x:f>L12-0.005</x:f>
        <x:v>65.745</x:v>
      </x:c>
      <x:c r="S12" s="1" t="n">
        <x:f>L12+0.005</x:f>
        <x:v>65.755</x:v>
      </x:c>
      <x:c r="T12" s="17" t="b">
        <x:v>1</x:v>
      </x:c>
      <x:c r="U12" s="1" t="s">
        <x:v>781</x:v>
      </x:c>
      <x:c r="V12" s="1" t="s">
        <x:v>782</x:v>
      </x:c>
      <x:c r="W12" s="1" t="s">
        <x:v>70</x:v>
      </x:c>
      <x:c r="X12" s="1" t="str">
        <x:v>确认通过－完全一致</x:v>
      </x:c>
      <x:c r="Y12" s="1" t="str">
        <x:v>自动校验结果已验收。</x:v>
      </x:c>
      <x:c r="Z12" s="1" t="s">
        <x:v>86</x:v>
      </x:c>
      <x:c r="AA12" s="1" t="s">
        <x:v>87</x:v>
      </x:c>
      <x:c r="AB12" s="1" t="s">
        <x:v>113</x:v>
      </x:c>
      <x:c r="AC12" s="1" t="s">
        <x:v>349</x:v>
      </x:c>
      <x:c r="AD12" s="1" t="s">
        <x:v>114</x:v>
      </x:c>
    </x:row>
    <x:row r="13" ht="42">
      <x:c r="A13" s="1" t="s">
        <x:v>115</x:v>
      </x:c>
      <x:c r="B13" s="1" t="s">
        <x:v>108</x:v>
      </x:c>
      <x:c r="C13" s="1" t="s">
        <x:v>109</x:v>
      </x:c>
      <x:c r="D13" s="1" t="s">
        <x:v>110</x:v>
      </x:c>
      <x:c r="E13" s="1" t="s">
        <x:v>111</x:v>
      </x:c>
      <x:c r="F13" s="1" t="s">
        <x:v>116</x:v>
      </x:c>
      <x:c r="G13" s="1" t="s">
        <x:v>97</x:v>
      </x:c>
      <x:c r="H13" s="1" t="s">
        <x:v>786</x:v>
      </x:c>
      <x:c r="I13" s="8" t="n">
        <x:f>SUMIFS('03_计算输入与公式'!$N$4:$N$164,'03_计算输入与公式'!$B$4:$B$164,A13)</x:f>
        <x:v>27.4</x:v>
      </x:c>
      <x:c r="J13" s="1" t="s">
        <x:v>569</x:v>
      </x:c>
      <x:c r="K13" s="1" t="s">
        <x:v>85</x:v>
      </x:c>
      <x:c r="L13" s="9" t="n">
        <x:f>IF(COUNTIFS('03_计算输入与公式'!$B$4:$B$164,A13,'03_计算输入与公式'!$D$4:$D$164,"comparison")=0,"",SUMIFS('03_计算输入与公式'!$J$4:$J$164,'03_计算输入与公式'!$B$4:$B$164,A13,'03_计算输入与公式'!$D$4:$D$164,"comparison"))</x:f>
        <x:v>27.4</x:v>
      </x:c>
      <x:c r="M13" s="10" t="s">
        <x:v>568</x:v>
      </x:c>
      <x:c r="N13" s="8">
        <x:f t="shared" si="0"/>
        <x:v>0</x:v>
      </x:c>
      <x:c r="O13" s="8">
        <x:f t="shared" si="1"/>
        <x:v>0</x:v>
      </x:c>
      <x:c r="P13" s="11">
        <x:f t="shared" si="2"/>
        <x:v>0</x:v>
      </x:c>
      <x:c r="Q13" s="1">
        <x:v>2</x:v>
      </x:c>
      <x:c r="R13" s="1" t="n">
        <x:f>L13-0.005</x:f>
        <x:v>27.395</x:v>
      </x:c>
      <x:c r="S13" s="1" t="n">
        <x:f>L13+0.005</x:f>
        <x:v>27.404999999999998</x:v>
      </x:c>
      <x:c r="T13" s="17" t="b">
        <x:v>1</x:v>
      </x:c>
      <x:c r="U13" s="1" t="s">
        <x:v>781</x:v>
      </x:c>
      <x:c r="V13" s="1" t="s">
        <x:v>782</x:v>
      </x:c>
      <x:c r="W13" s="1" t="s">
        <x:v>70</x:v>
      </x:c>
      <x:c r="X13" s="1" t="str">
        <x:v>确认通过－完全一致</x:v>
      </x:c>
      <x:c r="Y13" s="1" t="str">
        <x:v>自动校验结果已验收。</x:v>
      </x:c>
      <x:c r="Z13" s="1" t="s">
        <x:v>86</x:v>
      </x:c>
      <x:c r="AA13" s="1" t="s">
        <x:v>87</x:v>
      </x:c>
      <x:c r="AB13" s="1" t="s">
        <x:v>113</x:v>
      </x:c>
      <x:c r="AC13" s="1" t="s">
        <x:v>349</x:v>
      </x:c>
      <x:c r="AD13" s="1" t="s">
        <x:v>117</x:v>
      </x:c>
    </x:row>
    <x:row r="14" ht="42">
      <x:c r="A14" s="1" t="s">
        <x:v>118</x:v>
      </x:c>
      <x:c r="B14" s="1" t="s">
        <x:v>108</x:v>
      </x:c>
      <x:c r="C14" s="1" t="s">
        <x:v>109</x:v>
      </x:c>
      <x:c r="D14" s="1" t="s">
        <x:v>110</x:v>
      </x:c>
      <x:c r="E14" s="1" t="s">
        <x:v>111</x:v>
      </x:c>
      <x:c r="F14" s="1" t="s">
        <x:v>119</x:v>
      </x:c>
      <x:c r="G14" s="1" t="s">
        <x:v>97</x:v>
      </x:c>
      <x:c r="H14" s="1" t="s">
        <x:v>786</x:v>
      </x:c>
      <x:c r="I14" s="8" t="n">
        <x:f>SUMIFS('03_计算输入与公式'!$N$4:$N$164,'03_计算输入与公式'!$B$4:$B$164,A14)</x:f>
        <x:v>6.85</x:v>
      </x:c>
      <x:c r="J14" s="1" t="s">
        <x:v>576</x:v>
      </x:c>
      <x:c r="K14" s="1" t="s">
        <x:v>85</x:v>
      </x:c>
      <x:c r="L14" s="9" t="n">
        <x:f>IF(COUNTIFS('03_计算输入与公式'!$B$4:$B$164,A14,'03_计算输入与公式'!$D$4:$D$164,"comparison")=0,"",SUMIFS('03_计算输入与公式'!$J$4:$J$164,'03_计算输入与公式'!$B$4:$B$164,A14,'03_计算输入与公式'!$D$4:$D$164,"comparison"))</x:f>
        <x:v>6.85</x:v>
      </x:c>
      <x:c r="M14" s="10" t="s">
        <x:v>575</x:v>
      </x:c>
      <x:c r="N14" s="8">
        <x:f t="shared" si="0"/>
        <x:v>0</x:v>
      </x:c>
      <x:c r="O14" s="8">
        <x:f t="shared" si="1"/>
        <x:v>0</x:v>
      </x:c>
      <x:c r="P14" s="11">
        <x:f t="shared" si="2"/>
        <x:v>0</x:v>
      </x:c>
      <x:c r="Q14" s="1">
        <x:v>2</x:v>
      </x:c>
      <x:c r="R14" s="1" t="n">
        <x:f>L14-0.005</x:f>
        <x:v>6.845</x:v>
      </x:c>
      <x:c r="S14" s="1" t="n">
        <x:f>L14+0.005</x:f>
        <x:v>6.8549999999999995</x:v>
      </x:c>
      <x:c r="T14" s="17" t="b">
        <x:v>1</x:v>
      </x:c>
      <x:c r="U14" s="1" t="s">
        <x:v>781</x:v>
      </x:c>
      <x:c r="V14" s="1" t="s">
        <x:v>782</x:v>
      </x:c>
      <x:c r="W14" s="1" t="s">
        <x:v>70</x:v>
      </x:c>
      <x:c r="X14" s="1" t="str">
        <x:v>确认通过－完全一致</x:v>
      </x:c>
      <x:c r="Y14" s="1" t="str">
        <x:v>自动校验结果已验收。</x:v>
      </x:c>
      <x:c r="Z14" s="1" t="s">
        <x:v>86</x:v>
      </x:c>
      <x:c r="AA14" s="1" t="s">
        <x:v>87</x:v>
      </x:c>
      <x:c r="AB14" s="1" t="s">
        <x:v>113</x:v>
      </x:c>
      <x:c r="AC14" s="1" t="s">
        <x:v>349</x:v>
      </x:c>
      <x:c r="AD14" s="1" t="s">
        <x:v>120</x:v>
      </x:c>
    </x:row>
    <x:row r="15" ht="42">
      <x:c r="A15" s="1" t="s">
        <x:v>121</x:v>
      </x:c>
      <x:c r="B15" s="1" t="s">
        <x:v>122</x:v>
      </x:c>
      <x:c r="C15" s="1" t="s">
        <x:v>17</x:v>
      </x:c>
      <x:c r="D15" s="1" t="s">
        <x:v>123</x:v>
      </x:c>
      <x:c r="E15" s="1" t="s">
        <x:v>124</x:v>
      </x:c>
      <x:c r="F15" s="1" t="s">
        <x:v>125</x:v>
      </x:c>
      <x:c r="G15" s="1" t="s">
        <x:v>97</x:v>
      </x:c>
      <x:c r="H15" s="1" t="s">
        <x:v>786</x:v>
      </x:c>
      <x:c r="I15" s="8" t="n">
        <x:f>SUMIFS('03_计算输入与公式'!$N$4:$N$164,'03_计算输入与公式'!$B$4:$B$164,A15)</x:f>
        <x:v>136.99214</x:v>
      </x:c>
      <x:c r="J15" s="1" t="s">
        <x:v>788</x:v>
      </x:c>
      <x:c r="K15" s="1" t="s">
        <x:v>85</x:v>
      </x:c>
      <x:c r="L15" s="9" t="n">
        <x:f>IF(COUNTIFS('03_计算输入与公式'!$B$4:$B$164,A15,'03_计算输入与公式'!$D$4:$D$164,"comparison")=0,"",SUMIFS('03_计算输入与公式'!$J$4:$J$164,'03_计算输入与公式'!$B$4:$B$164,A15,'03_计算输入与公式'!$D$4:$D$164,"comparison"))</x:f>
        <x:v>136.9864</x:v>
      </x:c>
      <x:c r="M15" s="10" t="s">
        <x:v>365</x:v>
      </x:c>
      <x:c r="N15" s="8">
        <x:f t="shared" si="0"/>
        <x:v>5.7400000000000003E-3</x:v>
      </x:c>
      <x:c r="O15" s="8">
        <x:f t="shared" si="1"/>
        <x:v>5.7400000000000003E-3</x:v>
      </x:c>
      <x:c r="P15" s="11">
        <x:f t="shared" si="2"/>
        <x:v>4.1901969830581726E-5</x:v>
      </x:c>
      <x:c r="Q15" s="1">
        <x:v>4</x:v>
      </x:c>
      <x:c r="R15" s="1" t="n">
        <x:f>L15-0.00005</x:f>
        <x:v>136.98635000000002</x:v>
      </x:c>
      <x:c r="S15" s="1" t="n">
        <x:f>L15+0.00005</x:f>
        <x:v>136.98645</x:v>
      </x:c>
      <x:c r="T15" s="17" t="b">
        <x:v>0</x:v>
      </x:c>
      <x:c r="U15" s="1" t="s">
        <x:v>789</x:v>
      </x:c>
      <x:c r="V15" s="1" t="s">
        <x:v>790</x:v>
      </x:c>
      <x:c r="W15" s="1" t="s">
        <x:v>127</x:v>
      </x:c>
      <x:c r="X15" s="1" t="str">
        <x:v>确认原文存在差异并保留</x:v>
      </x:c>
      <x:c r="Y15" s="1" t="str">
        <x:v>用户确认原文输入及公式；差异0.00574万元不能由四位小数显示精度解释，保留为原文披露差异。</x:v>
      </x:c>
      <x:c r="Z15" s="1" t="s">
        <x:v>86</x:v>
      </x:c>
      <x:c r="AA15" s="1" t="s">
        <x:v>87</x:v>
      </x:c>
      <x:c r="AB15" s="1" t="s">
        <x:v>128</x:v>
      </x:c>
      <x:c r="AC15" s="1" t="s">
        <x:v>359</x:v>
      </x:c>
      <x:c r="AD15" s="1" t="s">
        <x:v>129</x:v>
      </x:c>
    </x:row>
    <x:row r="16" ht="42">
      <x:c r="A16" s="1" t="s">
        <x:v>130</x:v>
      </x:c>
      <x:c r="B16" s="1" t="s">
        <x:v>131</x:v>
      </x:c>
      <x:c r="C16" s="1" t="s">
        <x:v>132</x:v>
      </x:c>
      <x:c r="D16" s="1" t="s">
        <x:v>133</x:v>
      </x:c>
      <x:c r="E16" s="1" t="s">
        <x:v>134</x:v>
      </x:c>
      <x:c r="F16" s="1" t="s">
        <x:v>135</x:v>
      </x:c>
      <x:c r="G16" s="1" t="s">
        <x:v>97</x:v>
      </x:c>
      <x:c r="H16" s="1" t="s">
        <x:v>786</x:v>
      </x:c>
      <x:c r="I16" s="8" t="n">
        <x:f>SUMIFS('03_计算输入与公式'!$N$4:$N$164,'03_计算输入与公式'!$B$4:$B$164,A16)</x:f>
        <x:v>1863.0136</x:v>
      </x:c>
      <x:c r="J16" s="1" t="s">
        <x:v>791</x:v>
      </x:c>
      <x:c r="K16" s="1" t="s">
        <x:v>85</x:v>
      </x:c>
      <x:c r="L16" s="9" t="str">
        <x:f>IF(COUNTIFS('03_计算输入与公式'!$B$4:$B$164,A16,'03_计算输入与公式'!$D$4:$D$164,"comparison")=0,"",SUMIFS('03_计算输入与公式'!$J$4:$J$164,'03_计算输入与公式'!$B$4:$B$164,A16,'03_计算输入与公式'!$D$4:$D$164,"comparison"))</x:f>
      </x:c>
      <x:c r="M16" s="10"/>
      <x:c r="N16" s="8"/>
      <x:c r="O16" s="8"/>
      <x:c r="P16" s="11"/>
      <x:c r="Q16" s="1">
        <x:v>4</x:v>
      </x:c>
      <x:c r="R16" s="1"/>
      <x:c r="S16" s="1"/>
      <x:c r="T16" s="1" t="s">
        <x:v>784</x:v>
      </x:c>
      <x:c r="U16" s="1" t="s">
        <x:v>785</x:v>
      </x:c>
      <x:c r="V16" s="1" t="s">
        <x:v>790</x:v>
      </x:c>
      <x:c r="W16" s="1" t="s">
        <x:v>127</x:v>
      </x:c>
      <x:c r="X16" s="1" t="str">
        <x:v>确认通过－完全一致</x:v>
      </x:c>
      <x:c r="Y16" s="1" t="str">
        <x:v>用户确认坚持使用原文披露期初注册资本136.9864万元，不以CE-005计算值替换。</x:v>
      </x:c>
      <x:c r="Z16" s="1" t="s">
        <x:v>86</x:v>
      </x:c>
      <x:c r="AA16" s="1" t="s">
        <x:v>87</x:v>
      </x:c>
      <x:c r="AB16" s="1" t="s">
        <x:v>136</x:v>
      </x:c>
      <x:c r="AC16" s="1" t="s">
        <x:v>370</x:v>
      </x:c>
      <x:c r="AD16" s="1" t="s">
        <x:v>137</x:v>
      </x:c>
    </x:row>
    <x:row r="17" ht="42">
      <x:c r="A17" s="1" t="s">
        <x:v>138</x:v>
      </x:c>
      <x:c r="B17" s="1" t="s">
        <x:v>139</x:v>
      </x:c>
      <x:c r="C17" s="1" t="s">
        <x:v>140</x:v>
      </x:c>
      <x:c r="D17" s="1" t="s">
        <x:v>141</x:v>
      </x:c>
      <x:c r="E17" s="1" t="s">
        <x:v>142</x:v>
      </x:c>
      <x:c r="F17" s="1" t="s">
        <x:v>143</x:v>
      </x:c>
      <x:c r="G17" s="1" t="s">
        <x:v>97</x:v>
      </x:c>
      <x:c r="H17" s="1" t="s">
        <x:v>786</x:v>
      </x:c>
      <x:c r="I17" s="8" t="n">
        <x:f>SUMIFS('03_计算输入与公式'!$N$4:$N$164,'03_计算输入与公式'!$B$4:$B$164,A17)</x:f>
        <x:v>0</x:v>
      </x:c>
      <x:c r="J17" s="1" t="s">
        <x:v>792</x:v>
      </x:c>
      <x:c r="K17" s="1" t="s">
        <x:v>144</x:v>
      </x:c>
      <x:c r="L17" s="9" t="n">
        <x:f>IF(COUNTIFS('03_计算输入与公式'!$B$4:$B$164,A17,'03_计算输入与公式'!$D$4:$D$164,"comparison")=0,"",SUMIFS('03_计算输入与公式'!$J$4:$J$164,'03_计算输入与公式'!$B$4:$B$164,A17,'03_计算输入与公式'!$D$4:$D$164,"comparison"))</x:f>
        <x:v>0</x:v>
      </x:c>
      <x:c r="M17" s="10" t="s">
        <x:v>587</x:v>
      </x:c>
      <x:c r="N17" s="8" t="n">
        <x:f>ROUND(I17-L17,12)</x:f>
        <x:v>0</x:v>
      </x:c>
      <x:c r="O17" s="8" t="n">
        <x:f>ABS(N17)</x:f>
        <x:v>0</x:v>
      </x:c>
      <x:c r="P17" s="11" t="str">
        <x:f>IF(L17=0,"",O17/ABS(L17))</x:f>
      </x:c>
      <x:c r="Q17" s="1">
        <x:v>0</x:v>
      </x:c>
      <x:c r="R17" s="1" t="n">
        <x:f>L17-0.5</x:f>
        <x:v>-0.5</x:v>
      </x:c>
      <x:c r="S17" s="1" t="n">
        <x:f>L17+0.5</x:f>
        <x:v>0.5</x:v>
      </x:c>
      <x:c r="T17" s="17" t="b">
        <x:v>1</x:v>
      </x:c>
      <x:c r="U17" s="1" t="s">
        <x:v>781</x:v>
      </x:c>
      <x:c r="V17" s="1" t="s">
        <x:v>782</x:v>
      </x:c>
      <x:c r="W17" s="1" t="s">
        <x:v>70</x:v>
      </x:c>
      <x:c r="X17" s="1" t="str">
        <x:v>确认通过－完全一致</x:v>
      </x:c>
      <x:c r="Y17" s="1" t="str">
        <x:v>自动校验结果已验收。</x:v>
      </x:c>
      <x:c r="Z17" s="1" t="s">
        <x:v>145</x:v>
      </x:c>
      <x:c r="AA17" s="1" t="s">
        <x:v>146</x:v>
      </x:c>
      <x:c r="AB17" s="1" t="s">
        <x:v>147</x:v>
      </x:c>
      <x:c r="AC17" s="1" t="s">
        <x:v>375</x:v>
      </x:c>
      <x:c r="AD17" s="1" t="s">
        <x:v>148</x:v>
      </x:c>
    </x:row>
    <x:row r="18" ht="42">
      <x:c r="A18" s="1" t="s">
        <x:v>149</x:v>
      </x:c>
      <x:c r="B18" s="1" t="s">
        <x:v>139</x:v>
      </x:c>
      <x:c r="C18" s="1" t="s">
        <x:v>140</x:v>
      </x:c>
      <x:c r="D18" s="1" t="s">
        <x:v>141</x:v>
      </x:c>
      <x:c r="E18" s="1" t="s">
        <x:v>142</x:v>
      </x:c>
      <x:c r="F18" s="1" t="s">
        <x:v>150</x:v>
      </x:c>
      <x:c r="G18" s="1" t="s">
        <x:v>97</x:v>
      </x:c>
      <x:c r="H18" s="1" t="s">
        <x:v>786</x:v>
      </x:c>
      <x:c r="I18" s="8" t="n">
        <x:f>SUMIFS('03_计算输入与公式'!$N$4:$N$164,'03_计算输入与公式'!$B$4:$B$164,A18)</x:f>
        <x:v>666680</x:v>
      </x:c>
      <x:c r="J18" s="1" t="s">
        <x:v>793</x:v>
      </x:c>
      <x:c r="K18" s="1" t="s">
        <x:v>144</x:v>
      </x:c>
      <x:c r="L18" s="9" t="n">
        <x:f>IF(COUNTIFS('03_计算输入与公式'!$B$4:$B$164,A18,'03_计算输入与公式'!$D$4:$D$164,"comparison")=0,"",SUMIFS('03_计算输入与公式'!$J$4:$J$164,'03_计算输入与公式'!$B$4:$B$164,A18,'03_计算输入与公式'!$D$4:$D$164,"comparison"))</x:f>
        <x:v>666680</x:v>
      </x:c>
      <x:c r="M18" s="10" t="s">
        <x:v>377</x:v>
      </x:c>
      <x:c r="N18" s="8" t="n">
        <x:f>ROUND(I18-L18,12)</x:f>
        <x:v>0</x:v>
      </x:c>
      <x:c r="O18" s="8" t="n">
        <x:f>ABS(N18)</x:f>
        <x:v>0</x:v>
      </x:c>
      <x:c r="P18" s="11" t="n">
        <x:f>IF(L18=0,"",O18/ABS(L18))</x:f>
        <x:v>0</x:v>
      </x:c>
      <x:c r="Q18" s="1">
        <x:v>0</x:v>
      </x:c>
      <x:c r="R18" s="1" t="n">
        <x:f>L18-0.5</x:f>
        <x:v>666679.5</x:v>
      </x:c>
      <x:c r="S18" s="1" t="n">
        <x:f>L18+0.5</x:f>
        <x:v>666680.5</x:v>
      </x:c>
      <x:c r="T18" s="17" t="b">
        <x:v>1</x:v>
      </x:c>
      <x:c r="U18" s="1" t="s">
        <x:v>781</x:v>
      </x:c>
      <x:c r="V18" s="1" t="s">
        <x:v>782</x:v>
      </x:c>
      <x:c r="W18" s="1" t="s">
        <x:v>70</x:v>
      </x:c>
      <x:c r="X18" s="1" t="str">
        <x:v>确认通过－完全一致</x:v>
      </x:c>
      <x:c r="Y18" s="1" t="str">
        <x:v>自动校验结果已验收。</x:v>
      </x:c>
      <x:c r="Z18" s="1" t="s">
        <x:v>145</x:v>
      </x:c>
      <x:c r="AA18" s="1" t="s">
        <x:v>146</x:v>
      </x:c>
      <x:c r="AB18" s="1" t="s">
        <x:v>147</x:v>
      </x:c>
      <x:c r="AC18" s="1" t="s">
        <x:v>375</x:v>
      </x:c>
      <x:c r="AD18" s="1" t="s">
        <x:v>151</x:v>
      </x:c>
    </x:row>
    <x:row r="19" ht="42">
      <x:c r="A19" s="1" t="s">
        <x:v>152</x:v>
      </x:c>
      <x:c r="B19" s="1" t="s">
        <x:v>153</x:v>
      </x:c>
      <x:c r="C19" s="1" t="s">
        <x:v>140</x:v>
      </x:c>
      <x:c r="D19" s="1"/>
      <x:c r="E19" s="1" t="s">
        <x:v>154</x:v>
      </x:c>
      <x:c r="F19" s="1" t="s">
        <x:v>155</x:v>
      </x:c>
      <x:c r="G19" s="1" t="s">
        <x:v>156</x:v>
      </x:c>
      <x:c r="H19" s="1" t="s">
        <x:v>794</x:v>
      </x:c>
      <x:c r="I19" s="8" t="n">
        <x:f>SUMIFS('03_计算输入与公式'!$J$4:$J$164,'03_计算输入与公式'!$B$4:$B$164,A19,'03_计算输入与公式'!$D$4:$D$164,"consideration_wan")*10000/SUMIFS('03_计算输入与公式'!$J$4:$J$164,'03_计算输入与公式'!$B$4:$B$164,A19,'03_计算输入与公式'!$D$4:$D$164,"shares")</x:f>
        <x:v>14.99970000599988</x:v>
      </x:c>
      <x:c r="J19" s="1" t="s">
        <x:v>795</x:v>
      </x:c>
      <x:c r="K19" s="1" t="s">
        <x:v>157</x:v>
      </x:c>
      <x:c r="L19" s="9" t="str">
        <x:f>IF(COUNTIFS('03_计算输入与公式'!$B$4:$B$164,A19,'03_计算输入与公式'!$D$4:$D$164,"comparison")=0,"",SUMIFS('03_计算输入与公式'!$J$4:$J$164,'03_计算输入与公式'!$B$4:$B$164,A19,'03_计算输入与公式'!$D$4:$D$164,"comparison"))</x:f>
      </x:c>
      <x:c r="M19" s="10"/>
      <x:c r="N19" s="8"/>
      <x:c r="O19" s="8"/>
      <x:c r="P19" s="11"/>
      <x:c r="Q19" s="1">
        <x:v>6</x:v>
      </x:c>
      <x:c r="R19" s="1"/>
      <x:c r="S19" s="1"/>
      <x:c r="T19" s="1" t="s">
        <x:v>784</x:v>
      </x:c>
      <x:c r="U19" s="1" t="s">
        <x:v>785</x:v>
      </x:c>
      <x:c r="V19" s="1" t="s">
        <x:v>782</x:v>
      </x:c>
      <x:c r="W19" s="1" t="s">
        <x:v>70</x:v>
      </x:c>
      <x:c r="X19" s="1" t="str">
        <x:v>确认通过－完全一致</x:v>
      </x:c>
      <x:c r="Y19" s="1" t="str">
        <x:v>自动校验结果已验收。</x:v>
      </x:c>
      <x:c r="Z19" s="1" t="s">
        <x:v>145</x:v>
      </x:c>
      <x:c r="AA19" s="1" t="s">
        <x:v>146</x:v>
      </x:c>
      <x:c r="AB19" s="1" t="s">
        <x:v>147</x:v>
      </x:c>
      <x:c r="AC19" s="1" t="s">
        <x:v>375</x:v>
      </x:c>
      <x:c r="AD19" s="1" t="s">
        <x:v>158</x:v>
      </x:c>
    </x:row>
    <x:row r="20" ht="42">
      <x:c r="A20" s="1" t="s">
        <x:v>159</x:v>
      </x:c>
      <x:c r="B20" s="1" t="s">
        <x:v>160</x:v>
      </x:c>
      <x:c r="C20" s="1" t="s">
        <x:v>161</x:v>
      </x:c>
      <x:c r="D20" s="1" t="s">
        <x:v>162</x:v>
      </x:c>
      <x:c r="E20" s="1" t="s">
        <x:v>163</x:v>
      </x:c>
      <x:c r="F20" s="1" t="s">
        <x:v>164</x:v>
      </x:c>
      <x:c r="G20" s="1" t="s">
        <x:v>84</x:v>
      </x:c>
      <x:c r="H20" s="1" t="s">
        <x:v>783</x:v>
      </x:c>
      <x:c r="I20" s="8" t="n">
        <x:f>SUMIFS('03_计算输入与公式'!$J$4:$J$164,'03_计算输入与公式'!$B$4:$B$164,A20,'03_计算输入与公式'!$D$4:$D$164,"factor1")*SUMIFS('03_计算输入与公式'!$J$4:$J$164,'03_计算输入与公式'!$B$4:$B$164,A20,'03_计算输入与公式'!$D$4:$D$164,"factor2")</x:f>
        <x:v>2544787</x:v>
      </x:c>
      <x:c r="J20" s="1" t="s">
        <x:v>796</x:v>
      </x:c>
      <x:c r="K20" s="1" t="s">
        <x:v>144</x:v>
      </x:c>
      <x:c r="L20" s="9" t="n">
        <x:f>IF(COUNTIFS('03_计算输入与公式'!$B$4:$B$164,A20,'03_计算输入与公式'!$D$4:$D$164,"comparison")=0,"",SUMIFS('03_计算输入与公式'!$J$4:$J$164,'03_计算输入与公式'!$B$4:$B$164,A20,'03_计算输入与公式'!$D$4:$D$164,"comparison"))</x:f>
        <x:v>2544787</x:v>
      </x:c>
      <x:c r="M20" s="10" t="s">
        <x:v>604</x:v>
      </x:c>
      <x:c r="N20" s="8" t="n">
        <x:f t="shared" ref="N20:N25" si="3">ROUND(I20-L20,12)</x:f>
        <x:v>0</x:v>
      </x:c>
      <x:c r="O20" s="8" t="n">
        <x:f t="shared" ref="O20:O25" si="4">ABS(N20)</x:f>
        <x:v>0</x:v>
      </x:c>
      <x:c r="P20" s="11" t="n">
        <x:f t="shared" ref="P20:P25" si="5">IF(L20=0,"",O20/ABS(L20))</x:f>
        <x:v>0</x:v>
      </x:c>
      <x:c r="Q20" s="1">
        <x:v>0</x:v>
      </x:c>
      <x:c r="R20" s="1" t="n">
        <x:f t="shared" ref="R20:R25" si="6">L20-0.5</x:f>
        <x:v>2544786.5</x:v>
      </x:c>
      <x:c r="S20" s="1" t="n">
        <x:f t="shared" ref="S20:S25" si="7">L20+0.5</x:f>
        <x:v>2544787.5</x:v>
      </x:c>
      <x:c r="T20" s="17" t="b">
        <x:v>1</x:v>
      </x:c>
      <x:c r="U20" s="1" t="s">
        <x:v>781</x:v>
      </x:c>
      <x:c r="V20" s="1" t="s">
        <x:v>782</x:v>
      </x:c>
      <x:c r="W20" s="1" t="s">
        <x:v>70</x:v>
      </x:c>
      <x:c r="X20" s="1" t="str">
        <x:v>确认通过－完全一致</x:v>
      </x:c>
      <x:c r="Y20" s="1" t="str">
        <x:v>自动校验结果已验收。</x:v>
      </x:c>
      <x:c r="Z20" s="1" t="s">
        <x:v>165</x:v>
      </x:c>
      <x:c r="AA20" s="1" t="s">
        <x:v>166</x:v>
      </x:c>
      <x:c r="AB20" s="1" t="s">
        <x:v>167</x:v>
      </x:c>
      <x:c r="AC20" s="1" t="s">
        <x:v>387</x:v>
      </x:c>
      <x:c r="AD20" s="1" t="s">
        <x:v>168</x:v>
      </x:c>
    </x:row>
    <x:row r="21" ht="42">
      <x:c r="A21" s="1" t="s">
        <x:v>169</x:v>
      </x:c>
      <x:c r="B21" s="1" t="s">
        <x:v>160</x:v>
      </x:c>
      <x:c r="C21" s="1" t="s">
        <x:v>161</x:v>
      </x:c>
      <x:c r="D21" s="1" t="s">
        <x:v>162</x:v>
      </x:c>
      <x:c r="E21" s="1" t="s">
        <x:v>163</x:v>
      </x:c>
      <x:c r="F21" s="1" t="s">
        <x:v>170</x:v>
      </x:c>
      <x:c r="G21" s="1" t="s">
        <x:v>84</x:v>
      </x:c>
      <x:c r="H21" s="1" t="s">
        <x:v>783</x:v>
      </x:c>
      <x:c r="I21" s="8" t="n">
        <x:f>SUMIFS('03_计算输入与公式'!$J$4:$J$164,'03_计算输入与公式'!$B$4:$B$164,A21,'03_计算输入与公式'!$D$4:$D$164,"factor1")*SUMIFS('03_计算输入与公式'!$J$4:$J$164,'03_计算输入与公式'!$B$4:$B$164,A21,'03_计算输入与公式'!$D$4:$D$164,"factor2")</x:f>
        <x:v>618000</x:v>
      </x:c>
      <x:c r="J21" s="1" t="s">
        <x:v>797</x:v>
      </x:c>
      <x:c r="K21" s="1" t="s">
        <x:v>144</x:v>
      </x:c>
      <x:c r="L21" s="9" t="n">
        <x:f>IF(COUNTIFS('03_计算输入与公式'!$B$4:$B$164,A21,'03_计算输入与公式'!$D$4:$D$164,"comparison")=0,"",SUMIFS('03_计算输入与公式'!$J$4:$J$164,'03_计算输入与公式'!$B$4:$B$164,A21,'03_计算输入与公式'!$D$4:$D$164,"comparison"))</x:f>
        <x:v>618000</x:v>
      </x:c>
      <x:c r="M21" s="10" t="s">
        <x:v>609</x:v>
      </x:c>
      <x:c r="N21" s="8">
        <x:f t="shared" si="3"/>
        <x:v>0</x:v>
      </x:c>
      <x:c r="O21" s="8">
        <x:f t="shared" si="4"/>
        <x:v>0</x:v>
      </x:c>
      <x:c r="P21" s="11">
        <x:f t="shared" si="5"/>
        <x:v>0</x:v>
      </x:c>
      <x:c r="Q21" s="1">
        <x:v>0</x:v>
      </x:c>
      <x:c r="R21" s="1">
        <x:f t="shared" si="6"/>
        <x:v>617999.5</x:v>
      </x:c>
      <x:c r="S21" s="1">
        <x:f t="shared" si="7"/>
        <x:v>618000.5</x:v>
      </x:c>
      <x:c r="T21" s="17" t="b">
        <x:v>1</x:v>
      </x:c>
      <x:c r="U21" s="1" t="s">
        <x:v>781</x:v>
      </x:c>
      <x:c r="V21" s="1" t="s">
        <x:v>782</x:v>
      </x:c>
      <x:c r="W21" s="1" t="s">
        <x:v>70</x:v>
      </x:c>
      <x:c r="X21" s="1" t="str">
        <x:v>确认通过－完全一致</x:v>
      </x:c>
      <x:c r="Y21" s="1" t="str">
        <x:v>自动校验结果已验收。</x:v>
      </x:c>
      <x:c r="Z21" s="1" t="s">
        <x:v>165</x:v>
      </x:c>
      <x:c r="AA21" s="1" t="s">
        <x:v>166</x:v>
      </x:c>
      <x:c r="AB21" s="1" t="s">
        <x:v>167</x:v>
      </x:c>
      <x:c r="AC21" s="1" t="s">
        <x:v>387</x:v>
      </x:c>
      <x:c r="AD21" s="1" t="s">
        <x:v>168</x:v>
      </x:c>
    </x:row>
    <x:row r="22" ht="42">
      <x:c r="A22" s="1" t="s">
        <x:v>171</x:v>
      </x:c>
      <x:c r="B22" s="1" t="s">
        <x:v>160</x:v>
      </x:c>
      <x:c r="C22" s="1" t="s">
        <x:v>161</x:v>
      </x:c>
      <x:c r="D22" s="1" t="s">
        <x:v>162</x:v>
      </x:c>
      <x:c r="E22" s="1" t="s">
        <x:v>163</x:v>
      </x:c>
      <x:c r="F22" s="1" t="s">
        <x:v>172</x:v>
      </x:c>
      <x:c r="G22" s="1" t="s">
        <x:v>84</x:v>
      </x:c>
      <x:c r="H22" s="1" t="s">
        <x:v>783</x:v>
      </x:c>
      <x:c r="I22" s="8" t="n">
        <x:f>SUMIFS('03_计算输入与公式'!$J$4:$J$164,'03_计算输入与公式'!$B$4:$B$164,A22,'03_计算输入与公式'!$D$4:$D$164,"factor1")*SUMIFS('03_计算输入与公式'!$J$4:$J$164,'03_计算输入与公式'!$B$4:$B$164,A22,'03_计算输入与公式'!$D$4:$D$164,"factor2")</x:f>
        <x:v>543840</x:v>
      </x:c>
      <x:c r="J22" s="1" t="s">
        <x:v>798</x:v>
      </x:c>
      <x:c r="K22" s="1" t="s">
        <x:v>144</x:v>
      </x:c>
      <x:c r="L22" s="9" t="n">
        <x:f>IF(COUNTIFS('03_计算输入与公式'!$B$4:$B$164,A22,'03_计算输入与公式'!$D$4:$D$164,"comparison")=0,"",SUMIFS('03_计算输入与公式'!$J$4:$J$164,'03_计算输入与公式'!$B$4:$B$164,A22,'03_计算输入与公式'!$D$4:$D$164,"comparison"))</x:f>
        <x:v>543840</x:v>
      </x:c>
      <x:c r="M22" s="10" t="s">
        <x:v>614</x:v>
      </x:c>
      <x:c r="N22" s="8">
        <x:f t="shared" si="3"/>
        <x:v>0</x:v>
      </x:c>
      <x:c r="O22" s="8">
        <x:f t="shared" si="4"/>
        <x:v>0</x:v>
      </x:c>
      <x:c r="P22" s="11">
        <x:f t="shared" si="5"/>
        <x:v>0</x:v>
      </x:c>
      <x:c r="Q22" s="1">
        <x:v>0</x:v>
      </x:c>
      <x:c r="R22" s="1">
        <x:f t="shared" si="6"/>
        <x:v>543839.5</x:v>
      </x:c>
      <x:c r="S22" s="1">
        <x:f t="shared" si="7"/>
        <x:v>543840.5</x:v>
      </x:c>
      <x:c r="T22" s="17" t="b">
        <x:v>1</x:v>
      </x:c>
      <x:c r="U22" s="1" t="s">
        <x:v>781</x:v>
      </x:c>
      <x:c r="V22" s="1" t="s">
        <x:v>782</x:v>
      </x:c>
      <x:c r="W22" s="1" t="s">
        <x:v>70</x:v>
      </x:c>
      <x:c r="X22" s="1" t="str">
        <x:v>确认通过－完全一致</x:v>
      </x:c>
      <x:c r="Y22" s="1" t="str">
        <x:v>自动校验结果已验收。</x:v>
      </x:c>
      <x:c r="Z22" s="1" t="s">
        <x:v>165</x:v>
      </x:c>
      <x:c r="AA22" s="1" t="s">
        <x:v>166</x:v>
      </x:c>
      <x:c r="AB22" s="1" t="s">
        <x:v>167</x:v>
      </x:c>
      <x:c r="AC22" s="1" t="s">
        <x:v>387</x:v>
      </x:c>
      <x:c r="AD22" s="1" t="s">
        <x:v>168</x:v>
      </x:c>
    </x:row>
    <x:row r="23" ht="42">
      <x:c r="A23" s="1" t="s">
        <x:v>173</x:v>
      </x:c>
      <x:c r="B23" s="1" t="s">
        <x:v>160</x:v>
      </x:c>
      <x:c r="C23" s="1" t="s">
        <x:v>161</x:v>
      </x:c>
      <x:c r="D23" s="1" t="s">
        <x:v>162</x:v>
      </x:c>
      <x:c r="E23" s="1" t="s">
        <x:v>163</x:v>
      </x:c>
      <x:c r="F23" s="1" t="s">
        <x:v>174</x:v>
      </x:c>
      <x:c r="G23" s="1" t="s">
        <x:v>84</x:v>
      </x:c>
      <x:c r="H23" s="1" t="s">
        <x:v>783</x:v>
      </x:c>
      <x:c r="I23" s="8" t="n">
        <x:f>SUMIFS('03_计算输入与公式'!$J$4:$J$164,'03_计算输入与公式'!$B$4:$B$164,A23,'03_计算输入与公式'!$D$4:$D$164,"factor1")*SUMIFS('03_计算输入与公式'!$J$4:$J$164,'03_计算输入与公式'!$B$4:$B$164,A23,'03_计算输入与公式'!$D$4:$D$164,"factor2")</x:f>
        <x:v>70040</x:v>
      </x:c>
      <x:c r="J23" s="1" t="s">
        <x:v>799</x:v>
      </x:c>
      <x:c r="K23" s="1" t="s">
        <x:v>144</x:v>
      </x:c>
      <x:c r="L23" s="9" t="n">
        <x:f>IF(COUNTIFS('03_计算输入与公式'!$B$4:$B$164,A23,'03_计算输入与公式'!$D$4:$D$164,"comparison")=0,"",SUMIFS('03_计算输入与公式'!$J$4:$J$164,'03_计算输入与公式'!$B$4:$B$164,A23,'03_计算输入与公式'!$D$4:$D$164,"comparison"))</x:f>
        <x:v>70040</x:v>
      </x:c>
      <x:c r="M23" s="10" t="s">
        <x:v>619</x:v>
      </x:c>
      <x:c r="N23" s="8">
        <x:f t="shared" si="3"/>
        <x:v>0</x:v>
      </x:c>
      <x:c r="O23" s="8">
        <x:f t="shared" si="4"/>
        <x:v>0</x:v>
      </x:c>
      <x:c r="P23" s="11">
        <x:f t="shared" si="5"/>
        <x:v>0</x:v>
      </x:c>
      <x:c r="Q23" s="1">
        <x:v>0</x:v>
      </x:c>
      <x:c r="R23" s="1">
        <x:f t="shared" si="6"/>
        <x:v>70039.5</x:v>
      </x:c>
      <x:c r="S23" s="1">
        <x:f t="shared" si="7"/>
        <x:v>70040.5</x:v>
      </x:c>
      <x:c r="T23" s="17" t="b">
        <x:v>1</x:v>
      </x:c>
      <x:c r="U23" s="1" t="s">
        <x:v>781</x:v>
      </x:c>
      <x:c r="V23" s="1" t="s">
        <x:v>782</x:v>
      </x:c>
      <x:c r="W23" s="1" t="s">
        <x:v>70</x:v>
      </x:c>
      <x:c r="X23" s="1" t="str">
        <x:v>确认通过－完全一致</x:v>
      </x:c>
      <x:c r="Y23" s="1" t="str">
        <x:v>自动校验结果已验收。</x:v>
      </x:c>
      <x:c r="Z23" s="1" t="s">
        <x:v>165</x:v>
      </x:c>
      <x:c r="AA23" s="1" t="s">
        <x:v>166</x:v>
      </x:c>
      <x:c r="AB23" s="1" t="s">
        <x:v>167</x:v>
      </x:c>
      <x:c r="AC23" s="1" t="s">
        <x:v>387</x:v>
      </x:c>
      <x:c r="AD23" s="1" t="s">
        <x:v>168</x:v>
      </x:c>
    </x:row>
    <x:row r="24" ht="42">
      <x:c r="A24" s="1" t="s">
        <x:v>175</x:v>
      </x:c>
      <x:c r="B24" s="1" t="s">
        <x:v>160</x:v>
      </x:c>
      <x:c r="C24" s="1" t="s">
        <x:v>161</x:v>
      </x:c>
      <x:c r="D24" s="1" t="s">
        <x:v>162</x:v>
      </x:c>
      <x:c r="E24" s="1" t="s">
        <x:v>163</x:v>
      </x:c>
      <x:c r="F24" s="1" t="s">
        <x:v>176</x:v>
      </x:c>
      <x:c r="G24" s="1" t="s">
        <x:v>84</x:v>
      </x:c>
      <x:c r="H24" s="1" t="s">
        <x:v>783</x:v>
      </x:c>
      <x:c r="I24" s="8" t="n">
        <x:f>SUMIFS('03_计算输入与公式'!$J$4:$J$164,'03_计算输入与公式'!$B$4:$B$164,A24,'03_计算输入与公式'!$D$4:$D$164,"factor1")*SUMIFS('03_计算输入与公式'!$J$4:$J$164,'03_计算输入与公式'!$B$4:$B$164,A24,'03_计算输入与公式'!$D$4:$D$164,"factor2")</x:f>
        <x:v>1030000</x:v>
      </x:c>
      <x:c r="J24" s="1" t="s">
        <x:v>800</x:v>
      </x:c>
      <x:c r="K24" s="1" t="s">
        <x:v>144</x:v>
      </x:c>
      <x:c r="L24" s="9" t="n">
        <x:f>IF(COUNTIFS('03_计算输入与公式'!$B$4:$B$164,A24,'03_计算输入与公式'!$D$4:$D$164,"comparison")=0,"",SUMIFS('03_计算输入与公式'!$J$4:$J$164,'03_计算输入与公式'!$B$4:$B$164,A24,'03_计算输入与公式'!$D$4:$D$164,"comparison"))</x:f>
        <x:v>1030000</x:v>
      </x:c>
      <x:c r="M24" s="10" t="s">
        <x:v>624</x:v>
      </x:c>
      <x:c r="N24" s="8">
        <x:f t="shared" si="3"/>
        <x:v>0</x:v>
      </x:c>
      <x:c r="O24" s="8">
        <x:f t="shared" si="4"/>
        <x:v>0</x:v>
      </x:c>
      <x:c r="P24" s="11">
        <x:f t="shared" si="5"/>
        <x:v>0</x:v>
      </x:c>
      <x:c r="Q24" s="1">
        <x:v>0</x:v>
      </x:c>
      <x:c r="R24" s="1">
        <x:f t="shared" si="6"/>
        <x:v>1029999.5</x:v>
      </x:c>
      <x:c r="S24" s="1">
        <x:f t="shared" si="7"/>
        <x:v>1030000.5</x:v>
      </x:c>
      <x:c r="T24" s="17" t="b">
        <x:v>1</x:v>
      </x:c>
      <x:c r="U24" s="1" t="s">
        <x:v>781</x:v>
      </x:c>
      <x:c r="V24" s="1" t="s">
        <x:v>782</x:v>
      </x:c>
      <x:c r="W24" s="1" t="s">
        <x:v>70</x:v>
      </x:c>
      <x:c r="X24" s="1" t="str">
        <x:v>确认通过－完全一致</x:v>
      </x:c>
      <x:c r="Y24" s="1" t="str">
        <x:v>自动校验结果已验收。</x:v>
      </x:c>
      <x:c r="Z24" s="1" t="s">
        <x:v>165</x:v>
      </x:c>
      <x:c r="AA24" s="1" t="s">
        <x:v>166</x:v>
      </x:c>
      <x:c r="AB24" s="1" t="s">
        <x:v>167</x:v>
      </x:c>
      <x:c r="AC24" s="1" t="s">
        <x:v>387</x:v>
      </x:c>
      <x:c r="AD24" s="1" t="s">
        <x:v>168</x:v>
      </x:c>
    </x:row>
    <x:row r="25" ht="42">
      <x:c r="A25" s="1" t="s">
        <x:v>177</x:v>
      </x:c>
      <x:c r="B25" s="1" t="s">
        <x:v>160</x:v>
      </x:c>
      <x:c r="C25" s="1" t="s">
        <x:v>161</x:v>
      </x:c>
      <x:c r="D25" s="1" t="s">
        <x:v>162</x:v>
      </x:c>
      <x:c r="E25" s="1" t="s">
        <x:v>163</x:v>
      </x:c>
      <x:c r="F25" s="1" t="s">
        <x:v>178</x:v>
      </x:c>
      <x:c r="G25" s="1" t="s">
        <x:v>84</x:v>
      </x:c>
      <x:c r="H25" s="1" t="s">
        <x:v>783</x:v>
      </x:c>
      <x:c r="I25" s="8" t="n">
        <x:f>SUMIFS('03_计算输入与公式'!$J$4:$J$164,'03_计算输入与公式'!$B$4:$B$164,A25,'03_计算输入与公式'!$D$4:$D$164,"factor1")*SUMIFS('03_计算输入与公式'!$J$4:$J$164,'03_计算输入与公式'!$B$4:$B$164,A25,'03_计算输入与公式'!$D$4:$D$164,"factor2")</x:f>
        <x:v>343333</x:v>
      </x:c>
      <x:c r="J25" s="1" t="s">
        <x:v>801</x:v>
      </x:c>
      <x:c r="K25" s="1" t="s">
        <x:v>144</x:v>
      </x:c>
      <x:c r="L25" s="9" t="n">
        <x:f>IF(COUNTIFS('03_计算输入与公式'!$B$4:$B$164,A25,'03_计算输入与公式'!$D$4:$D$164,"comparison")=0,"",SUMIFS('03_计算输入与公式'!$J$4:$J$164,'03_计算输入与公式'!$B$4:$B$164,A25,'03_计算输入与公式'!$D$4:$D$164,"comparison"))</x:f>
        <x:v>343333</x:v>
      </x:c>
      <x:c r="M25" s="10" t="s">
        <x:v>629</x:v>
      </x:c>
      <x:c r="N25" s="8">
        <x:f t="shared" si="3"/>
        <x:v>0</x:v>
      </x:c>
      <x:c r="O25" s="8">
        <x:f t="shared" si="4"/>
        <x:v>0</x:v>
      </x:c>
      <x:c r="P25" s="11">
        <x:f t="shared" si="5"/>
        <x:v>0</x:v>
      </x:c>
      <x:c r="Q25" s="1">
        <x:v>0</x:v>
      </x:c>
      <x:c r="R25" s="1">
        <x:f t="shared" si="6"/>
        <x:v>343332.5</x:v>
      </x:c>
      <x:c r="S25" s="1">
        <x:f t="shared" si="7"/>
        <x:v>343333.5</x:v>
      </x:c>
      <x:c r="T25" s="17" t="b">
        <x:v>1</x:v>
      </x:c>
      <x:c r="U25" s="1" t="s">
        <x:v>781</x:v>
      </x:c>
      <x:c r="V25" s="1" t="s">
        <x:v>782</x:v>
      </x:c>
      <x:c r="W25" s="1" t="s">
        <x:v>70</x:v>
      </x:c>
      <x:c r="X25" s="1" t="str">
        <x:v>确认通过－完全一致</x:v>
      </x:c>
      <x:c r="Y25" s="1" t="str">
        <x:v>自动校验结果已验收。</x:v>
      </x:c>
      <x:c r="Z25" s="1" t="s">
        <x:v>165</x:v>
      </x:c>
      <x:c r="AA25" s="1" t="s">
        <x:v>166</x:v>
      </x:c>
      <x:c r="AB25" s="1" t="s">
        <x:v>167</x:v>
      </x:c>
      <x:c r="AC25" s="1" t="s">
        <x:v>387</x:v>
      </x:c>
      <x:c r="AD25" s="1" t="s">
        <x:v>168</x:v>
      </x:c>
    </x:row>
    <x:row r="26" ht="42">
      <x:c r="A26" s="1" t="s">
        <x:v>179</x:v>
      </x:c>
      <x:c r="B26" s="1" t="s">
        <x:v>160</x:v>
      </x:c>
      <x:c r="C26" s="1" t="s">
        <x:v>161</x:v>
      </x:c>
      <x:c r="D26" s="1" t="s">
        <x:v>162</x:v>
      </x:c>
      <x:c r="E26" s="1" t="s">
        <x:v>180</x:v>
      </x:c>
      <x:c r="F26" s="1" t="s">
        <x:v>181</x:v>
      </x:c>
      <x:c r="G26" s="1" t="s">
        <x:v>97</x:v>
      </x:c>
      <x:c r="H26" s="1" t="s">
        <x:v>786</x:v>
      </x:c>
      <x:c r="I26" s="8" t="n">
        <x:f>SUMIFS('03_计算输入与公式'!$N$4:$N$164,'03_计算输入与公式'!$B$4:$B$164,A26)</x:f>
        <x:v>5150000</x:v>
      </x:c>
      <x:c r="J26" s="1" t="s">
        <x:v>802</x:v>
      </x:c>
      <x:c r="K26" s="1" t="s">
        <x:v>144</x:v>
      </x:c>
      <x:c r="L26" s="9" t="str">
        <x:f>IF(COUNTIFS('03_计算输入与公式'!$B$4:$B$164,A26,'03_计算输入与公式'!$D$4:$D$164,"comparison")=0,"",SUMIFS('03_计算输入与公式'!$J$4:$J$164,'03_计算输入与公式'!$B$4:$B$164,A26,'03_计算输入与公式'!$D$4:$D$164,"comparison"))</x:f>
      </x:c>
      <x:c r="M26" s="10"/>
      <x:c r="N26" s="8"/>
      <x:c r="O26" s="8"/>
      <x:c r="P26" s="11"/>
      <x:c r="Q26" s="1">
        <x:v>0</x:v>
      </x:c>
      <x:c r="R26" s="1"/>
      <x:c r="S26" s="1"/>
      <x:c r="T26" s="1" t="s">
        <x:v>784</x:v>
      </x:c>
      <x:c r="U26" s="1" t="s">
        <x:v>785</x:v>
      </x:c>
      <x:c r="V26" s="1" t="s">
        <x:v>782</x:v>
      </x:c>
      <x:c r="W26" s="1" t="s">
        <x:v>70</x:v>
      </x:c>
      <x:c r="X26" s="1" t="str">
        <x:v>确认通过－完全一致</x:v>
      </x:c>
      <x:c r="Y26" s="1" t="str">
        <x:v>自动校验结果已验收。</x:v>
      </x:c>
      <x:c r="Z26" s="1" t="s">
        <x:v>165</x:v>
      </x:c>
      <x:c r="AA26" s="1" t="s">
        <x:v>166</x:v>
      </x:c>
      <x:c r="AB26" s="1" t="s">
        <x:v>167</x:v>
      </x:c>
      <x:c r="AC26" s="1" t="s">
        <x:v>387</x:v>
      </x:c>
      <x:c r="AD26" s="1" t="s">
        <x:v>182</x:v>
      </x:c>
    </x:row>
    <x:row r="27" ht="42">
      <x:c r="A27" s="1" t="s">
        <x:v>183</x:v>
      </x:c>
      <x:c r="B27" s="1" t="s">
        <x:v>184</x:v>
      </x:c>
      <x:c r="C27" s="1" t="s">
        <x:v>161</x:v>
      </x:c>
      <x:c r="D27" s="1" t="s">
        <x:v>162</x:v>
      </x:c>
      <x:c r="E27" s="1" t="s">
        <x:v>163</x:v>
      </x:c>
      <x:c r="F27" s="1" t="s">
        <x:v>185</x:v>
      </x:c>
      <x:c r="G27" s="1" t="s">
        <x:v>84</x:v>
      </x:c>
      <x:c r="H27" s="1" t="s">
        <x:v>783</x:v>
      </x:c>
      <x:c r="I27" s="8" t="n">
        <x:f>SUMIFS('03_计算输入与公式'!$J$4:$J$164,'03_计算输入与公式'!$B$4:$B$164,A27,'03_计算输入与公式'!$D$4:$D$164,"factor1")*SUMIFS('03_计算输入与公式'!$J$4:$J$164,'03_计算输入与公式'!$B$4:$B$164,A27,'03_计算输入与公式'!$D$4:$D$164,"factor2")</x:f>
        <x:v>200000</x:v>
      </x:c>
      <x:c r="J27" s="1" t="s">
        <x:v>803</x:v>
      </x:c>
      <x:c r="K27" s="1" t="s">
        <x:v>144</x:v>
      </x:c>
      <x:c r="L27" s="9" t="n">
        <x:f>IF(COUNTIFS('03_计算输入与公式'!$B$4:$B$164,A27,'03_计算输入与公式'!$D$4:$D$164,"comparison")=0,"",SUMIFS('03_计算输入与公式'!$J$4:$J$164,'03_计算输入与公式'!$B$4:$B$164,A27,'03_计算输入与公式'!$D$4:$D$164,"comparison"))</x:f>
        <x:v>200000</x:v>
      </x:c>
      <x:c r="M27" s="10" t="s">
        <x:v>646</x:v>
      </x:c>
      <x:c r="N27" s="8" t="n">
        <x:f>ROUND(I27-L27,12)</x:f>
        <x:v>0</x:v>
      </x:c>
      <x:c r="O27" s="8" t="n">
        <x:f>ABS(N27)</x:f>
        <x:v>0</x:v>
      </x:c>
      <x:c r="P27" s="11" t="n">
        <x:f>IF(L27=0,"",O27/ABS(L27))</x:f>
        <x:v>0</x:v>
      </x:c>
      <x:c r="Q27" s="1">
        <x:v>0</x:v>
      </x:c>
      <x:c r="R27" s="1" t="n">
        <x:f>L27-0.5</x:f>
        <x:v>199999.5</x:v>
      </x:c>
      <x:c r="S27" s="1" t="n">
        <x:f>L27+0.5</x:f>
        <x:v>200000.5</x:v>
      </x:c>
      <x:c r="T27" s="17" t="b">
        <x:v>1</x:v>
      </x:c>
      <x:c r="U27" s="1" t="s">
        <x:v>781</x:v>
      </x:c>
      <x:c r="V27" s="1" t="s">
        <x:v>782</x:v>
      </x:c>
      <x:c r="W27" s="1" t="s">
        <x:v>70</x:v>
      </x:c>
      <x:c r="X27" s="1" t="str">
        <x:v>确认通过－完全一致</x:v>
      </x:c>
      <x:c r="Y27" s="1" t="str">
        <x:v>自动校验结果已验收。</x:v>
      </x:c>
      <x:c r="Z27" s="1" t="s">
        <x:v>165</x:v>
      </x:c>
      <x:c r="AA27" s="1" t="s">
        <x:v>166</x:v>
      </x:c>
      <x:c r="AB27" s="1" t="s">
        <x:v>167</x:v>
      </x:c>
      <x:c r="AC27" s="1" t="s">
        <x:v>387</x:v>
      </x:c>
      <x:c r="AD27" s="1" t="s">
        <x:v>186</x:v>
      </x:c>
    </x:row>
    <x:row r="28" ht="42">
      <x:c r="A28" s="1" t="s">
        <x:v>187</x:v>
      </x:c>
      <x:c r="B28" s="1" t="s">
        <x:v>184</x:v>
      </x:c>
      <x:c r="C28" s="1" t="s">
        <x:v>161</x:v>
      </x:c>
      <x:c r="D28" s="1" t="s">
        <x:v>162</x:v>
      </x:c>
      <x:c r="E28" s="1" t="s">
        <x:v>163</x:v>
      </x:c>
      <x:c r="F28" s="1" t="s">
        <x:v>188</x:v>
      </x:c>
      <x:c r="G28" s="1" t="s">
        <x:v>84</x:v>
      </x:c>
      <x:c r="H28" s="1" t="s">
        <x:v>783</x:v>
      </x:c>
      <x:c r="I28" s="8" t="n">
        <x:f>SUMIFS('03_计算输入与公式'!$J$4:$J$164,'03_计算输入与公式'!$B$4:$B$164,A28,'03_计算输入与公式'!$D$4:$D$164,"factor1")*SUMIFS('03_计算输入与公式'!$J$4:$J$164,'03_计算输入与公式'!$B$4:$B$164,A28,'03_计算输入与公式'!$D$4:$D$164,"factor2")</x:f>
        <x:v>200000</x:v>
      </x:c>
      <x:c r="J28" s="1" t="s">
        <x:v>803</x:v>
      </x:c>
      <x:c r="K28" s="1" t="s">
        <x:v>144</x:v>
      </x:c>
      <x:c r="L28" s="9" t="n">
        <x:f>IF(COUNTIFS('03_计算输入与公式'!$B$4:$B$164,A28,'03_计算输入与公式'!$D$4:$D$164,"comparison")=0,"",SUMIFS('03_计算输入与公式'!$J$4:$J$164,'03_计算输入与公式'!$B$4:$B$164,A28,'03_计算输入与公式'!$D$4:$D$164,"comparison"))</x:f>
        <x:v>200000</x:v>
      </x:c>
      <x:c r="M28" s="10" t="s">
        <x:v>651</x:v>
      </x:c>
      <x:c r="N28" s="8" t="n">
        <x:f>ROUND(I28-L28,12)</x:f>
        <x:v>0</x:v>
      </x:c>
      <x:c r="O28" s="8" t="n">
        <x:f>ABS(N28)</x:f>
        <x:v>0</x:v>
      </x:c>
      <x:c r="P28" s="11" t="n">
        <x:f>IF(L28=0,"",O28/ABS(L28))</x:f>
        <x:v>0</x:v>
      </x:c>
      <x:c r="Q28" s="1">
        <x:v>0</x:v>
      </x:c>
      <x:c r="R28" s="1" t="n">
        <x:f>L28-0.5</x:f>
        <x:v>199999.5</x:v>
      </x:c>
      <x:c r="S28" s="1" t="n">
        <x:f>L28+0.5</x:f>
        <x:v>200000.5</x:v>
      </x:c>
      <x:c r="T28" s="17" t="b">
        <x:v>1</x:v>
      </x:c>
      <x:c r="U28" s="1" t="s">
        <x:v>781</x:v>
      </x:c>
      <x:c r="V28" s="1" t="s">
        <x:v>782</x:v>
      </x:c>
      <x:c r="W28" s="1" t="s">
        <x:v>70</x:v>
      </x:c>
      <x:c r="X28" s="1" t="str">
        <x:v>确认通过－完全一致</x:v>
      </x:c>
      <x:c r="Y28" s="1" t="str">
        <x:v>自动校验结果已验收。</x:v>
      </x:c>
      <x:c r="Z28" s="1" t="s">
        <x:v>165</x:v>
      </x:c>
      <x:c r="AA28" s="1" t="s">
        <x:v>166</x:v>
      </x:c>
      <x:c r="AB28" s="1" t="s">
        <x:v>167</x:v>
      </x:c>
      <x:c r="AC28" s="1" t="s">
        <x:v>387</x:v>
      </x:c>
      <x:c r="AD28" s="1" t="s">
        <x:v>186</x:v>
      </x:c>
    </x:row>
    <x:row r="29" ht="42">
      <x:c r="A29" s="1" t="s">
        <x:v>189</x:v>
      </x:c>
      <x:c r="B29" s="1" t="s">
        <x:v>184</x:v>
      </x:c>
      <x:c r="C29" s="1" t="s">
        <x:v>161</x:v>
      </x:c>
      <x:c r="D29" s="1" t="s">
        <x:v>162</x:v>
      </x:c>
      <x:c r="E29" s="1" t="s">
        <x:v>163</x:v>
      </x:c>
      <x:c r="F29" s="1" t="s">
        <x:v>190</x:v>
      </x:c>
      <x:c r="G29" s="1" t="s">
        <x:v>84</x:v>
      </x:c>
      <x:c r="H29" s="1" t="s">
        <x:v>783</x:v>
      </x:c>
      <x:c r="I29" s="8" t="n">
        <x:f>SUMIFS('03_计算输入与公式'!$J$4:$J$164,'03_计算输入与公式'!$B$4:$B$164,A29,'03_计算输入与公式'!$D$4:$D$164,"factor1")*SUMIFS('03_计算输入与公式'!$J$4:$J$164,'03_计算输入与公式'!$B$4:$B$164,A29,'03_计算输入与公式'!$D$4:$D$164,"factor2")</x:f>
        <x:v>200000</x:v>
      </x:c>
      <x:c r="J29" s="1" t="s">
        <x:v>803</x:v>
      </x:c>
      <x:c r="K29" s="1" t="s">
        <x:v>144</x:v>
      </x:c>
      <x:c r="L29" s="9" t="n">
        <x:f>IF(COUNTIFS('03_计算输入与公式'!$B$4:$B$164,A29,'03_计算输入与公式'!$D$4:$D$164,"comparison")=0,"",SUMIFS('03_计算输入与公式'!$J$4:$J$164,'03_计算输入与公式'!$B$4:$B$164,A29,'03_计算输入与公式'!$D$4:$D$164,"comparison"))</x:f>
        <x:v>200000</x:v>
      </x:c>
      <x:c r="M29" s="10" t="s">
        <x:v>655</x:v>
      </x:c>
      <x:c r="N29" s="8" t="n">
        <x:f>ROUND(I29-L29,12)</x:f>
        <x:v>0</x:v>
      </x:c>
      <x:c r="O29" s="8" t="n">
        <x:f>ABS(N29)</x:f>
        <x:v>0</x:v>
      </x:c>
      <x:c r="P29" s="11" t="n">
        <x:f>IF(L29=0,"",O29/ABS(L29))</x:f>
        <x:v>0</x:v>
      </x:c>
      <x:c r="Q29" s="1">
        <x:v>0</x:v>
      </x:c>
      <x:c r="R29" s="1" t="n">
        <x:f>L29-0.5</x:f>
        <x:v>199999.5</x:v>
      </x:c>
      <x:c r="S29" s="1" t="n">
        <x:f>L29+0.5</x:f>
        <x:v>200000.5</x:v>
      </x:c>
      <x:c r="T29" s="17" t="b">
        <x:v>1</x:v>
      </x:c>
      <x:c r="U29" s="1" t="s">
        <x:v>781</x:v>
      </x:c>
      <x:c r="V29" s="1" t="s">
        <x:v>782</x:v>
      </x:c>
      <x:c r="W29" s="1" t="s">
        <x:v>70</x:v>
      </x:c>
      <x:c r="X29" s="1" t="str">
        <x:v>确认通过－完全一致</x:v>
      </x:c>
      <x:c r="Y29" s="1" t="str">
        <x:v>自动校验结果已验收。</x:v>
      </x:c>
      <x:c r="Z29" s="1" t="s">
        <x:v>165</x:v>
      </x:c>
      <x:c r="AA29" s="1" t="s">
        <x:v>166</x:v>
      </x:c>
      <x:c r="AB29" s="1" t="s">
        <x:v>167</x:v>
      </x:c>
      <x:c r="AC29" s="1" t="s">
        <x:v>387</x:v>
      </x:c>
      <x:c r="AD29" s="1" t="s">
        <x:v>186</x:v>
      </x:c>
    </x:row>
    <x:row r="30" ht="42">
      <x:c r="A30" s="1" t="s">
        <x:v>191</x:v>
      </x:c>
      <x:c r="B30" s="1" t="s">
        <x:v>184</x:v>
      </x:c>
      <x:c r="C30" s="1" t="s">
        <x:v>161</x:v>
      </x:c>
      <x:c r="D30" s="1" t="s">
        <x:v>162</x:v>
      </x:c>
      <x:c r="E30" s="1" t="s">
        <x:v>163</x:v>
      </x:c>
      <x:c r="F30" s="1" t="s">
        <x:v>192</x:v>
      </x:c>
      <x:c r="G30" s="1" t="s">
        <x:v>84</x:v>
      </x:c>
      <x:c r="H30" s="1" t="s">
        <x:v>783</x:v>
      </x:c>
      <x:c r="I30" s="8" t="n">
        <x:f>SUMIFS('03_计算输入与公式'!$J$4:$J$164,'03_计算输入与公式'!$B$4:$B$164,A30,'03_计算输入与公式'!$D$4:$D$164,"factor1")*SUMIFS('03_计算输入与公式'!$J$4:$J$164,'03_计算输入与公式'!$B$4:$B$164,A30,'03_计算输入与公式'!$D$4:$D$164,"factor2")</x:f>
        <x:v>600000</x:v>
      </x:c>
      <x:c r="J30" s="1" t="s">
        <x:v>804</x:v>
      </x:c>
      <x:c r="K30" s="1" t="s">
        <x:v>144</x:v>
      </x:c>
      <x:c r="L30" s="9" t="n">
        <x:f>IF(COUNTIFS('03_计算输入与公式'!$B$4:$B$164,A30,'03_计算输入与公式'!$D$4:$D$164,"comparison")=0,"",SUMIFS('03_计算输入与公式'!$J$4:$J$164,'03_计算输入与公式'!$B$4:$B$164,A30,'03_计算输入与公式'!$D$4:$D$164,"comparison"))</x:f>
        <x:v>600000</x:v>
      </x:c>
      <x:c r="M30" s="10" t="s">
        <x:v>659</x:v>
      </x:c>
      <x:c r="N30" s="8" t="n">
        <x:f>ROUND(I30-L30,12)</x:f>
        <x:v>0</x:v>
      </x:c>
      <x:c r="O30" s="8" t="n">
        <x:f>ABS(N30)</x:f>
        <x:v>0</x:v>
      </x:c>
      <x:c r="P30" s="11" t="n">
        <x:f>IF(L30=0,"",O30/ABS(L30))</x:f>
        <x:v>0</x:v>
      </x:c>
      <x:c r="Q30" s="1">
        <x:v>0</x:v>
      </x:c>
      <x:c r="R30" s="1" t="n">
        <x:f>L30-0.5</x:f>
        <x:v>599999.5</x:v>
      </x:c>
      <x:c r="S30" s="1" t="n">
        <x:f>L30+0.5</x:f>
        <x:v>600000.5</x:v>
      </x:c>
      <x:c r="T30" s="17" t="b">
        <x:v>1</x:v>
      </x:c>
      <x:c r="U30" s="1" t="s">
        <x:v>781</x:v>
      </x:c>
      <x:c r="V30" s="1" t="s">
        <x:v>782</x:v>
      </x:c>
      <x:c r="W30" s="1" t="s">
        <x:v>70</x:v>
      </x:c>
      <x:c r="X30" s="1" t="str">
        <x:v>确认通过－完全一致</x:v>
      </x:c>
      <x:c r="Y30" s="1" t="str">
        <x:v>自动校验结果已验收。</x:v>
      </x:c>
      <x:c r="Z30" s="1" t="s">
        <x:v>165</x:v>
      </x:c>
      <x:c r="AA30" s="1" t="s">
        <x:v>166</x:v>
      </x:c>
      <x:c r="AB30" s="1" t="s">
        <x:v>167</x:v>
      </x:c>
      <x:c r="AC30" s="1" t="s">
        <x:v>387</x:v>
      </x:c>
      <x:c r="AD30" s="1" t="s">
        <x:v>186</x:v>
      </x:c>
    </x:row>
    <x:row r="31" ht="42">
      <x:c r="A31" s="1" t="s">
        <x:v>193</x:v>
      </x:c>
      <x:c r="B31" s="1" t="s">
        <x:v>184</x:v>
      </x:c>
      <x:c r="C31" s="1" t="s">
        <x:v>161</x:v>
      </x:c>
      <x:c r="D31" s="1" t="s">
        <x:v>162</x:v>
      </x:c>
      <x:c r="E31" s="1" t="s">
        <x:v>180</x:v>
      </x:c>
      <x:c r="F31" s="1" t="s">
        <x:v>194</x:v>
      </x:c>
      <x:c r="G31" s="1" t="s">
        <x:v>97</x:v>
      </x:c>
      <x:c r="H31" s="1" t="s">
        <x:v>786</x:v>
      </x:c>
      <x:c r="I31" s="8" t="n">
        <x:f>SUMIFS('03_计算输入与公式'!$N$4:$N$164,'03_计算输入与公式'!$B$4:$B$164,A31)</x:f>
        <x:v>1200000</x:v>
      </x:c>
      <x:c r="J31" s="1" t="s">
        <x:v>805</x:v>
      </x:c>
      <x:c r="K31" s="1" t="s">
        <x:v>144</x:v>
      </x:c>
      <x:c r="L31" s="9" t="str">
        <x:f>IF(COUNTIFS('03_计算输入与公式'!$B$4:$B$164,A31,'03_计算输入与公式'!$D$4:$D$164,"comparison")=0,"",SUMIFS('03_计算输入与公式'!$J$4:$J$164,'03_计算输入与公式'!$B$4:$B$164,A31,'03_计算输入与公式'!$D$4:$D$164,"comparison"))</x:f>
      </x:c>
      <x:c r="M31" s="10"/>
      <x:c r="N31" s="8"/>
      <x:c r="O31" s="8"/>
      <x:c r="P31" s="11"/>
      <x:c r="Q31" s="1">
        <x:v>0</x:v>
      </x:c>
      <x:c r="R31" s="1"/>
      <x:c r="S31" s="1"/>
      <x:c r="T31" s="1" t="s">
        <x:v>784</x:v>
      </x:c>
      <x:c r="U31" s="1" t="s">
        <x:v>785</x:v>
      </x:c>
      <x:c r="V31" s="1" t="s">
        <x:v>782</x:v>
      </x:c>
      <x:c r="W31" s="1" t="s">
        <x:v>70</x:v>
      </x:c>
      <x:c r="X31" s="1" t="str">
        <x:v>确认通过－完全一致</x:v>
      </x:c>
      <x:c r="Y31" s="1" t="str">
        <x:v>自动校验结果已验收。</x:v>
      </x:c>
      <x:c r="Z31" s="1" t="s">
        <x:v>165</x:v>
      </x:c>
      <x:c r="AA31" s="1" t="s">
        <x:v>166</x:v>
      </x:c>
      <x:c r="AB31" s="1" t="s">
        <x:v>167</x:v>
      </x:c>
      <x:c r="AC31" s="1" t="s">
        <x:v>387</x:v>
      </x:c>
      <x:c r="AD31" s="1" t="s">
        <x:v>182</x:v>
      </x:c>
    </x:row>
    <x:row r="32" ht="42">
      <x:c r="A32" s="1" t="s">
        <x:v>195</x:v>
      </x:c>
      <x:c r="B32" s="1" t="s">
        <x:v>196</x:v>
      </x:c>
      <x:c r="C32" s="1" t="s">
        <x:v>161</x:v>
      </x:c>
      <x:c r="D32" s="1" t="s">
        <x:v>162</x:v>
      </x:c>
      <x:c r="E32" s="1" t="s">
        <x:v>197</x:v>
      </x:c>
      <x:c r="F32" s="1" t="s">
        <x:v>198</x:v>
      </x:c>
      <x:c r="G32" s="1" t="s">
        <x:v>97</x:v>
      </x:c>
      <x:c r="H32" s="1" t="s">
        <x:v>786</x:v>
      </x:c>
      <x:c r="I32" s="8" t="n">
        <x:f>SUMIFS('03_计算输入与公式'!$N$4:$N$164,'03_计算输入与公式'!$B$4:$B$164,A32)</x:f>
        <x:v>1158750</x:v>
      </x:c>
      <x:c r="J32" s="1" t="s">
        <x:v>806</x:v>
      </x:c>
      <x:c r="K32" s="1" t="s">
        <x:v>144</x:v>
      </x:c>
      <x:c r="L32" s="9" t="n">
        <x:f>IF(COUNTIFS('03_计算输入与公式'!$B$4:$B$164,A32,'03_计算输入与公式'!$D$4:$D$164,"comparison")=0,"",SUMIFS('03_计算输入与公式'!$J$4:$J$164,'03_计算输入与公式'!$B$4:$B$164,A32,'03_计算输入与公式'!$D$4:$D$164,"comparison"))</x:f>
        <x:v>1158750</x:v>
      </x:c>
      <x:c r="M32" s="10" t="s">
        <x:v>196</x:v>
      </x:c>
      <x:c r="N32" s="8" t="n">
        <x:f t="shared" ref="N32:N40" si="8">ROUND(I32-L32,12)</x:f>
        <x:v>0</x:v>
      </x:c>
      <x:c r="O32" s="8" t="n">
        <x:f t="shared" ref="O32:O40" si="9">ABS(N32)</x:f>
        <x:v>0</x:v>
      </x:c>
      <x:c r="P32" s="11" t="n">
        <x:f t="shared" ref="P32:P40" si="10">IF(L32=0,"",O32/ABS(L32))</x:f>
        <x:v>0</x:v>
      </x:c>
      <x:c r="Q32" s="1">
        <x:v>0</x:v>
      </x:c>
      <x:c r="R32" s="1" t="n">
        <x:f>L32-0.5</x:f>
        <x:v>1158749.5</x:v>
      </x:c>
      <x:c r="S32" s="1" t="n">
        <x:f>L32+0.5</x:f>
        <x:v>1158750.5</x:v>
      </x:c>
      <x:c r="T32" s="17" t="b">
        <x:v>1</x:v>
      </x:c>
      <x:c r="U32" s="1" t="s">
        <x:v>781</x:v>
      </x:c>
      <x:c r="V32" s="1" t="s">
        <x:v>782</x:v>
      </x:c>
      <x:c r="W32" s="1" t="s">
        <x:v>70</x:v>
      </x:c>
      <x:c r="X32" s="1" t="str">
        <x:v>确认通过－完全一致</x:v>
      </x:c>
      <x:c r="Y32" s="1" t="str">
        <x:v>自动校验结果已验收。</x:v>
      </x:c>
      <x:c r="Z32" s="1" t="s">
        <x:v>165</x:v>
      </x:c>
      <x:c r="AA32" s="1" t="s">
        <x:v>166</x:v>
      </x:c>
      <x:c r="AB32" s="1" t="s">
        <x:v>167</x:v>
      </x:c>
      <x:c r="AC32" s="1" t="s">
        <x:v>387</x:v>
      </x:c>
      <x:c r="AD32" s="1" t="s">
        <x:v>199</x:v>
      </x:c>
    </x:row>
    <x:row r="33" ht="42">
      <x:c r="A33" s="1" t="s">
        <x:v>200</x:v>
      </x:c>
      <x:c r="B33" s="1" t="s">
        <x:v>196</x:v>
      </x:c>
      <x:c r="C33" s="1" t="s">
        <x:v>161</x:v>
      </x:c>
      <x:c r="D33" s="1" t="s">
        <x:v>162</x:v>
      </x:c>
      <x:c r="E33" s="1" t="s">
        <x:v>201</x:v>
      </x:c>
      <x:c r="F33" s="1" t="s">
        <x:v>202</x:v>
      </x:c>
      <x:c r="G33" s="1" t="s">
        <x:v>97</x:v>
      </x:c>
      <x:c r="H33" s="1" t="s">
        <x:v>786</x:v>
      </x:c>
      <x:c r="I33" s="8" t="n">
        <x:f>SUMIFS('03_计算输入与公式'!$N$4:$N$164,'03_计算输入与公式'!$B$4:$B$164,A33)</x:f>
        <x:v>3375.0054</x:v>
      </x:c>
      <x:c r="J33" s="1" t="s">
        <x:v>675</x:v>
      </x:c>
      <x:c r="K33" s="1" t="s">
        <x:v>85</x:v>
      </x:c>
      <x:c r="L33" s="9" t="n">
        <x:f>IF(COUNTIFS('03_计算输入与公式'!$B$4:$B$164,A33,'03_计算输入与公式'!$D$4:$D$164,"comparison")=0,"",SUMIFS('03_计算输入与公式'!$J$4:$J$164,'03_计算输入与公式'!$B$4:$B$164,A33,'03_计算输入与公式'!$D$4:$D$164,"comparison"))</x:f>
        <x:v>3375.0054</x:v>
      </x:c>
      <x:c r="M33" s="10" t="s">
        <x:v>196</x:v>
      </x:c>
      <x:c r="N33" s="8">
        <x:f t="shared" si="8"/>
        <x:v>0</x:v>
      </x:c>
      <x:c r="O33" s="8">
        <x:f t="shared" si="9"/>
        <x:v>0</x:v>
      </x:c>
      <x:c r="P33" s="11">
        <x:f t="shared" si="10"/>
        <x:v>0</x:v>
      </x:c>
      <x:c r="Q33" s="1">
        <x:v>4</x:v>
      </x:c>
      <x:c r="R33" s="1" t="n">
        <x:f>L33-0.00005</x:f>
        <x:v>3375.00535</x:v>
      </x:c>
      <x:c r="S33" s="1" t="n">
        <x:f>L33+0.00005</x:f>
        <x:v>3375.00545</x:v>
      </x:c>
      <x:c r="T33" s="17" t="b">
        <x:v>1</x:v>
      </x:c>
      <x:c r="U33" s="1" t="s">
        <x:v>781</x:v>
      </x:c>
      <x:c r="V33" s="1" t="s">
        <x:v>782</x:v>
      </x:c>
      <x:c r="W33" s="1" t="s">
        <x:v>70</x:v>
      </x:c>
      <x:c r="X33" s="1" t="str">
        <x:v>确认通过－完全一致</x:v>
      </x:c>
      <x:c r="Y33" s="1" t="str">
        <x:v>自动校验结果已验收。</x:v>
      </x:c>
      <x:c r="Z33" s="1" t="s">
        <x:v>165</x:v>
      </x:c>
      <x:c r="AA33" s="1" t="s">
        <x:v>166</x:v>
      </x:c>
      <x:c r="AB33" s="1" t="s">
        <x:v>167</x:v>
      </x:c>
      <x:c r="AC33" s="1" t="s">
        <x:v>387</x:v>
      </x:c>
      <x:c r="AD33" s="1" t="s">
        <x:v>203</x:v>
      </x:c>
    </x:row>
    <x:row r="34" ht="42">
      <x:c r="A34" s="1" t="s">
        <x:v>204</x:v>
      </x:c>
      <x:c r="B34" s="1" t="s">
        <x:v>205</x:v>
      </x:c>
      <x:c r="C34" s="1" t="s">
        <x:v>161</x:v>
      </x:c>
      <x:c r="D34" s="1"/>
      <x:c r="E34" s="1" t="s">
        <x:v>154</x:v>
      </x:c>
      <x:c r="F34" s="1" t="s">
        <x:v>206</x:v>
      </x:c>
      <x:c r="G34" s="1" t="s">
        <x:v>156</x:v>
      </x:c>
      <x:c r="H34" s="1" t="s">
        <x:v>794</x:v>
      </x:c>
      <x:c r="I34" s="8" t="n">
        <x:f>SUMIFS('03_计算输入与公式'!$J$4:$J$164,'03_计算输入与公式'!$B$4:$B$164,A34,'03_计算输入与公式'!$D$4:$D$164,"consideration_wan")*10000/SUMIFS('03_计算输入与公式'!$J$4:$J$164,'03_计算输入与公式'!$B$4:$B$164,A34,'03_计算输入与公式'!$D$4:$D$164,"shares")</x:f>
        <x:v>29.12621359223301</x:v>
      </x:c>
      <x:c r="J34" s="1" t="s">
        <x:v>807</x:v>
      </x:c>
      <x:c r="K34" s="1" t="s">
        <x:v>157</x:v>
      </x:c>
      <x:c r="L34" s="9" t="n">
        <x:f>IF(COUNTIFS('03_计算输入与公式'!$B$4:$B$164,A34,'03_计算输入与公式'!$D$4:$D$164,"comparison")=0,"",SUMIFS('03_计算输入与公式'!$J$4:$J$164,'03_计算输入与公式'!$B$4:$B$164,A34,'03_计算输入与公式'!$D$4:$D$164,"comparison"))</x:f>
        <x:v>29.13</x:v>
      </x:c>
      <x:c r="M34" s="10" t="s">
        <x:v>430</x:v>
      </x:c>
      <x:c r="N34" s="8">
        <x:f t="shared" si="8"/>
        <x:v>-3.7864077669999999E-3</x:v>
      </x:c>
      <x:c r="O34" s="8">
        <x:f t="shared" si="9"/>
        <x:v>3.7864077669999999E-3</x:v>
      </x:c>
      <x:c r="P34" s="11">
        <x:f t="shared" si="10"/>
        <x:v>1.2998310219704772E-4</x:v>
      </x:c>
      <x:c r="Q34" s="1">
        <x:v>2</x:v>
      </x:c>
      <x:c r="R34" s="1" t="n">
        <x:f>L34-0.005</x:f>
        <x:v>29.125</x:v>
      </x:c>
      <x:c r="S34" s="1" t="n">
        <x:f>L34+0.005</x:f>
        <x:v>29.134999999999998</x:v>
      </x:c>
      <x:c r="T34" s="17" t="b">
        <x:v>1</x:v>
      </x:c>
      <x:c r="U34" s="1" t="s">
        <x:v>808</x:v>
      </x:c>
      <x:c r="V34" s="1" t="s">
        <x:v>790</x:v>
      </x:c>
      <x:c r="W34" s="1" t="s">
        <x:v>127</x:v>
      </x:c>
      <x:c r="X34" s="1" t="str">
        <x:v>确认通过－舍入一致</x:v>
      </x:c>
      <x:c r="Y34" s="1" t="str">
        <x:v>用户确认原文为约数，按约数/舍入一致处理。</x:v>
      </x:c>
      <x:c r="Z34" s="1" t="s">
        <x:v>165</x:v>
      </x:c>
      <x:c r="AA34" s="1" t="s">
        <x:v>166</x:v>
      </x:c>
      <x:c r="AB34" s="1" t="s">
        <x:v>167</x:v>
      </x:c>
      <x:c r="AC34" s="1" t="s">
        <x:v>387</x:v>
      </x:c>
      <x:c r="AD34" s="1" t="s">
        <x:v>207</x:v>
      </x:c>
    </x:row>
    <x:row r="35" ht="42">
      <x:c r="A35" s="1" t="s">
        <x:v>208</x:v>
      </x:c>
      <x:c r="B35" s="1" t="s">
        <x:v>205</x:v>
      </x:c>
      <x:c r="C35" s="1" t="s">
        <x:v>161</x:v>
      </x:c>
      <x:c r="D35" s="1"/>
      <x:c r="E35" s="1" t="s">
        <x:v>154</x:v>
      </x:c>
      <x:c r="F35" s="1" t="s">
        <x:v>209</x:v>
      </x:c>
      <x:c r="G35" s="1" t="s">
        <x:v>156</x:v>
      </x:c>
      <x:c r="H35" s="1" t="s">
        <x:v>794</x:v>
      </x:c>
      <x:c r="I35" s="8" t="n">
        <x:f>SUMIFS('03_计算输入与公式'!$J$4:$J$164,'03_计算输入与公式'!$B$4:$B$164,A35,'03_计算输入与公式'!$D$4:$D$164,"consideration_wan")*10000/SUMIFS('03_计算输入与公式'!$J$4:$J$164,'03_计算输入与公式'!$B$4:$B$164,A35,'03_计算输入与公式'!$D$4:$D$164,"shares")</x:f>
        <x:v>29.12618030513176</x:v>
      </x:c>
      <x:c r="J35" s="1" t="s">
        <x:v>809</x:v>
      </x:c>
      <x:c r="K35" s="1" t="s">
        <x:v>157</x:v>
      </x:c>
      <x:c r="L35" s="9" t="n">
        <x:f>IF(COUNTIFS('03_计算输入与公式'!$B$4:$B$164,A35,'03_计算输入与公式'!$D$4:$D$164,"comparison")=0,"",SUMIFS('03_计算输入与公式'!$J$4:$J$164,'03_计算输入与公式'!$B$4:$B$164,A35,'03_计算输入与公式'!$D$4:$D$164,"comparison"))</x:f>
        <x:v>29.13</x:v>
      </x:c>
      <x:c r="M35" s="10" t="s">
        <x:v>430</x:v>
      </x:c>
      <x:c r="N35" s="8">
        <x:f t="shared" si="8"/>
        <x:v>-3.8196948680000002E-3</x:v>
      </x:c>
      <x:c r="O35" s="8">
        <x:f t="shared" si="9"/>
        <x:v>3.8196948680000002E-3</x:v>
      </x:c>
      <x:c r="P35" s="11">
        <x:f t="shared" si="10"/>
        <x:v>1.3112581077926537E-4</x:v>
      </x:c>
      <x:c r="Q35" s="1">
        <x:v>2</x:v>
      </x:c>
      <x:c r="R35" s="1" t="n">
        <x:f>L35-0.005</x:f>
        <x:v>29.125</x:v>
      </x:c>
      <x:c r="S35" s="1" t="n">
        <x:f>L35+0.005</x:f>
        <x:v>29.134999999999998</x:v>
      </x:c>
      <x:c r="T35" s="17" t="b">
        <x:v>1</x:v>
      </x:c>
      <x:c r="U35" s="1" t="s">
        <x:v>808</x:v>
      </x:c>
      <x:c r="V35" s="1" t="s">
        <x:v>790</x:v>
      </x:c>
      <x:c r="W35" s="1" t="s">
        <x:v>127</x:v>
      </x:c>
      <x:c r="X35" s="1" t="str">
        <x:v>确认通过－舍入一致</x:v>
      </x:c>
      <x:c r="Y35" s="1" t="str">
        <x:v>用户确认原文为约数，按约数/舍入一致处理。</x:v>
      </x:c>
      <x:c r="Z35" s="1" t="s">
        <x:v>165</x:v>
      </x:c>
      <x:c r="AA35" s="1" t="s">
        <x:v>166</x:v>
      </x:c>
      <x:c r="AB35" s="1" t="s">
        <x:v>167</x:v>
      </x:c>
      <x:c r="AC35" s="1" t="s">
        <x:v>387</x:v>
      </x:c>
      <x:c r="AD35" s="1" t="s">
        <x:v>207</x:v>
      </x:c>
    </x:row>
    <x:row r="36" ht="42">
      <x:c r="A36" s="1" t="s">
        <x:v>210</x:v>
      </x:c>
      <x:c r="B36" s="1" t="s">
        <x:v>205</x:v>
      </x:c>
      <x:c r="C36" s="1" t="s">
        <x:v>161</x:v>
      </x:c>
      <x:c r="D36" s="1"/>
      <x:c r="E36" s="1" t="s">
        <x:v>154</x:v>
      </x:c>
      <x:c r="F36" s="1" t="s">
        <x:v>211</x:v>
      </x:c>
      <x:c r="G36" s="1" t="s">
        <x:v>156</x:v>
      </x:c>
      <x:c r="H36" s="1" t="s">
        <x:v>794</x:v>
      </x:c>
      <x:c r="I36" s="8" t="n">
        <x:f>SUMIFS('03_计算输入与公式'!$J$4:$J$164,'03_计算输入与公式'!$B$4:$B$164,A36,'03_计算输入与公式'!$D$4:$D$164,"consideration_wan")*10000/SUMIFS('03_计算输入与公式'!$J$4:$J$164,'03_计算输入与公式'!$B$4:$B$164,A36,'03_计算输入与公式'!$D$4:$D$164,"shares")</x:f>
        <x:v>29.126746242731706</x:v>
      </x:c>
      <x:c r="J36" s="1" t="s">
        <x:v>810</x:v>
      </x:c>
      <x:c r="K36" s="1" t="s">
        <x:v>157</x:v>
      </x:c>
      <x:c r="L36" s="9" t="n">
        <x:f>IF(COUNTIFS('03_计算输入与公式'!$B$4:$B$164,A36,'03_计算输入与公式'!$D$4:$D$164,"comparison")=0,"",SUMIFS('03_计算输入与公式'!$J$4:$J$164,'03_计算输入与公式'!$B$4:$B$164,A36,'03_计算输入与公式'!$D$4:$D$164,"comparison"))</x:f>
        <x:v>29.13</x:v>
      </x:c>
      <x:c r="M36" s="10" t="s">
        <x:v>430</x:v>
      </x:c>
      <x:c r="N36" s="8">
        <x:f t="shared" si="8"/>
        <x:v>-3.2537572680000001E-3</x:v>
      </x:c>
      <x:c r="O36" s="8">
        <x:f t="shared" si="9"/>
        <x:v>3.2537572680000001E-3</x:v>
      </x:c>
      <x:c r="P36" s="11">
        <x:f t="shared" si="10"/>
        <x:v>1.116978121524202E-4</x:v>
      </x:c>
      <x:c r="Q36" s="1">
        <x:v>2</x:v>
      </x:c>
      <x:c r="R36" s="1" t="n">
        <x:f>L36-0.005</x:f>
        <x:v>29.125</x:v>
      </x:c>
      <x:c r="S36" s="1" t="n">
        <x:f>L36+0.005</x:f>
        <x:v>29.134999999999998</x:v>
      </x:c>
      <x:c r="T36" s="17" t="b">
        <x:v>1</x:v>
      </x:c>
      <x:c r="U36" s="1" t="s">
        <x:v>808</x:v>
      </x:c>
      <x:c r="V36" s="1" t="s">
        <x:v>790</x:v>
      </x:c>
      <x:c r="W36" s="1" t="s">
        <x:v>127</x:v>
      </x:c>
      <x:c r="X36" s="1" t="str">
        <x:v>确认通过－舍入一致</x:v>
      </x:c>
      <x:c r="Y36" s="1" t="str">
        <x:v>用户确认原文为约数，按约数/舍入一致处理。</x:v>
      </x:c>
      <x:c r="Z36" s="1" t="s">
        <x:v>165</x:v>
      </x:c>
      <x:c r="AA36" s="1" t="s">
        <x:v>166</x:v>
      </x:c>
      <x:c r="AB36" s="1" t="s">
        <x:v>167</x:v>
      </x:c>
      <x:c r="AC36" s="1" t="s">
        <x:v>387</x:v>
      </x:c>
      <x:c r="AD36" s="1" t="s">
        <x:v>207</x:v>
      </x:c>
    </x:row>
    <x:row r="37" ht="42">
      <x:c r="A37" s="1" t="s">
        <x:v>212</x:v>
      </x:c>
      <x:c r="B37" s="1" t="s">
        <x:v>205</x:v>
      </x:c>
      <x:c r="C37" s="1" t="s">
        <x:v>161</x:v>
      </x:c>
      <x:c r="D37" s="1"/>
      <x:c r="E37" s="1" t="s">
        <x:v>154</x:v>
      </x:c>
      <x:c r="F37" s="1" t="s">
        <x:v>213</x:v>
      </x:c>
      <x:c r="G37" s="1" t="s">
        <x:v>156</x:v>
      </x:c>
      <x:c r="H37" s="1" t="s">
        <x:v>794</x:v>
      </x:c>
      <x:c r="I37" s="8" t="n">
        <x:f>SUMIFS('03_计算输入与公式'!$J$4:$J$164,'03_计算输入与公式'!$B$4:$B$164,A37,'03_计算输入与公式'!$D$4:$D$164,"consideration_wan")*10000/SUMIFS('03_计算输入与公式'!$J$4:$J$164,'03_计算输入与公式'!$B$4:$B$164,A37,'03_计算输入与公式'!$D$4:$D$164,"shares")</x:f>
        <x:v>29.12623989725888</x:v>
      </x:c>
      <x:c r="J37" s="1" t="s">
        <x:v>811</x:v>
      </x:c>
      <x:c r="K37" s="1" t="s">
        <x:v>157</x:v>
      </x:c>
      <x:c r="L37" s="9" t="n">
        <x:f>IF(COUNTIFS('03_计算输入与公式'!$B$4:$B$164,A37,'03_计算输入与公式'!$D$4:$D$164,"comparison")=0,"",SUMIFS('03_计算输入与公式'!$J$4:$J$164,'03_计算输入与公式'!$B$4:$B$164,A37,'03_计算输入与公式'!$D$4:$D$164,"comparison"))</x:f>
        <x:v>29.13</x:v>
      </x:c>
      <x:c r="M37" s="10" t="s">
        <x:v>430</x:v>
      </x:c>
      <x:c r="N37" s="8">
        <x:f t="shared" si="8"/>
        <x:v>-3.7601027410000001E-3</x:v>
      </x:c>
      <x:c r="O37" s="8">
        <x:f t="shared" si="9"/>
        <x:v>3.7601027410000001E-3</x:v>
      </x:c>
      <x:c r="P37" s="11">
        <x:f t="shared" si="10"/>
        <x:v>1.2908008036388604E-4</x:v>
      </x:c>
      <x:c r="Q37" s="1">
        <x:v>2</x:v>
      </x:c>
      <x:c r="R37" s="1" t="n">
        <x:f>L37-0.005</x:f>
        <x:v>29.125</x:v>
      </x:c>
      <x:c r="S37" s="1" t="n">
        <x:f>L37+0.005</x:f>
        <x:v>29.134999999999998</x:v>
      </x:c>
      <x:c r="T37" s="17" t="b">
        <x:v>1</x:v>
      </x:c>
      <x:c r="U37" s="1" t="s">
        <x:v>808</x:v>
      </x:c>
      <x:c r="V37" s="1" t="s">
        <x:v>790</x:v>
      </x:c>
      <x:c r="W37" s="1" t="s">
        <x:v>127</x:v>
      </x:c>
      <x:c r="X37" s="1" t="str">
        <x:v>确认通过－舍入一致</x:v>
      </x:c>
      <x:c r="Y37" s="1" t="str">
        <x:v>用户确认原文为约数，按约数/舍入一致处理。</x:v>
      </x:c>
      <x:c r="Z37" s="1" t="s">
        <x:v>165</x:v>
      </x:c>
      <x:c r="AA37" s="1" t="s">
        <x:v>166</x:v>
      </x:c>
      <x:c r="AB37" s="1" t="s">
        <x:v>167</x:v>
      </x:c>
      <x:c r="AC37" s="1" t="s">
        <x:v>387</x:v>
      </x:c>
      <x:c r="AD37" s="1" t="s">
        <x:v>207</x:v>
      </x:c>
    </x:row>
    <x:row r="38" ht="42">
      <x:c r="A38" s="1" t="s">
        <x:v>214</x:v>
      </x:c>
      <x:c r="B38" s="1" t="s">
        <x:v>215</x:v>
      </x:c>
      <x:c r="C38" s="1" t="s">
        <x:v>216</x:v>
      </x:c>
      <x:c r="D38" s="1" t="s">
        <x:v>217</x:v>
      </x:c>
      <x:c r="E38" s="1" t="s">
        <x:v>142</x:v>
      </x:c>
      <x:c r="F38" s="1" t="s">
        <x:v>218</x:v>
      </x:c>
      <x:c r="G38" s="1" t="s">
        <x:v>97</x:v>
      </x:c>
      <x:c r="H38" s="1" t="s">
        <x:v>786</x:v>
      </x:c>
      <x:c r="I38" s="8" t="n">
        <x:f>SUMIFS('03_计算输入与公式'!$N$4:$N$164,'03_计算输入与公式'!$B$4:$B$164,A38)</x:f>
        <x:v>1053360</x:v>
      </x:c>
      <x:c r="J38" s="1" t="s">
        <x:v>812</x:v>
      </x:c>
      <x:c r="K38" s="1" t="s">
        <x:v>144</x:v>
      </x:c>
      <x:c r="L38" s="9" t="n">
        <x:f>IF(COUNTIFS('03_计算输入与公式'!$B$4:$B$164,A38,'03_计算输入与公式'!$D$4:$D$164,"comparison")=0,"",SUMIFS('03_计算输入与公式'!$J$4:$J$164,'03_计算输入与公式'!$B$4:$B$164,A38,'03_计算输入与公式'!$D$4:$D$164,"comparison"))</x:f>
        <x:v>1053360</x:v>
      </x:c>
      <x:c r="M38" s="10" t="s">
        <x:v>438</x:v>
      </x:c>
      <x:c r="N38" s="8">
        <x:f t="shared" si="8"/>
        <x:v>0</x:v>
      </x:c>
      <x:c r="O38" s="8">
        <x:f t="shared" si="9"/>
        <x:v>0</x:v>
      </x:c>
      <x:c r="P38" s="11">
        <x:f t="shared" si="10"/>
        <x:v>0</x:v>
      </x:c>
      <x:c r="Q38" s="1">
        <x:v>0</x:v>
      </x:c>
      <x:c r="R38" s="1" t="n">
        <x:f>L38-0.5</x:f>
        <x:v>1053359.5</x:v>
      </x:c>
      <x:c r="S38" s="1" t="n">
        <x:f>L38+0.5</x:f>
        <x:v>1053360.5</x:v>
      </x:c>
      <x:c r="T38" s="17" t="b">
        <x:v>1</x:v>
      </x:c>
      <x:c r="U38" s="1" t="s">
        <x:v>781</x:v>
      </x:c>
      <x:c r="V38" s="1" t="s">
        <x:v>782</x:v>
      </x:c>
      <x:c r="W38" s="1" t="s">
        <x:v>70</x:v>
      </x:c>
      <x:c r="X38" s="1" t="str">
        <x:v>确认通过－完全一致</x:v>
      </x:c>
      <x:c r="Y38" s="1" t="str">
        <x:v>自动校验结果已验收。</x:v>
      </x:c>
      <x:c r="Z38" s="1" t="s">
        <x:v>219</x:v>
      </x:c>
      <x:c r="AA38" s="1" t="s">
        <x:v>220</x:v>
      </x:c>
      <x:c r="AB38" s="1" t="s">
        <x:v>221</x:v>
      </x:c>
      <x:c r="AC38" s="1" t="s">
        <x:v>434</x:v>
      </x:c>
      <x:c r="AD38" s="1" t="s">
        <x:v>222</x:v>
      </x:c>
    </x:row>
    <x:row r="39" ht="42">
      <x:c r="A39" s="1" t="s">
        <x:v>223</x:v>
      </x:c>
      <x:c r="B39" s="1" t="s">
        <x:v>215</x:v>
      </x:c>
      <x:c r="C39" s="1" t="s">
        <x:v>216</x:v>
      </x:c>
      <x:c r="D39" s="1" t="s">
        <x:v>217</x:v>
      </x:c>
      <x:c r="E39" s="1" t="s">
        <x:v>142</x:v>
      </x:c>
      <x:c r="F39" s="1" t="s">
        <x:v>224</x:v>
      </x:c>
      <x:c r="G39" s="1" t="s">
        <x:v>97</x:v>
      </x:c>
      <x:c r="H39" s="1" t="s">
        <x:v>786</x:v>
      </x:c>
      <x:c r="I39" s="8" t="n">
        <x:f>SUMIFS('03_计算输入与公式'!$N$4:$N$164,'03_计算输入与公式'!$B$4:$B$164,A39)</x:f>
        <x:v>600000</x:v>
      </x:c>
      <x:c r="J39" s="1" t="s">
        <x:v>813</x:v>
      </x:c>
      <x:c r="K39" s="1" t="s">
        <x:v>144</x:v>
      </x:c>
      <x:c r="L39" s="9" t="n">
        <x:f>IF(COUNTIFS('03_计算输入与公式'!$B$4:$B$164,A39,'03_计算输入与公式'!$D$4:$D$164,"comparison")=0,"",SUMIFS('03_计算输入与公式'!$J$4:$J$164,'03_计算输入与公式'!$B$4:$B$164,A39,'03_计算输入与公式'!$D$4:$D$164,"comparison"))</x:f>
        <x:v>600000</x:v>
      </x:c>
      <x:c r="M39" s="10" t="s">
        <x:v>438</x:v>
      </x:c>
      <x:c r="N39" s="8">
        <x:f t="shared" si="8"/>
        <x:v>0</x:v>
      </x:c>
      <x:c r="O39" s="8">
        <x:f t="shared" si="9"/>
        <x:v>0</x:v>
      </x:c>
      <x:c r="P39" s="11">
        <x:f t="shared" si="10"/>
        <x:v>0</x:v>
      </x:c>
      <x:c r="Q39" s="1">
        <x:v>0</x:v>
      </x:c>
      <x:c r="R39" s="1" t="n">
        <x:f>L39-0.5</x:f>
        <x:v>599999.5</x:v>
      </x:c>
      <x:c r="S39" s="1" t="n">
        <x:f>L39+0.5</x:f>
        <x:v>600000.5</x:v>
      </x:c>
      <x:c r="T39" s="17" t="b">
        <x:v>1</x:v>
      </x:c>
      <x:c r="U39" s="1" t="s">
        <x:v>781</x:v>
      </x:c>
      <x:c r="V39" s="1" t="s">
        <x:v>782</x:v>
      </x:c>
      <x:c r="W39" s="1" t="s">
        <x:v>70</x:v>
      </x:c>
      <x:c r="X39" s="1" t="str">
        <x:v>确认通过－完全一致</x:v>
      </x:c>
      <x:c r="Y39" s="1" t="str">
        <x:v>自动校验结果已验收。</x:v>
      </x:c>
      <x:c r="Z39" s="1" t="s">
        <x:v>219</x:v>
      </x:c>
      <x:c r="AA39" s="1" t="s">
        <x:v>220</x:v>
      </x:c>
      <x:c r="AB39" s="1" t="s">
        <x:v>221</x:v>
      </x:c>
      <x:c r="AC39" s="1" t="s">
        <x:v>434</x:v>
      </x:c>
      <x:c r="AD39" s="1"/>
    </x:row>
    <x:row r="40" ht="42">
      <x:c r="A40" s="1" t="s">
        <x:v>225</x:v>
      </x:c>
      <x:c r="B40" s="1" t="s">
        <x:v>215</x:v>
      </x:c>
      <x:c r="C40" s="1" t="s">
        <x:v>216</x:v>
      </x:c>
      <x:c r="D40" s="1" t="s">
        <x:v>217</x:v>
      </x:c>
      <x:c r="E40" s="1" t="s">
        <x:v>142</x:v>
      </x:c>
      <x:c r="F40" s="1" t="s">
        <x:v>226</x:v>
      </x:c>
      <x:c r="G40" s="1" t="s">
        <x:v>97</x:v>
      </x:c>
      <x:c r="H40" s="1" t="s">
        <x:v>786</x:v>
      </x:c>
      <x:c r="I40" s="8" t="n">
        <x:f>SUMIFS('03_计算输入与公式'!$N$4:$N$164,'03_计算输入与公式'!$B$4:$B$164,A40)</x:f>
        <x:v>600000</x:v>
      </x:c>
      <x:c r="J40" s="1" t="s">
        <x:v>813</x:v>
      </x:c>
      <x:c r="K40" s="1" t="s">
        <x:v>144</x:v>
      </x:c>
      <x:c r="L40" s="9" t="n">
        <x:f>IF(COUNTIFS('03_计算输入与公式'!$B$4:$B$164,A40,'03_计算输入与公式'!$D$4:$D$164,"comparison")=0,"",SUMIFS('03_计算输入与公式'!$J$4:$J$164,'03_计算输入与公式'!$B$4:$B$164,A40,'03_计算输入与公式'!$D$4:$D$164,"comparison"))</x:f>
        <x:v>600000</x:v>
      </x:c>
      <x:c r="M40" s="10" t="s">
        <x:v>438</x:v>
      </x:c>
      <x:c r="N40" s="8">
        <x:f t="shared" si="8"/>
        <x:v>0</x:v>
      </x:c>
      <x:c r="O40" s="8">
        <x:f t="shared" si="9"/>
        <x:v>0</x:v>
      </x:c>
      <x:c r="P40" s="11">
        <x:f t="shared" si="10"/>
        <x:v>0</x:v>
      </x:c>
      <x:c r="Q40" s="1">
        <x:v>0</x:v>
      </x:c>
      <x:c r="R40" s="1" t="n">
        <x:f>L40-0.5</x:f>
        <x:v>599999.5</x:v>
      </x:c>
      <x:c r="S40" s="1" t="n">
        <x:f>L40+0.5</x:f>
        <x:v>600000.5</x:v>
      </x:c>
      <x:c r="T40" s="17" t="b">
        <x:v>1</x:v>
      </x:c>
      <x:c r="U40" s="1" t="s">
        <x:v>781</x:v>
      </x:c>
      <x:c r="V40" s="1" t="s">
        <x:v>782</x:v>
      </x:c>
      <x:c r="W40" s="1" t="s">
        <x:v>70</x:v>
      </x:c>
      <x:c r="X40" s="1" t="str">
        <x:v>确认通过－完全一致</x:v>
      </x:c>
      <x:c r="Y40" s="1" t="str">
        <x:v>自动校验结果已验收。</x:v>
      </x:c>
      <x:c r="Z40" s="1" t="s">
        <x:v>219</x:v>
      </x:c>
      <x:c r="AA40" s="1" t="s">
        <x:v>220</x:v>
      </x:c>
      <x:c r="AB40" s="1" t="s">
        <x:v>221</x:v>
      </x:c>
      <x:c r="AC40" s="1" t="s">
        <x:v>434</x:v>
      </x:c>
      <x:c r="AD40" s="1"/>
    </x:row>
    <x:row r="41" ht="42">
      <x:c r="A41" s="1" t="s">
        <x:v>227</x:v>
      </x:c>
      <x:c r="B41" s="1" t="s">
        <x:v>228</x:v>
      </x:c>
      <x:c r="C41" s="1" t="s">
        <x:v>229</x:v>
      </x:c>
      <x:c r="D41" s="1" t="s">
        <x:v>230</x:v>
      </x:c>
      <x:c r="E41" s="1" t="s">
        <x:v>134</x:v>
      </x:c>
      <x:c r="F41" s="1" t="s">
        <x:v>231</x:v>
      </x:c>
      <x:c r="G41" s="1" t="s">
        <x:v>232</x:v>
      </x:c>
      <x:c r="H41" s="1" t="s">
        <x:v>814</x:v>
      </x:c>
      <x:c r="I41" s="8" t="n">
        <x:f>SUMIFS('03_计算输入与公式'!$J$4:$J$164,'03_计算输入与公式'!$B$4:$B$164,A41,'03_计算输入与公式'!$D$4:$D$164,"shares")/10000</x:f>
        <x:v>113.0488</x:v>
      </x:c>
      <x:c r="J41" s="1" t="s">
        <x:v>706</x:v>
      </x:c>
      <x:c r="K41" s="1" t="s">
        <x:v>85</x:v>
      </x:c>
      <x:c r="L41" s="9" t="str">
        <x:f>IF(COUNTIFS('03_计算输入与公式'!$B$4:$B$164,A41,'03_计算输入与公式'!$D$4:$D$164,"comparison")=0,"",SUMIFS('03_计算输入与公式'!$J$4:$J$164,'03_计算输入与公式'!$B$4:$B$164,A41,'03_计算输入与公式'!$D$4:$D$164,"comparison"))</x:f>
      </x:c>
      <x:c r="M41" s="10"/>
      <x:c r="N41" s="8"/>
      <x:c r="O41" s="8"/>
      <x:c r="P41" s="11"/>
      <x:c r="Q41" s="1">
        <x:v>4</x:v>
      </x:c>
      <x:c r="R41" s="1"/>
      <x:c r="S41" s="1"/>
      <x:c r="T41" s="1" t="s">
        <x:v>784</x:v>
      </x:c>
      <x:c r="U41" s="1" t="s">
        <x:v>785</x:v>
      </x:c>
      <x:c r="V41" s="1" t="s">
        <x:v>782</x:v>
      </x:c>
      <x:c r="W41" s="1" t="s">
        <x:v>70</x:v>
      </x:c>
      <x:c r="X41" s="1" t="str">
        <x:v>确认通过－完全一致</x:v>
      </x:c>
      <x:c r="Y41" s="1" t="str">
        <x:v>自动校验结果已验收。</x:v>
      </x:c>
      <x:c r="Z41" s="1" t="s">
        <x:v>233</x:v>
      </x:c>
      <x:c r="AA41" s="1" t="s">
        <x:v>219</x:v>
      </x:c>
      <x:c r="AB41" s="1" t="s">
        <x:v>234</x:v>
      </x:c>
      <x:c r="AC41" s="1" t="s">
        <x:v>444</x:v>
      </x:c>
      <x:c r="AD41" s="1" t="s">
        <x:v>235</x:v>
      </x:c>
    </x:row>
    <x:row r="42" ht="42">
      <x:c r="A42" s="1" t="s">
        <x:v>236</x:v>
      </x:c>
      <x:c r="B42" s="1" t="s">
        <x:v>228</x:v>
      </x:c>
      <x:c r="C42" s="1" t="s">
        <x:v>229</x:v>
      </x:c>
      <x:c r="D42" s="1" t="s">
        <x:v>230</x:v>
      </x:c>
      <x:c r="E42" s="1" t="s">
        <x:v>134</x:v>
      </x:c>
      <x:c r="F42" s="1" t="s">
        <x:v>237</x:v>
      </x:c>
      <x:c r="G42" s="1" t="s">
        <x:v>97</x:v>
      </x:c>
      <x:c r="H42" s="1" t="s">
        <x:v>786</x:v>
      </x:c>
      <x:c r="I42" s="8" t="n">
        <x:f>SUMIFS('03_计算输入与公式'!$N$4:$N$164,'03_计算输入与公式'!$B$4:$B$164,A42)</x:f>
        <x:v>4748.0488</x:v>
      </x:c>
      <x:c r="J42" s="1" t="s">
        <x:v>450</x:v>
      </x:c>
      <x:c r="K42" s="1" t="s">
        <x:v>85</x:v>
      </x:c>
      <x:c r="L42" s="9" t="n">
        <x:f>IF(COUNTIFS('03_计算输入与公式'!$B$4:$B$164,A42,'03_计算输入与公式'!$D$4:$D$164,"comparison")=0,"",SUMIFS('03_计算输入与公式'!$J$4:$J$164,'03_计算输入与公式'!$B$4:$B$164,A42,'03_计算输入与公式'!$D$4:$D$164,"comparison"))</x:f>
        <x:v>4748.0488</x:v>
      </x:c>
      <x:c r="M42" s="10" t="s">
        <x:v>449</x:v>
      </x:c>
      <x:c r="N42" s="8" t="n">
        <x:f>ROUND(I42-L42,12)</x:f>
        <x:v>0</x:v>
      </x:c>
      <x:c r="O42" s="8" t="n">
        <x:f>ABS(N42)</x:f>
        <x:v>0</x:v>
      </x:c>
      <x:c r="P42" s="11" t="n">
        <x:f>IF(L42=0,"",O42/ABS(L42))</x:f>
        <x:v>0</x:v>
      </x:c>
      <x:c r="Q42" s="1">
        <x:v>4</x:v>
      </x:c>
      <x:c r="R42" s="1" t="n">
        <x:f>L42-0.00005</x:f>
        <x:v>4748.04875</x:v>
      </x:c>
      <x:c r="S42" s="1" t="n">
        <x:f>L42+0.00005</x:f>
        <x:v>4748.048849999999</x:v>
      </x:c>
      <x:c r="T42" s="17" t="b">
        <x:v>1</x:v>
      </x:c>
      <x:c r="U42" s="1" t="s">
        <x:v>781</x:v>
      </x:c>
      <x:c r="V42" s="1" t="s">
        <x:v>782</x:v>
      </x:c>
      <x:c r="W42" s="1" t="s">
        <x:v>70</x:v>
      </x:c>
      <x:c r="X42" s="1" t="str">
        <x:v>确认通过－完全一致</x:v>
      </x:c>
      <x:c r="Y42" s="1" t="str">
        <x:v>自动校验结果已验收。</x:v>
      </x:c>
      <x:c r="Z42" s="1" t="s">
        <x:v>233</x:v>
      </x:c>
      <x:c r="AA42" s="1" t="s">
        <x:v>219</x:v>
      </x:c>
      <x:c r="AB42" s="1" t="s">
        <x:v>234</x:v>
      </x:c>
      <x:c r="AC42" s="1" t="s">
        <x:v>444</x:v>
      </x:c>
      <x:c r="AD42" s="1"/>
    </x:row>
    <x:row r="43" ht="42">
      <x:c r="A43" s="1" t="s">
        <x:v>238</x:v>
      </x:c>
      <x:c r="B43" s="1" t="s">
        <x:v>239</x:v>
      </x:c>
      <x:c r="C43" s="1" t="s">
        <x:v>229</x:v>
      </x:c>
      <x:c r="D43" s="1" t="s">
        <x:v>230</x:v>
      </x:c>
      <x:c r="E43" s="1" t="s">
        <x:v>240</x:v>
      </x:c>
      <x:c r="F43" s="1" t="s">
        <x:v>241</x:v>
      </x:c>
      <x:c r="G43" s="1" t="s">
        <x:v>97</x:v>
      </x:c>
      <x:c r="H43" s="1" t="s">
        <x:v>786</x:v>
      </x:c>
      <x:c r="I43" s="8" t="n">
        <x:f>SUMIFS('03_计算输入与公式'!$N$4:$N$164,'03_计算输入与公式'!$B$4:$B$164,A43)</x:f>
        <x:v>47480488</x:v>
      </x:c>
      <x:c r="J43" s="1" t="s">
        <x:v>815</x:v>
      </x:c>
      <x:c r="K43" s="1" t="s">
        <x:v>144</x:v>
      </x:c>
      <x:c r="L43" s="9" t="n">
        <x:f>IF(COUNTIFS('03_计算输入与公式'!$B$4:$B$164,A43,'03_计算输入与公式'!$D$4:$D$164,"comparison")=0,"",SUMIFS('03_计算输入与公式'!$J$4:$J$164,'03_计算输入与公式'!$B$4:$B$164,A43,'03_计算输入与公式'!$D$4:$D$164,"comparison"))</x:f>
        <x:v>47480488</x:v>
      </x:c>
      <x:c r="M43" s="10" t="s">
        <x:v>451</x:v>
      </x:c>
      <x:c r="N43" s="8" t="n">
        <x:f>ROUND(I43-L43,12)</x:f>
        <x:v>0</x:v>
      </x:c>
      <x:c r="O43" s="8" t="n">
        <x:f>ABS(N43)</x:f>
        <x:v>0</x:v>
      </x:c>
      <x:c r="P43" s="11" t="n">
        <x:f>IF(L43=0,"",O43/ABS(L43))</x:f>
        <x:v>0</x:v>
      </x:c>
      <x:c r="Q43" s="1">
        <x:v>0</x:v>
      </x:c>
      <x:c r="R43" s="1" t="n">
        <x:f>L43-0.5</x:f>
        <x:v>47480487.5</x:v>
      </x:c>
      <x:c r="S43" s="1" t="n">
        <x:f>L43+0.5</x:f>
        <x:v>47480488.5</x:v>
      </x:c>
      <x:c r="T43" s="17" t="b">
        <x:v>1</x:v>
      </x:c>
      <x:c r="U43" s="1" t="s">
        <x:v>781</x:v>
      </x:c>
      <x:c r="V43" s="1" t="s">
        <x:v>782</x:v>
      </x:c>
      <x:c r="W43" s="1" t="s">
        <x:v>70</x:v>
      </x:c>
      <x:c r="X43" s="1" t="str">
        <x:v>确认通过－完全一致</x:v>
      </x:c>
      <x:c r="Y43" s="1" t="str">
        <x:v>自动校验结果已验收。</x:v>
      </x:c>
      <x:c r="Z43" s="1" t="s">
        <x:v>233</x:v>
      </x:c>
      <x:c r="AA43" s="1" t="s">
        <x:v>219</x:v>
      </x:c>
      <x:c r="AB43" s="1" t="s">
        <x:v>234</x:v>
      </x:c>
      <x:c r="AC43" s="1" t="s">
        <x:v>444</x:v>
      </x:c>
      <x:c r="AD43" s="1" t="s">
        <x:v>242</x:v>
      </x:c>
    </x:row>
    <x:row r="44" ht="42">
      <x:c r="A44" s="1" t="s">
        <x:v>243</x:v>
      </x:c>
      <x:c r="B44" s="1" t="s">
        <x:v>244</x:v>
      </x:c>
      <x:c r="C44" s="1" t="s">
        <x:v>245</x:v>
      </x:c>
      <x:c r="D44" s="1" t="s">
        <x:v>246</x:v>
      </x:c>
      <x:c r="E44" s="1" t="s">
        <x:v>247</x:v>
      </x:c>
      <x:c r="F44" s="1" t="s">
        <x:v>248</x:v>
      </x:c>
      <x:c r="G44" s="1" t="s">
        <x:v>97</x:v>
      </x:c>
      <x:c r="H44" s="1" t="s">
        <x:v>786</x:v>
      </x:c>
      <x:c r="I44" s="8" t="n">
        <x:f>SUMIFS('03_计算输入与公式'!$N$4:$N$164,'03_计算输入与公式'!$B$4:$B$164,A44)</x:f>
        <x:v>1356586</x:v>
      </x:c>
      <x:c r="J44" s="1" t="s">
        <x:v>816</x:v>
      </x:c>
      <x:c r="K44" s="1" t="s">
        <x:v>144</x:v>
      </x:c>
      <x:c r="L44" s="9" t="str">
        <x:f>IF(COUNTIFS('03_计算输入与公式'!$B$4:$B$164,A44,'03_计算输入与公式'!$D$4:$D$164,"comparison")=0,"",SUMIFS('03_计算输入与公式'!$J$4:$J$164,'03_计算输入与公式'!$B$4:$B$164,A44,'03_计算输入与公式'!$D$4:$D$164,"comparison"))</x:f>
      </x:c>
      <x:c r="M44" s="10"/>
      <x:c r="N44" s="8"/>
      <x:c r="O44" s="8"/>
      <x:c r="P44" s="11"/>
      <x:c r="Q44" s="1">
        <x:v>0</x:v>
      </x:c>
      <x:c r="R44" s="1"/>
      <x:c r="S44" s="1"/>
      <x:c r="T44" s="1" t="s">
        <x:v>784</x:v>
      </x:c>
      <x:c r="U44" s="1" t="s">
        <x:v>785</x:v>
      </x:c>
      <x:c r="V44" s="1" t="s">
        <x:v>782</x:v>
      </x:c>
      <x:c r="W44" s="1" t="s">
        <x:v>70</x:v>
      </x:c>
      <x:c r="X44" s="1" t="str">
        <x:v>确认通过－完全一致</x:v>
      </x:c>
      <x:c r="Y44" s="1" t="str">
        <x:v>自动校验结果已验收。</x:v>
      </x:c>
      <x:c r="Z44" s="1" t="s">
        <x:v>249</x:v>
      </x:c>
      <x:c r="AA44" s="1" t="s">
        <x:v>250</x:v>
      </x:c>
      <x:c r="AB44" s="1" t="s">
        <x:v>251</x:v>
      </x:c>
      <x:c r="AC44" s="1" t="s">
        <x:v>456</x:v>
      </x:c>
      <x:c r="AD44" s="1"/>
    </x:row>
    <x:row r="45" ht="42">
      <x:c r="A45" s="1" t="s">
        <x:v>252</x:v>
      </x:c>
      <x:c r="B45" s="1" t="s">
        <x:v>244</x:v>
      </x:c>
      <x:c r="C45" s="1" t="s">
        <x:v>245</x:v>
      </x:c>
      <x:c r="D45" s="1" t="s">
        <x:v>246</x:v>
      </x:c>
      <x:c r="E45" s="1" t="s">
        <x:v>134</x:v>
      </x:c>
      <x:c r="F45" s="1" t="s">
        <x:v>253</x:v>
      </x:c>
      <x:c r="G45" s="1" t="s">
        <x:v>232</x:v>
      </x:c>
      <x:c r="H45" s="1" t="s">
        <x:v>814</x:v>
      </x:c>
      <x:c r="I45" s="8" t="n">
        <x:f>SUMIFS('03_计算输入与公式'!$J$4:$J$164,'03_计算输入与公式'!$B$4:$B$164,A45,'03_计算输入与公式'!$D$4:$D$164,"shares")/10000</x:f>
        <x:v>135.6586</x:v>
      </x:c>
      <x:c r="J45" s="1" t="s">
        <x:v>722</x:v>
      </x:c>
      <x:c r="K45" s="1" t="s">
        <x:v>85</x:v>
      </x:c>
      <x:c r="L45" s="9" t="str">
        <x:f>IF(COUNTIFS('03_计算输入与公式'!$B$4:$B$164,A45,'03_计算输入与公式'!$D$4:$D$164,"comparison")=0,"",SUMIFS('03_计算输入与公式'!$J$4:$J$164,'03_计算输入与公式'!$B$4:$B$164,A45,'03_计算输入与公式'!$D$4:$D$164,"comparison"))</x:f>
      </x:c>
      <x:c r="M45" s="10"/>
      <x:c r="N45" s="8"/>
      <x:c r="O45" s="8"/>
      <x:c r="P45" s="11"/>
      <x:c r="Q45" s="1">
        <x:v>4</x:v>
      </x:c>
      <x:c r="R45" s="1"/>
      <x:c r="S45" s="1"/>
      <x:c r="T45" s="1" t="s">
        <x:v>784</x:v>
      </x:c>
      <x:c r="U45" s="1" t="s">
        <x:v>785</x:v>
      </x:c>
      <x:c r="V45" s="1" t="s">
        <x:v>782</x:v>
      </x:c>
      <x:c r="W45" s="1" t="s">
        <x:v>70</x:v>
      </x:c>
      <x:c r="X45" s="1" t="str">
        <x:v>确认通过－完全一致</x:v>
      </x:c>
      <x:c r="Y45" s="1" t="str">
        <x:v>自动校验结果已验收。</x:v>
      </x:c>
      <x:c r="Z45" s="1" t="s">
        <x:v>249</x:v>
      </x:c>
      <x:c r="AA45" s="1" t="s">
        <x:v>250</x:v>
      </x:c>
      <x:c r="AB45" s="1" t="s">
        <x:v>251</x:v>
      </x:c>
      <x:c r="AC45" s="1" t="s">
        <x:v>456</x:v>
      </x:c>
      <x:c r="AD45" s="1" t="s">
        <x:v>235</x:v>
      </x:c>
    </x:row>
    <x:row r="46" ht="42">
      <x:c r="A46" s="1" t="s">
        <x:v>254</x:v>
      </x:c>
      <x:c r="B46" s="1" t="s">
        <x:v>244</x:v>
      </x:c>
      <x:c r="C46" s="1" t="s">
        <x:v>245</x:v>
      </x:c>
      <x:c r="D46" s="1" t="s">
        <x:v>246</x:v>
      </x:c>
      <x:c r="E46" s="1" t="s">
        <x:v>134</x:v>
      </x:c>
      <x:c r="F46" s="1" t="s">
        <x:v>255</x:v>
      </x:c>
      <x:c r="G46" s="1" t="s">
        <x:v>97</x:v>
      </x:c>
      <x:c r="H46" s="1" t="s">
        <x:v>786</x:v>
      </x:c>
      <x:c r="I46" s="8" t="n">
        <x:f>SUMIFS('03_计算输入与公式'!$N$4:$N$164,'03_计算输入与公式'!$B$4:$B$164,A46)</x:f>
        <x:v>4883.707399999999</x:v>
      </x:c>
      <x:c r="J46" s="1" t="s">
        <x:v>465</x:v>
      </x:c>
      <x:c r="K46" s="1" t="s">
        <x:v>85</x:v>
      </x:c>
      <x:c r="L46" s="9" t="n">
        <x:f>IF(COUNTIFS('03_计算输入与公式'!$B$4:$B$164,A46,'03_计算输入与公式'!$D$4:$D$164,"comparison")=0,"",SUMIFS('03_计算输入与公式'!$J$4:$J$164,'03_计算输入与公式'!$B$4:$B$164,A46,'03_计算输入与公式'!$D$4:$D$164,"comparison"))</x:f>
        <x:v>4883.7074</x:v>
      </x:c>
      <x:c r="M46" s="10" t="s">
        <x:v>464</x:v>
      </x:c>
      <x:c r="N46" s="8" t="n">
        <x:f t="shared" ref="N46:N58" si="11">ROUND(I46-L46,12)</x:f>
        <x:v>-1e-12</x:v>
      </x:c>
      <x:c r="O46" s="8" t="n">
        <x:f t="shared" ref="O46:O58" si="12">ABS(N46)</x:f>
        <x:v>1e-12</x:v>
      </x:c>
      <x:c r="P46" s="11" t="n">
        <x:f t="shared" ref="P46:P58" si="13">IF(L46=0,"",O46/ABS(L46))</x:f>
        <x:v>2.0476247205145827e-16</x:v>
      </x:c>
      <x:c r="Q46" s="1">
        <x:v>4</x:v>
      </x:c>
      <x:c r="R46" s="1" t="n">
        <x:f>L46-0.00005</x:f>
        <x:v>4883.707350000001</x:v>
      </x:c>
      <x:c r="S46" s="1" t="n">
        <x:f>L46+0.00005</x:f>
        <x:v>4883.70745</x:v>
      </x:c>
      <x:c r="T46" s="17" t="b">
        <x:v>1</x:v>
      </x:c>
      <x:c r="U46" s="1" t="s">
        <x:v>781</x:v>
      </x:c>
      <x:c r="V46" s="1" t="s">
        <x:v>782</x:v>
      </x:c>
      <x:c r="W46" s="1" t="s">
        <x:v>70</x:v>
      </x:c>
      <x:c r="X46" s="1" t="str">
        <x:v>确认通过－完全一致</x:v>
      </x:c>
      <x:c r="Y46" s="1" t="str">
        <x:v>自动校验结果已验收。</x:v>
      </x:c>
      <x:c r="Z46" s="1" t="s">
        <x:v>249</x:v>
      </x:c>
      <x:c r="AA46" s="1" t="s">
        <x:v>250</x:v>
      </x:c>
      <x:c r="AB46" s="1" t="s">
        <x:v>251</x:v>
      </x:c>
      <x:c r="AC46" s="1" t="s">
        <x:v>456</x:v>
      </x:c>
      <x:c r="AD46" s="1"/>
    </x:row>
    <x:row r="47" ht="42">
      <x:c r="A47" s="1" t="s">
        <x:v>256</x:v>
      </x:c>
      <x:c r="B47" s="1" t="s">
        <x:v>257</x:v>
      </x:c>
      <x:c r="C47" s="1" t="s">
        <x:v>245</x:v>
      </x:c>
      <x:c r="D47" s="1" t="s">
        <x:v>246</x:v>
      </x:c>
      <x:c r="E47" s="1" t="s">
        <x:v>197</x:v>
      </x:c>
      <x:c r="F47" s="1" t="s">
        <x:v>258</x:v>
      </x:c>
      <x:c r="G47" s="1" t="s">
        <x:v>97</x:v>
      </x:c>
      <x:c r="H47" s="1" t="s">
        <x:v>786</x:v>
      </x:c>
      <x:c r="I47" s="8" t="n">
        <x:f>ROUND(SUMIFS('03_计算输入与公式'!$N$4:$N$182,'03_计算输入与公式'!$B$4:$B$182,A47),0)</x:f>
        <x:v>1659535</x:v>
      </x:c>
      <x:c r="J47" s="1" t="s">
        <x:v>817</x:v>
      </x:c>
      <x:c r="K47" s="1" t="s">
        <x:v>144</x:v>
      </x:c>
      <x:c r="L47" s="9" t="n">
        <x:f>IF(COUNTIFS('03_计算输入与公式'!$B$4:$B$182,A47,'03_计算输入与公式'!$D$4:$D$182,"comparison")=0,"",SUMIFS('03_计算输入与公式'!$J$4:$J$182,'03_计算输入与公式'!$B$4:$B$182,A47,'03_计算输入与公式'!$D$4:$D$182,"comparison"))</x:f>
        <x:v>1659535</x:v>
      </x:c>
      <x:c r="M47" s="10" t="s">
        <x:v>466</x:v>
      </x:c>
      <x:c r="N47" s="8">
        <x:f t="shared" si="11"/>
        <x:v>0</x:v>
      </x:c>
      <x:c r="O47" s="8">
        <x:f t="shared" si="12"/>
        <x:v>0</x:v>
      </x:c>
      <x:c r="P47" s="11">
        <x:f t="shared" si="13"/>
        <x:v>0</x:v>
      </x:c>
      <x:c r="Q47" s="1">
        <x:v>0</x:v>
      </x:c>
      <x:c r="R47" s="1" t="n">
        <x:f>L47-0.5</x:f>
        <x:v>1659534.5</x:v>
      </x:c>
      <x:c r="S47" s="1" t="n">
        <x:f>L47+0.5</x:f>
        <x:v>1659535.5</x:v>
      </x:c>
      <x:c r="T47" s="17" t="b">
        <x:v>1</x:v>
      </x:c>
      <x:c r="U47" s="1" t="s">
        <x:v>781</x:v>
      </x:c>
      <x:c r="V47" s="1" t="s">
        <x:v>790</x:v>
      </x:c>
      <x:c r="W47" s="1" t="s">
        <x:v>127</x:v>
      </x:c>
      <x:c r="X47" s="1" t="str">
        <x:v>确认通过－完全一致</x:v>
      </x:c>
      <x:c r="Y47" s="1" t="str">
        <x:v>已按PDF第64页逐笔展开十笔转让股数，合计1,659,535股，与原文合计一致。</x:v>
      </x:c>
      <x:c r="Z47" s="1" t="s">
        <x:v>249</x:v>
      </x:c>
      <x:c r="AA47" s="1" t="s">
        <x:v>250</x:v>
      </x:c>
      <x:c r="AB47" s="1" t="s">
        <x:v>251</x:v>
      </x:c>
      <x:c r="AC47" s="1" t="s">
        <x:v>456</x:v>
      </x:c>
      <x:c r="AD47" s="1" t="s">
        <x:v>259</x:v>
      </x:c>
    </x:row>
    <x:row r="48" ht="42">
      <x:c r="A48" s="1" t="s">
        <x:v>260</x:v>
      </x:c>
      <x:c r="B48" s="1" t="s">
        <x:v>257</x:v>
      </x:c>
      <x:c r="C48" s="1" t="s">
        <x:v>245</x:v>
      </x:c>
      <x:c r="D48" s="1" t="s">
        <x:v>246</x:v>
      </x:c>
      <x:c r="E48" s="1" t="s">
        <x:v>201</x:v>
      </x:c>
      <x:c r="F48" s="1" t="s">
        <x:v>261</x:v>
      </x:c>
      <x:c r="G48" s="1" t="s">
        <x:v>97</x:v>
      </x:c>
      <x:c r="H48" s="1" t="s">
        <x:v>786</x:v>
      </x:c>
      <x:c r="I48" s="8" t="n">
        <x:f>ROUND(SUMIFS('03_计算输入与公式'!$N$4:$N$182,'03_计算输入与公式'!$B$4:$B$182,A48),2)</x:f>
        <x:v>8563.19</x:v>
      </x:c>
      <x:c r="J48" s="1" t="s">
        <x:v>818</x:v>
      </x:c>
      <x:c r="K48" s="1" t="s">
        <x:v>85</x:v>
      </x:c>
      <x:c r="L48" s="9" t="n">
        <x:f>IF(COUNTIFS('03_计算输入与公式'!$B$4:$B$182,A48,'03_计算输入与公式'!$D$4:$D$182,"comparison")=0,"",SUMIFS('03_计算输入与公式'!$J$4:$J$182,'03_计算输入与公式'!$B$4:$B$182,A48,'03_计算输入与公式'!$D$4:$D$182,"comparison"))</x:f>
        <x:v>8563.19</x:v>
      </x:c>
      <x:c r="M48" s="10" t="s">
        <x:v>470</x:v>
      </x:c>
      <x:c r="N48" s="8">
        <x:f t="shared" si="11"/>
        <x:v>0</x:v>
      </x:c>
      <x:c r="O48" s="8">
        <x:f t="shared" si="12"/>
        <x:v>0</x:v>
      </x:c>
      <x:c r="P48" s="11">
        <x:f t="shared" si="13"/>
        <x:v>0</x:v>
      </x:c>
      <x:c r="Q48" s="1">
        <x:v>2</x:v>
      </x:c>
      <x:c r="R48" s="1" t="n">
        <x:f>L48-0.005</x:f>
        <x:v>8563.185000000001</x:v>
      </x:c>
      <x:c r="S48" s="1" t="n">
        <x:f>L48+0.005</x:f>
        <x:v>8563.195</x:v>
      </x:c>
      <x:c r="T48" s="17" t="b">
        <x:v>1</x:v>
      </x:c>
      <x:c r="U48" s="1" t="s">
        <x:v>781</x:v>
      </x:c>
      <x:c r="V48" s="1" t="s">
        <x:v>790</x:v>
      </x:c>
      <x:c r="W48" s="1" t="s">
        <x:v>127</x:v>
      </x:c>
      <x:c r="X48" s="1" t="str">
        <x:v>确认通过－完全一致</x:v>
      </x:c>
      <x:c r="Y48" s="1" t="str">
        <x:v>已按PDF第64页逐笔展开十笔转让价款，合计8,563.19万元；旧误录8,563.79万元未沿用。</x:v>
      </x:c>
      <x:c r="Z48" s="1" t="s">
        <x:v>249</x:v>
      </x:c>
      <x:c r="AA48" s="1" t="s">
        <x:v>250</x:v>
      </x:c>
      <x:c r="AB48" s="1" t="s">
        <x:v>251</x:v>
      </x:c>
      <x:c r="AC48" s="1" t="s">
        <x:v>456</x:v>
      </x:c>
      <x:c r="AD48" s="1" t="s">
        <x:v>262</x:v>
      </x:c>
    </x:row>
    <x:row r="49" ht="42">
      <x:c r="A49" s="1" t="s">
        <x:v>263</x:v>
      </x:c>
      <x:c r="B49" s="1" t="s">
        <x:v>264</x:v>
      </x:c>
      <x:c r="C49" s="1" t="s">
        <x:v>245</x:v>
      </x:c>
      <x:c r="D49" s="1" t="s">
        <x:v>246</x:v>
      </x:c>
      <x:c r="E49" s="1" t="s">
        <x:v>240</x:v>
      </x:c>
      <x:c r="F49" s="1" t="s">
        <x:v>265</x:v>
      </x:c>
      <x:c r="G49" s="1" t="s">
        <x:v>97</x:v>
      </x:c>
      <x:c r="H49" s="1" t="s">
        <x:v>786</x:v>
      </x:c>
      <x:c r="I49" s="8" t="n">
        <x:f>SUMIFS('03_计算输入与公式'!$N$4:$N$164,'03_计算输入与公式'!$B$4:$B$164,A49)</x:f>
        <x:v>48837074</x:v>
      </x:c>
      <x:c r="J49" s="1" t="s">
        <x:v>819</x:v>
      </x:c>
      <x:c r="K49" s="1" t="s">
        <x:v>144</x:v>
      </x:c>
      <x:c r="L49" s="9" t="n">
        <x:f>IF(COUNTIFS('03_计算输入与公式'!$B$4:$B$164,A49,'03_计算输入与公式'!$D$4:$D$164,"comparison")=0,"",SUMIFS('03_计算输入与公式'!$J$4:$J$164,'03_计算输入与公式'!$B$4:$B$164,A49,'03_计算输入与公式'!$D$4:$D$164,"comparison"))</x:f>
        <x:v>48837074</x:v>
      </x:c>
      <x:c r="M49" s="10" t="s">
        <x:v>473</x:v>
      </x:c>
      <x:c r="N49" s="8">
        <x:f t="shared" si="11"/>
        <x:v>0</x:v>
      </x:c>
      <x:c r="O49" s="8">
        <x:f t="shared" si="12"/>
        <x:v>0</x:v>
      </x:c>
      <x:c r="P49" s="11">
        <x:f t="shared" si="13"/>
        <x:v>0</x:v>
      </x:c>
      <x:c r="Q49" s="1">
        <x:v>0</x:v>
      </x:c>
      <x:c r="R49" s="1" t="n">
        <x:f>L49-0.5</x:f>
        <x:v>48837073.5</x:v>
      </x:c>
      <x:c r="S49" s="1" t="n">
        <x:f>L49+0.5</x:f>
        <x:v>48837074.5</x:v>
      </x:c>
      <x:c r="T49" s="17" t="b">
        <x:v>1</x:v>
      </x:c>
      <x:c r="U49" s="1" t="s">
        <x:v>781</x:v>
      </x:c>
      <x:c r="V49" s="1" t="s">
        <x:v>790</x:v>
      </x:c>
      <x:c r="W49" s="1" t="s">
        <x:v>127</x:v>
      </x:c>
      <x:c r="X49" s="1" t="str">
        <x:v>确认通过－完全一致</x:v>
      </x:c>
      <x:c r="Y49" s="1" t="str">
        <x:v>用户确认总股本勾稽一致；逐股东滚动沿用阶段六完整快照。</x:v>
      </x:c>
      <x:c r="Z49" s="1" t="s">
        <x:v>249</x:v>
      </x:c>
      <x:c r="AA49" s="1" t="s">
        <x:v>250</x:v>
      </x:c>
      <x:c r="AB49" s="1" t="s">
        <x:v>251</x:v>
      </x:c>
      <x:c r="AC49" s="1" t="s">
        <x:v>456</x:v>
      </x:c>
      <x:c r="AD49" s="1" t="s">
        <x:v>266</x:v>
      </x:c>
    </x:row>
    <x:row r="50" ht="28">
      <x:c r="A50" s="1" t="s">
        <x:v>267</x:v>
      </x:c>
      <x:c r="B50" s="1" t="s">
        <x:v>268</x:v>
      </x:c>
      <x:c r="C50" s="1" t="s">
        <x:v>269</x:v>
      </x:c>
      <x:c r="D50" s="1" t="s">
        <x:v>270</x:v>
      </x:c>
      <x:c r="E50" s="1" t="s">
        <x:v>271</x:v>
      </x:c>
      <x:c r="F50" s="1" t="s">
        <x:v>272</x:v>
      </x:c>
      <x:c r="G50" s="1" t="s">
        <x:v>97</x:v>
      </x:c>
      <x:c r="H50" s="1" t="s">
        <x:v>786</x:v>
      </x:c>
      <x:c r="I50" s="8" t="n">
        <x:f>SUMIFS('03_计算输入与公式'!$N$4:$N$164,'03_计算输入与公式'!$B$4:$B$164,A50)</x:f>
        <x:v>0</x:v>
      </x:c>
      <x:c r="J50" s="1" t="s">
        <x:v>792</x:v>
      </x:c>
      <x:c r="K50" s="1" t="s">
        <x:v>144</x:v>
      </x:c>
      <x:c r="L50" s="9" t="n">
        <x:f>IF(COUNTIFS('03_计算输入与公式'!$B$4:$B$164,A50,'03_计算输入与公式'!$D$4:$D$164,"comparison")=0,"",SUMIFS('03_计算输入与公式'!$J$4:$J$164,'03_计算输入与公式'!$B$4:$B$164,A50,'03_计算输入与公式'!$D$4:$D$164,"comparison"))</x:f>
        <x:v>0</x:v>
      </x:c>
      <x:c r="M50" s="10" t="s">
        <x:v>268</x:v>
      </x:c>
      <x:c r="N50" s="8">
        <x:f t="shared" si="11"/>
        <x:v>0</x:v>
      </x:c>
      <x:c r="O50" s="8">
        <x:f t="shared" si="12"/>
        <x:v>0</x:v>
      </x:c>
      <x:c r="P50" s="11" t="str">
        <x:f t="shared" si="13"/>
      </x:c>
      <x:c r="Q50" s="1">
        <x:v>0</x:v>
      </x:c>
      <x:c r="R50" s="1" t="n">
        <x:f>L50-0.5</x:f>
        <x:v>-0.5</x:v>
      </x:c>
      <x:c r="S50" s="1" t="n">
        <x:f>L50+0.5</x:f>
        <x:v>0.5</x:v>
      </x:c>
      <x:c r="T50" s="17" t="b">
        <x:v>1</x:v>
      </x:c>
      <x:c r="U50" s="1" t="s">
        <x:v>781</x:v>
      </x:c>
      <x:c r="V50" s="1" t="s">
        <x:v>782</x:v>
      </x:c>
      <x:c r="W50" s="1" t="s">
        <x:v>70</x:v>
      </x:c>
      <x:c r="X50" s="1" t="str">
        <x:v>确认通过－完全一致</x:v>
      </x:c>
      <x:c r="Y50" s="1" t="str">
        <x:v>自动校验结果已验收。</x:v>
      </x:c>
      <x:c r="Z50" s="1" t="s">
        <x:v>273</x:v>
      </x:c>
      <x:c r="AA50" s="1" t="s">
        <x:v>274</x:v>
      </x:c>
      <x:c r="AB50" s="1" t="s">
        <x:v>275</x:v>
      </x:c>
      <x:c r="AC50" s="1" t="s">
        <x:v>478</x:v>
      </x:c>
      <x:c r="AD50" s="1" t="s">
        <x:v>276</x:v>
      </x:c>
    </x:row>
    <x:row r="51" ht="28">
      <x:c r="A51" s="1" t="s">
        <x:v>277</x:v>
      </x:c>
      <x:c r="B51" s="1" t="s">
        <x:v>278</x:v>
      </x:c>
      <x:c r="C51" s="1" t="s">
        <x:v>279</x:v>
      </x:c>
      <x:c r="D51" s="1" t="s">
        <x:v>280</x:v>
      </x:c>
      <x:c r="E51" s="1" t="s">
        <x:v>65</x:v>
      </x:c>
      <x:c r="F51" s="1" t="s">
        <x:v>281</x:v>
      </x:c>
      <x:c r="G51" s="1" t="s">
        <x:v>67</x:v>
      </x:c>
      <x:c r="H51" s="1" t="s">
        <x:v>779</x:v>
      </x:c>
      <x:c r="I51" s="8" t="n">
        <x:f>SUMIFS('03_计算输入与公式'!$J$4:$J$164,'03_计算输入与公式'!$B$4:$B$164,A51,'03_计算输入与公式'!$D$4:$D$164,"numerator")/SUMIFS('03_计算输入与公式'!$J$4:$J$164,'03_计算输入与公式'!$B$4:$B$164,A51,'03_计算输入与公式'!$D$4:$D$164,"denominator")*100</x:f>
        <x:v>44.48</x:v>
      </x:c>
      <x:c r="J51" s="1" t="s">
        <x:v>820</x:v>
      </x:c>
      <x:c r="K51" s="1" t="s">
        <x:v>68</x:v>
      </x:c>
      <x:c r="L51" s="9" t="n">
        <x:f>IF(COUNTIFS('03_计算输入与公式'!$B$4:$B$164,A51,'03_计算输入与公式'!$D$4:$D$164,"comparison")=0,"",SUMIFS('03_计算输入与公式'!$J$4:$J$164,'03_计算输入与公式'!$B$4:$B$164,A51,'03_计算输入与公式'!$D$4:$D$164,"comparison"))</x:f>
        <x:v>44.48</x:v>
      </x:c>
      <x:c r="M51" s="10" t="s">
        <x:v>488</x:v>
      </x:c>
      <x:c r="N51" s="8">
        <x:f t="shared" si="11"/>
        <x:v>0</x:v>
      </x:c>
      <x:c r="O51" s="8">
        <x:f t="shared" si="12"/>
        <x:v>0</x:v>
      </x:c>
      <x:c r="P51" s="11">
        <x:f t="shared" si="13"/>
        <x:v>0</x:v>
      </x:c>
      <x:c r="Q51" s="1">
        <x:v>2</x:v>
      </x:c>
      <x:c r="R51" s="1" t="n">
        <x:f t="shared" ref="R51:R58" si="14">L51-0.005</x:f>
        <x:v>44.474999999999994</x:v>
      </x:c>
      <x:c r="S51" s="1" t="n">
        <x:f t="shared" ref="S51:S58" si="15">L51+0.005</x:f>
        <x:v>44.485</x:v>
      </x:c>
      <x:c r="T51" s="17" t="b">
        <x:v>1</x:v>
      </x:c>
      <x:c r="U51" s="1" t="s">
        <x:v>781</x:v>
      </x:c>
      <x:c r="V51" s="1" t="s">
        <x:v>782</x:v>
      </x:c>
      <x:c r="W51" s="1" t="s">
        <x:v>70</x:v>
      </x:c>
      <x:c r="X51" s="1" t="str">
        <x:v>确认通过－完全一致</x:v>
      </x:c>
      <x:c r="Y51" s="1" t="str">
        <x:v>自动校验结果已验收。</x:v>
      </x:c>
      <x:c r="Z51" s="1" t="s">
        <x:v>282</x:v>
      </x:c>
      <x:c r="AA51" s="1" t="s">
        <x:v>283</x:v>
      </x:c>
      <x:c r="AB51" s="1" t="s">
        <x:v>284</x:v>
      </x:c>
      <x:c r="AC51" s="1" t="s">
        <x:v>483</x:v>
      </x:c>
      <x:c r="AD51" s="1" t="s">
        <x:v>285</x:v>
      </x:c>
    </x:row>
    <x:row r="52" ht="28">
      <x:c r="A52" s="1" t="s">
        <x:v>286</x:v>
      </x:c>
      <x:c r="B52" s="1" t="s">
        <x:v>278</x:v>
      </x:c>
      <x:c r="C52" s="1" t="s">
        <x:v>279</x:v>
      </x:c>
      <x:c r="D52" s="1" t="s">
        <x:v>280</x:v>
      </x:c>
      <x:c r="E52" s="1" t="s">
        <x:v>65</x:v>
      </x:c>
      <x:c r="F52" s="1" t="s">
        <x:v>287</x:v>
      </x:c>
      <x:c r="G52" s="1" t="s">
        <x:v>67</x:v>
      </x:c>
      <x:c r="H52" s="1" t="s">
        <x:v>779</x:v>
      </x:c>
      <x:c r="I52" s="8" t="n">
        <x:f>SUMIFS('03_计算输入与公式'!$J$4:$J$164,'03_计算输入与公式'!$B$4:$B$164,A52,'03_计算输入与公式'!$D$4:$D$164,"numerator")/SUMIFS('03_计算输入与公式'!$J$4:$J$164,'03_计算输入与公式'!$B$4:$B$164,A52,'03_计算输入与公式'!$D$4:$D$164,"denominator")*100</x:f>
        <x:v>18.5334</x:v>
      </x:c>
      <x:c r="J52" s="1" t="s">
        <x:v>821</x:v>
      </x:c>
      <x:c r="K52" s="1" t="s">
        <x:v>68</x:v>
      </x:c>
      <x:c r="L52" s="9" t="n">
        <x:f>IF(COUNTIFS('03_计算输入与公式'!$B$4:$B$164,A52,'03_计算输入与公式'!$D$4:$D$164,"comparison")=0,"",SUMIFS('03_计算输入与公式'!$J$4:$J$164,'03_计算输入与公式'!$B$4:$B$164,A52,'03_计算输入与公式'!$D$4:$D$164,"comparison"))</x:f>
        <x:v>18.53</x:v>
      </x:c>
      <x:c r="M52" s="10" t="s">
        <x:v>492</x:v>
      </x:c>
      <x:c r="N52" s="8">
        <x:f t="shared" si="11"/>
        <x:v>3.3999999999999998E-3</x:v>
      </x:c>
      <x:c r="O52" s="8">
        <x:f t="shared" si="12"/>
        <x:v>3.3999999999999998E-3</x:v>
      </x:c>
      <x:c r="P52" s="11">
        <x:f t="shared" si="13"/>
        <x:v>1.8348623853211006E-4</x:v>
      </x:c>
      <x:c r="Q52" s="1">
        <x:v>2</x:v>
      </x:c>
      <x:c r="R52" s="1">
        <x:f t="shared" si="14"/>
        <x:v>18.525000000000002</x:v>
      </x:c>
      <x:c r="S52" s="1">
        <x:f t="shared" si="15"/>
        <x:v>18.535</x:v>
      </x:c>
      <x:c r="T52" s="17" t="b">
        <x:v>1</x:v>
      </x:c>
      <x:c r="U52" s="1" t="s">
        <x:v>822</x:v>
      </x:c>
      <x:c r="V52" s="1" t="s">
        <x:v>782</x:v>
      </x:c>
      <x:c r="W52" s="1" t="s">
        <x:v>70</x:v>
      </x:c>
      <x:c r="X52" s="1" t="str">
        <x:v>确认通过－舍入一致</x:v>
      </x:c>
      <x:c r="Y52" s="1" t="str">
        <x:v>自动校验结果已验收。</x:v>
      </x:c>
      <x:c r="Z52" s="1" t="s">
        <x:v>282</x:v>
      </x:c>
      <x:c r="AA52" s="1" t="s">
        <x:v>283</x:v>
      </x:c>
      <x:c r="AB52" s="1" t="s">
        <x:v>284</x:v>
      </x:c>
      <x:c r="AC52" s="1" t="s">
        <x:v>483</x:v>
      </x:c>
      <x:c r="AD52" s="1" t="s">
        <x:v>285</x:v>
      </x:c>
    </x:row>
    <x:row r="53" ht="28">
      <x:c r="A53" s="1" t="s">
        <x:v>288</x:v>
      </x:c>
      <x:c r="B53" s="1" t="s">
        <x:v>278</x:v>
      </x:c>
      <x:c r="C53" s="1" t="s">
        <x:v>279</x:v>
      </x:c>
      <x:c r="D53" s="1" t="s">
        <x:v>280</x:v>
      </x:c>
      <x:c r="E53" s="1" t="s">
        <x:v>65</x:v>
      </x:c>
      <x:c r="F53" s="1" t="s">
        <x:v>289</x:v>
      </x:c>
      <x:c r="G53" s="1" t="s">
        <x:v>67</x:v>
      </x:c>
      <x:c r="H53" s="1" t="s">
        <x:v>779</x:v>
      </x:c>
      <x:c r="I53" s="8" t="n">
        <x:f>SUMIFS('03_计算输入与公式'!$J$4:$J$164,'03_计算输入与公式'!$B$4:$B$164,A53,'03_计算输入与公式'!$D$4:$D$164,"numerator")/SUMIFS('03_计算输入与公式'!$J$4:$J$164,'03_计算输入与公式'!$B$4:$B$164,A53,'03_计算输入与公式'!$D$4:$D$164,"denominator")*100</x:f>
        <x:v>12.509999999999998</x:v>
      </x:c>
      <x:c r="J53" s="1" t="s">
        <x:v>823</x:v>
      </x:c>
      <x:c r="K53" s="1" t="s">
        <x:v>68</x:v>
      </x:c>
      <x:c r="L53" s="9" t="n">
        <x:f>IF(COUNTIFS('03_计算输入与公式'!$B$4:$B$164,A53,'03_计算输入与公式'!$D$4:$D$164,"comparison")=0,"",SUMIFS('03_计算输入与公式'!$J$4:$J$164,'03_计算输入与公式'!$B$4:$B$164,A53,'03_计算输入与公式'!$D$4:$D$164,"comparison"))</x:f>
        <x:v>12.51</x:v>
      </x:c>
      <x:c r="M53" s="10" t="s">
        <x:v>496</x:v>
      </x:c>
      <x:c r="N53" s="8">
        <x:f t="shared" si="11"/>
        <x:v>0</x:v>
      </x:c>
      <x:c r="O53" s="8">
        <x:f t="shared" si="12"/>
        <x:v>0</x:v>
      </x:c>
      <x:c r="P53" s="11">
        <x:f t="shared" si="13"/>
        <x:v>0</x:v>
      </x:c>
      <x:c r="Q53" s="1">
        <x:v>2</x:v>
      </x:c>
      <x:c r="R53" s="1">
        <x:f t="shared" si="14"/>
        <x:v>12.504999999999999</x:v>
      </x:c>
      <x:c r="S53" s="1">
        <x:f t="shared" si="15"/>
        <x:v>12.515000000000001</x:v>
      </x:c>
      <x:c r="T53" s="17" t="b">
        <x:v>1</x:v>
      </x:c>
      <x:c r="U53" s="1" t="s">
        <x:v>781</x:v>
      </x:c>
      <x:c r="V53" s="1" t="s">
        <x:v>782</x:v>
      </x:c>
      <x:c r="W53" s="1" t="s">
        <x:v>70</x:v>
      </x:c>
      <x:c r="X53" s="1" t="str">
        <x:v>确认通过－完全一致</x:v>
      </x:c>
      <x:c r="Y53" s="1" t="str">
        <x:v>自动校验结果已验收。</x:v>
      </x:c>
      <x:c r="Z53" s="1" t="s">
        <x:v>282</x:v>
      </x:c>
      <x:c r="AA53" s="1" t="s">
        <x:v>283</x:v>
      </x:c>
      <x:c r="AB53" s="1" t="s">
        <x:v>284</x:v>
      </x:c>
      <x:c r="AC53" s="1" t="s">
        <x:v>483</x:v>
      </x:c>
      <x:c r="AD53" s="1" t="s">
        <x:v>285</x:v>
      </x:c>
    </x:row>
    <x:row r="54" ht="28">
      <x:c r="A54" s="1" t="s">
        <x:v>290</x:v>
      </x:c>
      <x:c r="B54" s="1" t="s">
        <x:v>278</x:v>
      </x:c>
      <x:c r="C54" s="1" t="s">
        <x:v>279</x:v>
      </x:c>
      <x:c r="D54" s="1" t="s">
        <x:v>280</x:v>
      </x:c>
      <x:c r="E54" s="1" t="s">
        <x:v>65</x:v>
      </x:c>
      <x:c r="F54" s="1" t="s">
        <x:v>291</x:v>
      </x:c>
      <x:c r="G54" s="1" t="s">
        <x:v>67</x:v>
      </x:c>
      <x:c r="H54" s="1" t="s">
        <x:v>779</x:v>
      </x:c>
      <x:c r="I54" s="8" t="n">
        <x:f>SUMIFS('03_计算输入与公式'!$J$4:$J$164,'03_计算输入与公式'!$B$4:$B$164,A54,'03_计算输入与公式'!$D$4:$D$164,"numerator")/SUMIFS('03_计算输入与公式'!$J$4:$J$164,'03_计算输入与公式'!$B$4:$B$164,A54,'03_计算输入与公式'!$D$4:$D$164,"denominator")*100</x:f>
        <x:v>7.0883</x:v>
      </x:c>
      <x:c r="J54" s="1" t="s">
        <x:v>824</x:v>
      </x:c>
      <x:c r="K54" s="1" t="s">
        <x:v>68</x:v>
      </x:c>
      <x:c r="L54" s="9" t="n">
        <x:f>IF(COUNTIFS('03_计算输入与公式'!$B$4:$B$164,A54,'03_计算输入与公式'!$D$4:$D$164,"comparison")=0,"",SUMIFS('03_计算输入与公式'!$J$4:$J$164,'03_计算输入与公式'!$B$4:$B$164,A54,'03_计算输入与公式'!$D$4:$D$164,"comparison"))</x:f>
        <x:v>7.09</x:v>
      </x:c>
      <x:c r="M54" s="10" t="s">
        <x:v>500</x:v>
      </x:c>
      <x:c r="N54" s="8">
        <x:f t="shared" si="11"/>
        <x:v>-1.6999999999999999E-3</x:v>
      </x:c>
      <x:c r="O54" s="8">
        <x:f t="shared" si="12"/>
        <x:v>1.6999999999999999E-3</x:v>
      </x:c>
      <x:c r="P54" s="11">
        <x:f t="shared" si="13"/>
        <x:v>2.3977433004231311E-4</x:v>
      </x:c>
      <x:c r="Q54" s="1">
        <x:v>2</x:v>
      </x:c>
      <x:c r="R54" s="1">
        <x:f t="shared" si="14"/>
        <x:v>7.085</x:v>
      </x:c>
      <x:c r="S54" s="1">
        <x:f t="shared" si="15"/>
        <x:v>7.0949999999999998</x:v>
      </x:c>
      <x:c r="T54" s="17" t="b">
        <x:v>1</x:v>
      </x:c>
      <x:c r="U54" s="1" t="s">
        <x:v>822</x:v>
      </x:c>
      <x:c r="V54" s="1" t="s">
        <x:v>782</x:v>
      </x:c>
      <x:c r="W54" s="1" t="s">
        <x:v>70</x:v>
      </x:c>
      <x:c r="X54" s="1" t="str">
        <x:v>确认通过－舍入一致</x:v>
      </x:c>
      <x:c r="Y54" s="1" t="str">
        <x:v>自动校验结果已验收。</x:v>
      </x:c>
      <x:c r="Z54" s="1" t="s">
        <x:v>282</x:v>
      </x:c>
      <x:c r="AA54" s="1" t="s">
        <x:v>283</x:v>
      </x:c>
      <x:c r="AB54" s="1" t="s">
        <x:v>284</x:v>
      </x:c>
      <x:c r="AC54" s="1" t="s">
        <x:v>483</x:v>
      </x:c>
      <x:c r="AD54" s="1" t="s">
        <x:v>285</x:v>
      </x:c>
    </x:row>
    <x:row r="55" ht="28">
      <x:c r="A55" s="1" t="s">
        <x:v>292</x:v>
      </x:c>
      <x:c r="B55" s="1" t="s">
        <x:v>278</x:v>
      </x:c>
      <x:c r="C55" s="1" t="s">
        <x:v>279</x:v>
      </x:c>
      <x:c r="D55" s="1" t="s">
        <x:v>280</x:v>
      </x:c>
      <x:c r="E55" s="1" t="s">
        <x:v>65</x:v>
      </x:c>
      <x:c r="F55" s="1" t="s">
        <x:v>293</x:v>
      </x:c>
      <x:c r="G55" s="1" t="s">
        <x:v>67</x:v>
      </x:c>
      <x:c r="H55" s="1" t="s">
        <x:v>779</x:v>
      </x:c>
      <x:c r="I55" s="8" t="n">
        <x:f>SUMIFS('03_计算输入与公式'!$J$4:$J$164,'03_计算输入与公式'!$B$4:$B$164,A55,'03_计算输入与公式'!$D$4:$D$164,"numerator")/SUMIFS('03_计算输入与公式'!$J$4:$J$164,'03_计算输入与公式'!$B$4:$B$164,A55,'03_计算输入与公式'!$D$4:$D$164,"denominator")*100</x:f>
        <x:v>6.254999999999999</x:v>
      </x:c>
      <x:c r="J55" s="1" t="s">
        <x:v>825</x:v>
      </x:c>
      <x:c r="K55" s="1" t="s">
        <x:v>68</x:v>
      </x:c>
      <x:c r="L55" s="9" t="n">
        <x:f>IF(COUNTIFS('03_计算输入与公式'!$B$4:$B$164,A55,'03_计算输入与公式'!$D$4:$D$164,"comparison")=0,"",SUMIFS('03_计算输入与公式'!$J$4:$J$164,'03_计算输入与公式'!$B$4:$B$164,A55,'03_计算输入与公式'!$D$4:$D$164,"comparison"))</x:f>
        <x:v>6.26</x:v>
      </x:c>
      <x:c r="M55" s="10" t="s">
        <x:v>504</x:v>
      </x:c>
      <x:c r="N55" s="8">
        <x:f t="shared" si="11"/>
        <x:v>-5.0000000000000001E-3</x:v>
      </x:c>
      <x:c r="O55" s="8">
        <x:f t="shared" si="12"/>
        <x:v>5.0000000000000001E-3</x:v>
      </x:c>
      <x:c r="P55" s="11">
        <x:f t="shared" si="13"/>
        <x:v>7.9872204472843458E-4</x:v>
      </x:c>
      <x:c r="Q55" s="1">
        <x:v>2</x:v>
      </x:c>
      <x:c r="R55" s="1">
        <x:f t="shared" si="14"/>
        <x:v>6.2549999999999999</x:v>
      </x:c>
      <x:c r="S55" s="1">
        <x:f t="shared" si="15"/>
        <x:v>6.2649999999999997</x:v>
      </x:c>
      <x:c r="T55" s="17" t="b">
        <x:v>1</x:v>
      </x:c>
      <x:c r="U55" s="1" t="s">
        <x:v>822</x:v>
      </x:c>
      <x:c r="V55" s="1" t="s">
        <x:v>782</x:v>
      </x:c>
      <x:c r="W55" s="1" t="s">
        <x:v>70</x:v>
      </x:c>
      <x:c r="X55" s="1" t="str">
        <x:v>确认通过－舍入一致</x:v>
      </x:c>
      <x:c r="Y55" s="1" t="str">
        <x:v>自动校验结果已验收。</x:v>
      </x:c>
      <x:c r="Z55" s="1" t="s">
        <x:v>282</x:v>
      </x:c>
      <x:c r="AA55" s="1" t="s">
        <x:v>283</x:v>
      </x:c>
      <x:c r="AB55" s="1" t="s">
        <x:v>284</x:v>
      </x:c>
      <x:c r="AC55" s="1" t="s">
        <x:v>483</x:v>
      </x:c>
      <x:c r="AD55" s="1" t="s">
        <x:v>285</x:v>
      </x:c>
    </x:row>
    <x:row r="56" ht="28">
      <x:c r="A56" s="1" t="s">
        <x:v>294</x:v>
      </x:c>
      <x:c r="B56" s="1" t="s">
        <x:v>278</x:v>
      </x:c>
      <x:c r="C56" s="1" t="s">
        <x:v>279</x:v>
      </x:c>
      <x:c r="D56" s="1" t="s">
        <x:v>280</x:v>
      </x:c>
      <x:c r="E56" s="1" t="s">
        <x:v>65</x:v>
      </x:c>
      <x:c r="F56" s="1" t="s">
        <x:v>295</x:v>
      </x:c>
      <x:c r="G56" s="1" t="s">
        <x:v>67</x:v>
      </x:c>
      <x:c r="H56" s="1" t="s">
        <x:v>779</x:v>
      </x:c>
      <x:c r="I56" s="8" t="n">
        <x:f>SUMIFS('03_计算输入与公式'!$J$4:$J$164,'03_计算输入与公式'!$B$4:$B$164,A56,'03_计算输入与公式'!$D$4:$D$164,"numerator")/SUMIFS('03_计算输入与公式'!$J$4:$J$164,'03_计算输入与公式'!$B$4:$B$164,A56,'03_计算输入与公式'!$D$4:$D$164,"denominator")*100</x:f>
        <x:v>4.6334</x:v>
      </x:c>
      <x:c r="J56" s="1" t="s">
        <x:v>826</x:v>
      </x:c>
      <x:c r="K56" s="1" t="s">
        <x:v>68</x:v>
      </x:c>
      <x:c r="L56" s="9" t="n">
        <x:f>IF(COUNTIFS('03_计算输入与公式'!$B$4:$B$164,A56,'03_计算输入与公式'!$D$4:$D$164,"comparison")=0,"",SUMIFS('03_计算输入与公式'!$J$4:$J$164,'03_计算输入与公式'!$B$4:$B$164,A56,'03_计算输入与公式'!$D$4:$D$164,"comparison"))</x:f>
        <x:v>4.63</x:v>
      </x:c>
      <x:c r="M56" s="10" t="s">
        <x:v>508</x:v>
      </x:c>
      <x:c r="N56" s="8">
        <x:f t="shared" si="11"/>
        <x:v>3.3999999999999998E-3</x:v>
      </x:c>
      <x:c r="O56" s="8">
        <x:f t="shared" si="12"/>
        <x:v>3.3999999999999998E-3</x:v>
      </x:c>
      <x:c r="P56" s="11">
        <x:f t="shared" si="13"/>
        <x:v>7.3434125269978396E-4</x:v>
      </x:c>
      <x:c r="Q56" s="1">
        <x:v>2</x:v>
      </x:c>
      <x:c r="R56" s="1">
        <x:f t="shared" si="14"/>
        <x:v>4.625</x:v>
      </x:c>
      <x:c r="S56" s="1">
        <x:f t="shared" si="15"/>
        <x:v>4.6349999999999998</x:v>
      </x:c>
      <x:c r="T56" s="17" t="b">
        <x:v>1</x:v>
      </x:c>
      <x:c r="U56" s="1" t="s">
        <x:v>822</x:v>
      </x:c>
      <x:c r="V56" s="1" t="s">
        <x:v>782</x:v>
      </x:c>
      <x:c r="W56" s="1" t="s">
        <x:v>70</x:v>
      </x:c>
      <x:c r="X56" s="1" t="str">
        <x:v>确认通过－舍入一致</x:v>
      </x:c>
      <x:c r="Y56" s="1" t="str">
        <x:v>自动校验结果已验收。</x:v>
      </x:c>
      <x:c r="Z56" s="1" t="s">
        <x:v>282</x:v>
      </x:c>
      <x:c r="AA56" s="1" t="s">
        <x:v>283</x:v>
      </x:c>
      <x:c r="AB56" s="1" t="s">
        <x:v>284</x:v>
      </x:c>
      <x:c r="AC56" s="1" t="s">
        <x:v>483</x:v>
      </x:c>
      <x:c r="AD56" s="1" t="s">
        <x:v>285</x:v>
      </x:c>
    </x:row>
    <x:row r="57" ht="28">
      <x:c r="A57" s="1" t="s">
        <x:v>296</x:v>
      </x:c>
      <x:c r="B57" s="1" t="s">
        <x:v>278</x:v>
      </x:c>
      <x:c r="C57" s="1" t="s">
        <x:v>279</x:v>
      </x:c>
      <x:c r="D57" s="1" t="s">
        <x:v>280</x:v>
      </x:c>
      <x:c r="E57" s="1" t="s">
        <x:v>65</x:v>
      </x:c>
      <x:c r="F57" s="1" t="s">
        <x:v>297</x:v>
      </x:c>
      <x:c r="G57" s="1" t="s">
        <x:v>67</x:v>
      </x:c>
      <x:c r="H57" s="1" t="s">
        <x:v>779</x:v>
      </x:c>
      <x:c r="I57" s="8" t="n">
        <x:f>SUMIFS('03_计算输入与公式'!$J$4:$J$164,'03_计算输入与公式'!$B$4:$B$164,A57,'03_计算输入与公式'!$D$4:$D$164,"numerator")/SUMIFS('03_计算输入与公式'!$J$4:$J$164,'03_计算输入与公式'!$B$4:$B$164,A57,'03_计算输入与公式'!$D$4:$D$164,"denominator")*100</x:f>
        <x:v>2.3333</x:v>
      </x:c>
      <x:c r="J57" s="1" t="s">
        <x:v>827</x:v>
      </x:c>
      <x:c r="K57" s="1" t="s">
        <x:v>68</x:v>
      </x:c>
      <x:c r="L57" s="9" t="n">
        <x:f>IF(COUNTIFS('03_计算输入与公式'!$B$4:$B$164,A57,'03_计算输入与公式'!$D$4:$D$164,"comparison")=0,"",SUMIFS('03_计算输入与公式'!$J$4:$J$164,'03_计算输入与公式'!$B$4:$B$164,A57,'03_计算输入与公式'!$D$4:$D$164,"comparison"))</x:f>
        <x:v>2.33</x:v>
      </x:c>
      <x:c r="M57" s="10" t="s">
        <x:v>512</x:v>
      </x:c>
      <x:c r="N57" s="8">
        <x:f t="shared" si="11"/>
        <x:v>3.3E-3</x:v>
      </x:c>
      <x:c r="O57" s="8">
        <x:f t="shared" si="12"/>
        <x:v>3.3E-3</x:v>
      </x:c>
      <x:c r="P57" s="11">
        <x:f t="shared" si="13"/>
        <x:v>1.4163090128755365E-3</x:v>
      </x:c>
      <x:c r="Q57" s="1">
        <x:v>2</x:v>
      </x:c>
      <x:c r="R57" s="1">
        <x:f t="shared" si="14"/>
        <x:v>2.3250000000000002</x:v>
      </x:c>
      <x:c r="S57" s="1">
        <x:f t="shared" si="15"/>
        <x:v>2.335</x:v>
      </x:c>
      <x:c r="T57" s="17" t="b">
        <x:v>1</x:v>
      </x:c>
      <x:c r="U57" s="1" t="s">
        <x:v>822</x:v>
      </x:c>
      <x:c r="V57" s="1" t="s">
        <x:v>782</x:v>
      </x:c>
      <x:c r="W57" s="1" t="s">
        <x:v>70</x:v>
      </x:c>
      <x:c r="X57" s="1" t="str">
        <x:v>确认通过－舍入一致</x:v>
      </x:c>
      <x:c r="Y57" s="1" t="str">
        <x:v>自动校验结果已验收。</x:v>
      </x:c>
      <x:c r="Z57" s="1" t="s">
        <x:v>282</x:v>
      </x:c>
      <x:c r="AA57" s="1" t="s">
        <x:v>283</x:v>
      </x:c>
      <x:c r="AB57" s="1" t="s">
        <x:v>284</x:v>
      </x:c>
      <x:c r="AC57" s="1" t="s">
        <x:v>483</x:v>
      </x:c>
      <x:c r="AD57" s="1" t="s">
        <x:v>285</x:v>
      </x:c>
    </x:row>
    <x:row r="58" ht="28">
      <x:c r="A58" s="1" t="s">
        <x:v>298</x:v>
      </x:c>
      <x:c r="B58" s="1" t="s">
        <x:v>278</x:v>
      </x:c>
      <x:c r="C58" s="1" t="s">
        <x:v>279</x:v>
      </x:c>
      <x:c r="D58" s="1" t="s">
        <x:v>280</x:v>
      </x:c>
      <x:c r="E58" s="1" t="s">
        <x:v>65</x:v>
      </x:c>
      <x:c r="F58" s="1" t="s">
        <x:v>299</x:v>
      </x:c>
      <x:c r="G58" s="1" t="s">
        <x:v>67</x:v>
      </x:c>
      <x:c r="H58" s="1" t="s">
        <x:v>779</x:v>
      </x:c>
      <x:c r="I58" s="8" t="n">
        <x:f>SUMIFS('03_计算输入与公式'!$J$4:$J$164,'03_计算输入与公式'!$B$4:$B$164,A58,'03_计算输入与公式'!$D$4:$D$164,"numerator")/SUMIFS('03_计算输入与公式'!$J$4:$J$164,'03_计算输入与公式'!$B$4:$B$164,A58,'03_计算输入与公式'!$D$4:$D$164,"denominator")*100</x:f>
        <x:v>1.6667</x:v>
      </x:c>
      <x:c r="J58" s="1" t="s">
        <x:v>828</x:v>
      </x:c>
      <x:c r="K58" s="1" t="s">
        <x:v>68</x:v>
      </x:c>
      <x:c r="L58" s="9" t="n">
        <x:f>IF(COUNTIFS('03_计算输入与公式'!$B$4:$B$164,A58,'03_计算输入与公式'!$D$4:$D$164,"comparison")=0,"",SUMIFS('03_计算输入与公式'!$J$4:$J$164,'03_计算输入与公式'!$B$4:$B$164,A58,'03_计算输入与公式'!$D$4:$D$164,"comparison"))</x:f>
        <x:v>1.67</x:v>
      </x:c>
      <x:c r="M58" s="10" t="s">
        <x:v>515</x:v>
      </x:c>
      <x:c r="N58" s="8">
        <x:f t="shared" si="11"/>
        <x:v>-3.3E-3</x:v>
      </x:c>
      <x:c r="O58" s="8">
        <x:f t="shared" si="12"/>
        <x:v>3.3E-3</x:v>
      </x:c>
      <x:c r="P58" s="11">
        <x:f t="shared" si="13"/>
        <x:v>1.9760479041916169E-3</x:v>
      </x:c>
      <x:c r="Q58" s="1">
        <x:v>2</x:v>
      </x:c>
      <x:c r="R58" s="1">
        <x:f t="shared" si="14"/>
        <x:v>1.665</x:v>
      </x:c>
      <x:c r="S58" s="1">
        <x:f t="shared" si="15"/>
        <x:v>1.6749999999999998</x:v>
      </x:c>
      <x:c r="T58" s="17" t="b">
        <x:v>1</x:v>
      </x:c>
      <x:c r="U58" s="1" t="s">
        <x:v>822</x:v>
      </x:c>
      <x:c r="V58" s="1" t="s">
        <x:v>782</x:v>
      </x:c>
      <x:c r="W58" s="1" t="s">
        <x:v>70</x:v>
      </x:c>
      <x:c r="X58" s="1" t="str">
        <x:v>确认通过－舍入一致</x:v>
      </x:c>
      <x:c r="Y58" s="1" t="str">
        <x:v>自动校验结果已验收。</x:v>
      </x:c>
      <x:c r="Z58" s="1" t="s">
        <x:v>282</x:v>
      </x:c>
      <x:c r="AA58" s="1" t="s">
        <x:v>283</x:v>
      </x:c>
      <x:c r="AB58" s="1" t="s">
        <x:v>284</x:v>
      </x:c>
      <x:c r="AC58" s="1" t="s">
        <x:v>483</x:v>
      </x:c>
      <x:c r="AD58" s="1" t="s">
        <x:v>285</x:v>
      </x:c>
    </x:row>
  </x:sheetData>
  <x:mergeCells>
    <x:mergeCell ref="A1:AD1"/>
  </x:mergeCells>
  <x:conditionalFormatting sqref="U4:U58">
    <x:cfRule type="expression" dxfId="3" priority="1">
      <x:formula>OR(U4="difference_detected",U4="pending_manual_review")</x:formula>
    </x:cfRule>
    <x:cfRule type="expression" dxfId="2" priority="2">
      <x:formula>OR(U4="exact_match",U4="rounding_consistent",U4="rounding_or_approx_consistent")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9b0175bfb84269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30" customWidth="1"/>
    <x:col min="2" max="2" width="18" customWidth="1"/>
    <x:col min="3" max="3" width="10" customWidth="1"/>
    <x:col min="4" max="5" width="18" customWidth="1"/>
    <x:col min="6" max="7" width="10" customWidth="1"/>
    <x:col min="8" max="8" width="40" customWidth="1"/>
  </x:cols>
  <x:sheetData>
    <x:row r="1" ht="18.649999618530273" customHeight="1">
      <x:c r="A1" s="18" t="s">
        <x:v>829</x:v>
      </x:c>
      <x:c r="B1" s="18"/>
      <x:c r="C1" s="18"/>
      <x:c r="D1" s="18"/>
      <x:c r="E1" s="18"/>
      <x:c r="F1" s="18"/>
      <x:c r="G1" s="18"/>
      <x:c r="H1" s="18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1.399999618530273" customHeight="1">
      <x:c r="A3" s="5" t="s">
        <x:v>0</x:v>
      </x:c>
      <x:c r="B3" s="5" t="s">
        <x:v>830</x:v>
      </x:c>
      <x:c r="C3" s="5" t="s">
        <x:v>831</x:v>
      </x:c>
      <x:c r="D3" s="5" t="s">
        <x:v>19</x:v>
      </x:c>
      <x:c r="E3" s="5" t="s">
        <x:v>832</x:v>
      </x:c>
      <x:c r="F3" s="5" t="s">
        <x:v>833</x:v>
      </x:c>
      <x:c r="G3" s="5" t="s">
        <x:v>834</x:v>
      </x:c>
      <x:c r="H3" s="5" t="s">
        <x:v>835</x:v>
      </x:c>
    </x:row>
    <x:row r="4">
      <x:c r="A4" s="1" t="s">
        <x:v>836</x:v>
      </x:c>
      <x:c r="B4" s="13">
        <x:v>128.20500000000001</x:v>
      </x:c>
      <x:c r="C4" s="1" t="s">
        <x:v>85</x:v>
      </x:c>
      <x:c r="D4" s="1" t="s">
        <x:v>320</x:v>
      </x:c>
      <x:c r="E4" s="1" t="s">
        <x:v>356</x:v>
      </x:c>
      <x:c r="F4" s="1" t="s">
        <x:v>86</x:v>
      </x:c>
      <x:c r="G4" s="1" t="s">
        <x:v>87</x:v>
      </x:c>
      <x:c r="H4" s="1" t="s">
        <x:v>837</x:v>
      </x:c>
    </x:row>
    <x:row r="5">
      <x:c r="A5" s="1" t="s">
        <x:v>838</x:v>
      </x:c>
      <x:c r="B5" s="13">
        <x:v>8.7871400000000008</x:v>
      </x:c>
      <x:c r="C5" s="1" t="s">
        <x:v>85</x:v>
      </x:c>
      <x:c r="D5" s="1" t="s">
        <x:v>320</x:v>
      </x:c>
      <x:c r="E5" s="1" t="s">
        <x:v>361</x:v>
      </x:c>
      <x:c r="F5" s="1" t="s">
        <x:v>86</x:v>
      </x:c>
      <x:c r="G5" s="1" t="s">
        <x:v>87</x:v>
      </x:c>
      <x:c r="H5" s="1" t="s">
        <x:v>839</x:v>
      </x:c>
    </x:row>
    <x:row r="6">
      <x:c r="A6" s="1" t="s">
        <x:v>840</x:v>
      </x:c>
      <x:c r="B6" s="13">
        <x:v>136.9864</x:v>
      </x:c>
      <x:c r="C6" s="1" t="s">
        <x:v>85</x:v>
      </x:c>
      <x:c r="D6" s="1" t="s">
        <x:v>320</x:v>
      </x:c>
      <x:c r="E6" s="1" t="s">
        <x:v>365</x:v>
      </x:c>
      <x:c r="F6" s="1" t="s">
        <x:v>86</x:v>
      </x:c>
      <x:c r="G6" s="1" t="s">
        <x:v>87</x:v>
      </x:c>
      <x:c r="H6" s="1" t="s">
        <x:v>841</x:v>
      </x:c>
    </x:row>
    <x:row r="7">
      <x:c r="A7" s="1" t="s">
        <x:v>842</x:v>
      </x:c>
      <x:c r="B7" s="14" t="n">
        <x:f>ROUND(B4+B5,5)</x:f>
        <x:v>136.99214</x:v>
      </x:c>
      <x:c r="C7" s="1" t="s">
        <x:v>85</x:v>
      </x:c>
      <x:c r="D7" s="1" t="s">
        <x:v>843</x:v>
      </x:c>
      <x:c r="E7" s="1" t="s">
        <x:v>121</x:v>
      </x:c>
      <x:c r="F7" s="1" t="s">
        <x:v>86</x:v>
      </x:c>
      <x:c r="G7" s="1" t="s">
        <x:v>87</x:v>
      </x:c>
      <x:c r="H7" s="1" t="s">
        <x:v>844</x:v>
      </x:c>
    </x:row>
    <x:row r="8">
      <x:c r="A8" s="1" t="s">
        <x:v>845</x:v>
      </x:c>
      <x:c r="B8" s="14" t="n">
        <x:f>ROUND(B7-B6,5)</x:f>
        <x:v>0.00574</x:v>
      </x:c>
      <x:c r="C8" s="1" t="s">
        <x:v>85</x:v>
      </x:c>
      <x:c r="D8" s="1" t="s">
        <x:v>18</x:v>
      </x:c>
      <x:c r="E8" s="1" t="s">
        <x:v>121</x:v>
      </x:c>
      <x:c r="F8" s="1" t="s">
        <x:v>86</x:v>
      </x:c>
      <x:c r="G8" s="1" t="s">
        <x:v>87</x:v>
      </x:c>
      <x:c r="H8" s="1" t="s">
        <x:v>846</x:v>
      </x:c>
    </x:row>
    <x:row r="9">
      <x:c r="A9" s="1" t="s">
        <x:v>847</x:v>
      </x:c>
      <x:c r="B9" s="14" t="n">
        <x:f>ABS(B8)</x:f>
        <x:v>0.00574</x:v>
      </x:c>
      <x:c r="C9" s="1" t="s">
        <x:v>85</x:v>
      </x:c>
      <x:c r="D9" s="1" t="s">
        <x:v>18</x:v>
      </x:c>
      <x:c r="E9" s="1" t="s">
        <x:v>121</x:v>
      </x:c>
      <x:c r="F9" s="1" t="s">
        <x:v>86</x:v>
      </x:c>
      <x:c r="G9" s="1" t="s">
        <x:v>87</x:v>
      </x:c>
      <x:c r="H9" s="1" t="s">
        <x:v>848</x:v>
      </x:c>
    </x:row>
    <x:row r="10">
      <x:c r="A10" s="1" t="s">
        <x:v>849</x:v>
      </x:c>
      <x:c r="B10" s="14" t="n">
        <x:f>ROUND(B6-0.00005,5)</x:f>
        <x:v>136.98635</x:v>
      </x:c>
      <x:c r="C10" s="1" t="s">
        <x:v>85</x:v>
      </x:c>
      <x:c r="D10" s="1" t="s">
        <x:v>843</x:v>
      </x:c>
      <x:c r="E10" s="1" t="s">
        <x:v>121</x:v>
      </x:c>
      <x:c r="F10" s="1" t="s">
        <x:v>86</x:v>
      </x:c>
      <x:c r="G10" s="1" t="s">
        <x:v>87</x:v>
      </x:c>
      <x:c r="H10" s="1" t="s">
        <x:v>850</x:v>
      </x:c>
    </x:row>
    <x:row r="11">
      <x:c r="A11" s="1" t="s">
        <x:v>851</x:v>
      </x:c>
      <x:c r="B11" s="14" t="n">
        <x:f>ROUND(B6+0.00005,5)</x:f>
        <x:v>136.98645</x:v>
      </x:c>
      <x:c r="C11" s="1" t="s">
        <x:v>85</x:v>
      </x:c>
      <x:c r="D11" s="1" t="s">
        <x:v>843</x:v>
      </x:c>
      <x:c r="E11" s="1" t="s">
        <x:v>121</x:v>
      </x:c>
      <x:c r="F11" s="1" t="s">
        <x:v>86</x:v>
      </x:c>
      <x:c r="G11" s="1" t="s">
        <x:v>87</x:v>
      </x:c>
      <x:c r="H11" s="1" t="s">
        <x:v>852</x:v>
      </x:c>
    </x:row>
    <x:row r="12">
      <x:c r="A12" s="1" t="s">
        <x:v>853</x:v>
      </x:c>
      <x:c r="B12" s="1" t="b">
        <x:f>AND(B7&gt;=B10,B7&lt;B11)</x:f>
        <x:v>0</x:v>
      </x:c>
      <x:c r="C12" s="1"/>
      <x:c r="D12" s="1" t="s">
        <x:v>854</x:v>
      </x:c>
      <x:c r="E12" s="1" t="s">
        <x:v>121</x:v>
      </x:c>
      <x:c r="F12" s="1" t="s">
        <x:v>86</x:v>
      </x:c>
      <x:c r="G12" s="1" t="s">
        <x:v>87</x:v>
      </x:c>
      <x:c r="H12" s="1" t="s">
        <x:v>855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21" t="s">
        <x:v>856</x:v>
      </x:c>
      <x:c r="B14" s="21"/>
      <x:c r="C14" s="21"/>
      <x:c r="D14" s="21"/>
      <x:c r="E14" s="21"/>
      <x:c r="F14" s="21"/>
      <x:c r="G14" s="21"/>
      <x:c r="H14" s="21"/>
    </x:row>
    <x:row r="15">
      <x:c r="A15" s="22" t="s">
        <x:v>359</x:v>
      </x:c>
      <x:c r="B15" s="22"/>
      <x:c r="C15" s="22"/>
      <x:c r="D15" s="22"/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 ht="21.399999618530273" customHeight="1">
      <x:c r="A18" s="5" t="s">
        <x:v>857</x:v>
      </x:c>
      <x:c r="B18" s="5" t="s">
        <x:v>858</x:v>
      </x:c>
      <x:c r="C18" s="1"/>
      <x:c r="D18" s="1"/>
      <x:c r="E18" s="1"/>
      <x:c r="F18" s="1"/>
      <x:c r="G18" s="1"/>
      <x:c r="H18" s="1"/>
    </x:row>
    <x:row r="19" ht="28">
      <x:c r="A19" s="1" t="s">
        <x:v>859</x:v>
      </x:c>
      <x:c r="B19" s="12" t="str">
        <x:v>确认通过－完全一致</x:v>
      </x:c>
      <x:c r="C19" s="1"/>
      <x:c r="D19" s="1"/>
      <x:c r="E19" s="1"/>
      <x:c r="F19" s="1"/>
      <x:c r="G19" s="1"/>
      <x:c r="H19" s="1"/>
    </x:row>
    <x:row r="20" ht="28">
      <x:c r="A20" s="1" t="s">
        <x:v>860</x:v>
      </x:c>
      <x:c r="B20" s="12" t="str">
        <x:v>确认通过－完全一致</x:v>
      </x:c>
      <x:c r="C20" s="1"/>
      <x:c r="D20" s="1"/>
      <x:c r="E20" s="1"/>
      <x:c r="F20" s="1"/>
      <x:c r="G20" s="1"/>
      <x:c r="H20" s="1"/>
    </x:row>
    <x:row r="21" ht="28">
      <x:c r="A21" s="1" t="str">
        <x:v>0.00574万元差异不能由原文四位小数显示精度解释。</x:v>
      </x:c>
      <x:c r="B21" s="12" t="str">
        <x:v>确认原文存在差异并保留</x:v>
      </x:c>
      <x:c r="C21" s="1"/>
      <x:c r="D21" s="1"/>
      <x:c r="E21" s="1"/>
      <x:c r="F21" s="1"/>
      <x:c r="G21" s="1"/>
      <x:c r="H21" s="1"/>
    </x:row>
    <x:row r="22" ht="28">
      <x:c r="A22" s="1" t="str">
        <x:v>最终结论保留为“原文披露值之间存在算术差异”。</x:v>
      </x:c>
      <x:c r="B22" s="12" t="str">
        <x:v>确认原文存在差异并保留</x:v>
      </x:c>
      <x:c r="C22" s="1"/>
      <x:c r="D22" s="1"/>
      <x:c r="E22" s="1"/>
      <x:c r="F22" s="1"/>
      <x:c r="G22" s="1"/>
      <x:c r="H22" s="1"/>
    </x:row>
    <x:row r="23">
      <x:c r="A23" s="1" t="s">
        <x:v>861</x:v>
      </x:c>
      <x:c r="B23" s="12" t="str">
        <x:v>用户原始选择均为通用“确认通过－完全一致”；最终版按问题语义规范化：原文输入与公式确认通过，差异性质确认为不能由显示精度解释并予以保留。</x:v>
      </x:c>
      <x:c r="C23" s="1"/>
      <x:c r="D23" s="1"/>
      <x:c r="E23" s="1"/>
      <x:c r="F23" s="1"/>
      <x:c r="G23" s="1"/>
      <x:c r="H23" s="1"/>
    </x:row>
  </x:sheetData>
  <x:mergeCells>
    <x:mergeCell ref="A1:H1"/>
    <x:mergeCell ref="A14:H14"/>
    <x:mergeCell ref="A15:H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13" customWidth="1"/>
    <x:col min="2" max="3" width="18" customWidth="1"/>
    <x:col min="4" max="4" width="40" customWidth="1"/>
    <x:col min="5" max="5" width="32" customWidth="1"/>
    <x:col min="6" max="6" width="38" customWidth="1"/>
    <x:col min="7" max="8" width="10" customWidth="1"/>
    <x:col min="9" max="9" width="24" customWidth="1"/>
    <x:col min="10" max="10" width="42" customWidth="1"/>
    <x:col min="11" max="11" width="22" customWidth="1"/>
    <x:col min="12" max="12" width="32" customWidth="1"/>
  </x:cols>
  <x:sheetData>
    <x:row r="1" ht="18.649999618530273" customHeight="1">
      <x:c r="A1" s="18" t="s">
        <x:v>862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1.399999618530273" customHeight="1">
      <x:c r="A3" s="5" t="s">
        <x:v>863</x:v>
      </x:c>
      <x:c r="B3" s="5" t="s">
        <x:v>43</x:v>
      </x:c>
      <x:c r="C3" s="5" t="s">
        <x:v>864</x:v>
      </x:c>
      <x:c r="D3" s="5" t="s">
        <x:v>865</x:v>
      </x:c>
      <x:c r="E3" s="5" t="s">
        <x:v>866</x:v>
      </x:c>
      <x:c r="F3" s="5" t="s">
        <x:v>867</x:v>
      </x:c>
      <x:c r="G3" s="5" t="s">
        <x:v>56</x:v>
      </x:c>
      <x:c r="H3" s="5" t="s">
        <x:v>57</x:v>
      </x:c>
      <x:c r="I3" s="5" t="s">
        <x:v>58</x:v>
      </x:c>
      <x:c r="J3" s="5" t="s">
        <x:v>868</x:v>
      </x:c>
      <x:c r="K3" s="5" t="s">
        <x:v>869</x:v>
      </x:c>
      <x:c r="L3" s="5" t="s">
        <x:v>870</x:v>
      </x:c>
    </x:row>
    <x:row r="4" ht="28">
      <x:c r="A4" s="1" t="s">
        <x:v>871</x:v>
      </x:c>
      <x:c r="B4" s="1" t="s">
        <x:v>121</x:v>
      </x:c>
      <x:c r="C4" s="1" t="s">
        <x:v>872</x:v>
      </x:c>
      <x:c r="D4" s="1" t="s">
        <x:v>873</x:v>
      </x:c>
      <x:c r="E4" s="1" t="s">
        <x:v>874</x:v>
      </x:c>
      <x:c r="F4" s="1" t="s">
        <x:v>875</x:v>
      </x:c>
      <x:c r="G4" s="1" t="s">
        <x:v>86</x:v>
      </x:c>
      <x:c r="H4" s="1" t="s">
        <x:v>87</x:v>
      </x:c>
      <x:c r="I4" s="1" t="s">
        <x:v>876</x:v>
      </x:c>
      <x:c r="J4" s="1" t="s">
        <x:v>877</x:v>
      </x:c>
      <x:c r="K4" s="12" t="str">
        <x:v>确认原文存在差异并保留</x:v>
      </x:c>
      <x:c r="L4" s="12" t="str">
        <x:v>三个原文值与公式均确认；0.00574万元差异超出普通四舍五入区间，保留原文差异。</x:v>
      </x:c>
    </x:row>
    <x:row r="5" ht="28">
      <x:c r="A5" s="1" t="s">
        <x:v>878</x:v>
      </x:c>
      <x:c r="B5" s="1" t="s">
        <x:v>130</x:v>
      </x:c>
      <x:c r="C5" s="1" t="s">
        <x:v>879</x:v>
      </x:c>
      <x:c r="D5" s="1" t="s">
        <x:v>880</x:v>
      </x:c>
      <x:c r="E5" s="1" t="s">
        <x:v>881</x:v>
      </x:c>
      <x:c r="F5" s="1" t="s">
        <x:v>882</x:v>
      </x:c>
      <x:c r="G5" s="1" t="s">
        <x:v>86</x:v>
      </x:c>
      <x:c r="H5" s="1" t="s">
        <x:v>87</x:v>
      </x:c>
      <x:c r="I5" s="1" t="s">
        <x:v>883</x:v>
      </x:c>
      <x:c r="J5" s="1" t="s">
        <x:v>884</x:v>
      </x:c>
      <x:c r="K5" s="12" t="str">
        <x:v>确认通过－完全一致</x:v>
      </x:c>
      <x:c r="L5" s="12" t="str">
        <x:v>确认使用原文136.9864万元作为CE-006期初值，并保留对CE-005差异的依赖说明。</x:v>
      </x:c>
    </x:row>
    <x:row r="6" ht="28">
      <x:c r="A6" s="1" t="s">
        <x:v>885</x:v>
      </x:c>
      <x:c r="B6" s="1" t="s">
        <x:v>886</x:v>
      </x:c>
      <x:c r="C6" s="1" t="s">
        <x:v>887</x:v>
      </x:c>
      <x:c r="D6" s="1" t="s">
        <x:v>888</x:v>
      </x:c>
      <x:c r="E6" s="1" t="s">
        <x:v>889</x:v>
      </x:c>
      <x:c r="F6" s="1" t="s">
        <x:v>890</x:v>
      </x:c>
      <x:c r="G6" s="1" t="s">
        <x:v>165</x:v>
      </x:c>
      <x:c r="H6" s="1" t="s">
        <x:v>166</x:v>
      </x:c>
      <x:c r="I6" s="1" t="s">
        <x:v>891</x:v>
      </x:c>
      <x:c r="J6" s="1" t="s">
        <x:v>892</x:v>
      </x:c>
      <x:c r="K6" s="12" t="str">
        <x:v>确认通过－舍入一致</x:v>
      </x:c>
      <x:c r="L6" s="12" t="str">
        <x:v>确认四笔计算单位价格支持原文“约29.13元/股”的近似披露。</x:v>
      </x:c>
    </x:row>
    <x:row r="7" ht="28">
      <x:c r="A7" s="1" t="s">
        <x:v>893</x:v>
      </x:c>
      <x:c r="B7" s="1" t="s">
        <x:v>256</x:v>
      </x:c>
      <x:c r="C7" s="1" t="s">
        <x:v>894</x:v>
      </x:c>
      <x:c r="D7" s="1" t="s">
        <x:v>895</x:v>
      </x:c>
      <x:c r="E7" s="1" t="s">
        <x:v>896</x:v>
      </x:c>
      <x:c r="F7" s="1" t="s">
        <x:v>897</x:v>
      </x:c>
      <x:c r="G7" s="1" t="s">
        <x:v>898</x:v>
      </x:c>
      <x:c r="H7" s="1" t="s">
        <x:v>899</x:v>
      </x:c>
      <x:c r="I7" s="1" t="s">
        <x:v>900</x:v>
      </x:c>
      <x:c r="J7" s="1" t="s">
        <x:v>901</x:v>
      </x:c>
      <x:c r="K7" s="12" t="str">
        <x:v>确认通过－完全一致</x:v>
      </x:c>
      <x:c r="L7" s="12" t="str">
        <x:v>已在最终版展开十笔股份数量并复算，合计1,659,535股。</x:v>
      </x:c>
    </x:row>
    <x:row r="8" ht="42">
      <x:c r="A8" s="1" t="s">
        <x:v>902</x:v>
      </x:c>
      <x:c r="B8" s="1" t="s">
        <x:v>260</x:v>
      </x:c>
      <x:c r="C8" s="1" t="s">
        <x:v>903</x:v>
      </x:c>
      <x:c r="D8" s="1" t="s">
        <x:v>904</x:v>
      </x:c>
      <x:c r="E8" s="1" t="s">
        <x:v>905</x:v>
      </x:c>
      <x:c r="F8" s="1" t="s">
        <x:v>906</x:v>
      </x:c>
      <x:c r="G8" s="1" t="s">
        <x:v>898</x:v>
      </x:c>
      <x:c r="H8" s="1" t="s">
        <x:v>899</x:v>
      </x:c>
      <x:c r="I8" s="1" t="s">
        <x:v>907</x:v>
      </x:c>
      <x:c r="J8" s="1" t="s">
        <x:v>908</x:v>
      </x:c>
      <x:c r="K8" s="12" t="str">
        <x:v>确认通过－完全一致</x:v>
      </x:c>
      <x:c r="L8" s="12" t="str">
        <x:v>已在最终版展开十笔价款并复算，合计8,563.19万元；旧误录值未沿用。</x:v>
      </x:c>
    </x:row>
    <x:row r="9" ht="28">
      <x:c r="A9" s="1" t="s">
        <x:v>909</x:v>
      </x:c>
      <x:c r="B9" s="1" t="s">
        <x:v>263</x:v>
      </x:c>
      <x:c r="C9" s="1" t="s">
        <x:v>910</x:v>
      </x:c>
      <x:c r="D9" s="1" t="s">
        <x:v>911</x:v>
      </x:c>
      <x:c r="E9" s="1" t="s">
        <x:v>912</x:v>
      </x:c>
      <x:c r="F9" s="1" t="s">
        <x:v>913</x:v>
      </x:c>
      <x:c r="G9" s="1" t="s">
        <x:v>249</x:v>
      </x:c>
      <x:c r="H9" s="1" t="s">
        <x:v>250</x:v>
      </x:c>
      <x:c r="I9" s="1" t="s">
        <x:v>251</x:v>
      </x:c>
      <x:c r="J9" s="1" t="s">
        <x:v>914</x:v>
      </x:c>
      <x:c r="K9" s="12" t="str">
        <x:v>确认通过－完全一致</x:v>
      </x:c>
      <x:c r="L9" s="12" t="str">
        <x:v>总股本勾稽一致；逐股东滚动沿用阶段六已验收完整快照。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1edc8b663d44fd6"/>
  </x:tableParts>
</x:worksheet>
</file>

<file path=xl/worksheets/sheet8.xml><?xml version="1.0" encoding="utf-8"?>
<x:worksheet xmlns:x="http://schemas.openxmlformats.org/spreadsheetml/2006/main">
  <x:sheetFormatPr defaultRowHeight="14"/>
  <x:cols>
    <x:col min="1" max="1" width="12" customWidth="1"/>
    <x:col min="2" max="2" width="30" customWidth="1"/>
    <x:col min="3" max="3" width="38" customWidth="1"/>
    <x:col min="4" max="4" width="16" customWidth="1"/>
    <x:col min="5" max="5" width="18" customWidth="1"/>
    <x:col min="6" max="6" width="38" customWidth="1"/>
  </x:cols>
  <x:sheetData>
    <x:row r="1" ht="18.649999618530273" customHeight="1">
      <x:c r="A1" s="18" t="str">
        <x:v>阶段七验收检查（最终验收版）</x:v>
      </x:c>
      <x:c r="B1" s="18"/>
      <x:c r="C1" s="18"/>
      <x:c r="D1" s="18"/>
      <x:c r="E1" s="18"/>
      <x:c r="F1" s="18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1.399999618530273" customHeight="1">
      <x:c r="A3" s="5" t="s">
        <x:v>915</x:v>
      </x:c>
      <x:c r="B3" s="5" t="s">
        <x:v>916</x:v>
      </x:c>
      <x:c r="C3" s="5" t="s">
        <x:v>917</x:v>
      </x:c>
      <x:c r="D3" s="5" t="s">
        <x:v>918</x:v>
      </x:c>
      <x:c r="E3" s="5" t="s">
        <x:v>919</x:v>
      </x:c>
      <x:c r="F3" s="5" t="s">
        <x:v>313</x:v>
      </x:c>
    </x:row>
    <x:row r="4">
      <x:c r="A4" s="1" t="s">
        <x:v>920</x:v>
      </x:c>
      <x:c r="B4" s="1" t="s">
        <x:v>921</x:v>
      </x:c>
      <x:c r="C4" s="1" t="s">
        <x:v>922</x:v>
      </x:c>
      <x:c r="D4" s="7">
        <x:v>55</x:v>
      </x:c>
      <x:c r="E4" s="1" t="s">
        <x:v>923</x:v>
      </x:c>
      <x:c r="F4" s="1" t="s">
        <x:v>924</x:v>
      </x:c>
    </x:row>
    <x:row r="5">
      <x:c r="A5" s="1" t="s">
        <x:v>925</x:v>
      </x:c>
      <x:c r="B5" s="1" t="s">
        <x:v>926</x:v>
      </x:c>
      <x:c r="C5" s="1" t="s">
        <x:v>927</x:v>
      </x:c>
      <x:c r="D5" s="7" t="n">
        <x:v>179</x:v>
      </x:c>
      <x:c r="E5" s="1" t="str">
        <x:v>通过</x:v>
      </x:c>
      <x:c r="F5" s="1" t="str">
        <x:v>最终输入台账包含179条记录；其中CE-013新增18条逐笔输入。</x:v>
      </x:c>
    </x:row>
    <x:row r="6">
      <x:c r="A6" s="1" t="s">
        <x:v>928</x:v>
      </x:c>
      <x:c r="B6" s="1" t="s">
        <x:v>929</x:v>
      </x:c>
      <x:c r="C6" s="1" t="s">
        <x:v>930</x:v>
      </x:c>
      <x:c r="D6" s="7">
        <x:v>55</x:v>
      </x:c>
      <x:c r="E6" s="1" t="s">
        <x:v>923</x:v>
      </x:c>
      <x:c r="F6" s="1" t="s">
        <x:v>931</x:v>
      </x:c>
    </x:row>
    <x:row r="7">
      <x:c r="A7" s="1" t="s">
        <x:v>932</x:v>
      </x:c>
      <x:c r="B7" s="1" t="s">
        <x:v>933</x:v>
      </x:c>
      <x:c r="C7" s="1" t="s">
        <x:v>934</x:v>
      </x:c>
      <x:c r="D7" s="7">
        <x:v>55</x:v>
      </x:c>
      <x:c r="E7" s="1" t="s">
        <x:v>923</x:v>
      </x:c>
      <x:c r="F7" s="1" t="s">
        <x:v>935</x:v>
      </x:c>
    </x:row>
    <x:row r="8">
      <x:c r="A8" s="1" t="s">
        <x:v>936</x:v>
      </x:c>
      <x:c r="B8" s="1" t="s">
        <x:v>937</x:v>
      </x:c>
      <x:c r="C8" s="1" t="s">
        <x:v>938</x:v>
      </x:c>
      <x:c r="D8" s="7">
        <x:v>1</x:v>
      </x:c>
      <x:c r="E8" s="1" t="s">
        <x:v>923</x:v>
      </x:c>
      <x:c r="F8" s="1" t="s">
        <x:v>939</x:v>
      </x:c>
    </x:row>
    <x:row r="9">
      <x:c r="A9" s="1" t="s">
        <x:v>940</x:v>
      </x:c>
      <x:c r="B9" s="1" t="s">
        <x:v>941</x:v>
      </x:c>
      <x:c r="C9" s="1" t="s">
        <x:v>942</x:v>
      </x:c>
      <x:c r="D9" s="7">
        <x:v>5.7400000000000003E-3</x:v>
      </x:c>
      <x:c r="E9" s="1" t="s">
        <x:v>923</x:v>
      </x:c>
      <x:c r="F9" s="1" t="s">
        <x:v>943</x:v>
      </x:c>
    </x:row>
    <x:row r="10">
      <x:c r="A10" s="1" t="s">
        <x:v>944</x:v>
      </x:c>
      <x:c r="B10" s="1" t="s">
        <x:v>945</x:v>
      </x:c>
      <x:c r="C10" s="1" t="s">
        <x:v>946</x:v>
      </x:c>
      <x:c r="D10" s="7">
        <x:v>8563.19</x:v>
      </x:c>
      <x:c r="E10" s="1" t="s">
        <x:v>923</x:v>
      </x:c>
      <x:c r="F10" s="1" t="s">
        <x:v>947</x:v>
      </x:c>
    </x:row>
    <x:row r="11">
      <x:c r="A11" s="1" t="s">
        <x:v>948</x:v>
      </x:c>
      <x:c r="B11" s="1" t="s">
        <x:v>949</x:v>
      </x:c>
      <x:c r="C11" s="1" t="s">
        <x:v>950</x:v>
      </x:c>
      <x:c r="D11" s="7" t="n">
        <x:v>0</x:v>
      </x:c>
      <x:c r="E11" s="1" t="str">
        <x:v>通过</x:v>
      </x:c>
      <x:c r="F11" s="1" t="str">
        <x:v>未披露分配额、交割顺序等均未补齐或倒推。</x:v>
      </x:c>
    </x:row>
    <x:row r="12">
      <x:c r="A12" s="1" t="s">
        <x:v>951</x:v>
      </x:c>
      <x:c r="B12" s="1" t="s">
        <x:v>952</x:v>
      </x:c>
      <x:c r="C12" s="1" t="s">
        <x:v>953</x:v>
      </x:c>
      <x:c r="D12" s="7" t="n">
        <x:v>6</x:v>
      </x:c>
      <x:c r="E12" s="1" t="str">
        <x:v>通过</x:v>
      </x:c>
      <x:c r="F12" s="1" t="str">
        <x:v>六项集中人工复核均已完成并规范化结论。</x:v>
      </x:c>
    </x:row>
    <x:row r="13">
      <x:c r="A13" s="1" t="s">
        <x:v>954</x:v>
      </x:c>
      <x:c r="B13" s="1" t="s">
        <x:v>955</x:v>
      </x:c>
      <x:c r="C13" s="1" t="s">
        <x:v>956</x:v>
      </x:c>
      <x:c r="D13" s="7" t="str">
        <x:v>final_approved</x:v>
      </x:c>
      <x:c r="E13" s="1" t="str">
        <x:v>通过</x:v>
      </x:c>
      <x:c r="F13" s="1" t="str">
        <x:v>全部业务校验与工程校验通过。</x:v>
      </x:c>
    </x:row>
    <x:row r="14">
      <x:c r="A14" t="str">
        <x:v>CHK-011</x:v>
      </x:c>
      <x:c r="B14" t="str">
        <x:v>CE-013十笔股份数量逐笔展开</x:v>
      </x:c>
      <x:c r="C14" t="str">
        <x:v>逐笔记录数</x:v>
      </x:c>
      <x:c r="D14" t="n">
        <x:v>10</x:v>
      </x:c>
      <x:c r="E14" t="str">
        <x:v>通过</x:v>
      </x:c>
      <x:c r="F14" t="str">
        <x:v>PDF第64页十行均已进入输入台账。</x:v>
      </x:c>
    </x:row>
    <x:row r="15">
      <x:c r="A15" t="str">
        <x:v>CHK-012</x:v>
      </x:c>
      <x:c r="B15" t="str">
        <x:v>CE-013十笔股份数量合计</x:v>
      </x:c>
      <x:c r="C15" t="str">
        <x:v>SUM(十笔股数)</x:v>
      </x:c>
      <x:c r="D15" t="n">
        <x:v>1659535</x:v>
      </x:c>
      <x:c r="E15" t="str">
        <x:v>通过</x:v>
      </x:c>
      <x:c r="F15" t="str">
        <x:v>与原文合计值一致。</x:v>
      </x:c>
    </x:row>
    <x:row r="16">
      <x:c r="A16" t="str">
        <x:v>CHK-013</x:v>
      </x:c>
      <x:c r="B16" t="str">
        <x:v>CE-013十笔转让价款合计</x:v>
      </x:c>
      <x:c r="C16" t="str">
        <x:v>SUM(十笔价款)</x:v>
      </x:c>
      <x:c r="D16" t="n">
        <x:v>8563.19</x:v>
      </x:c>
      <x:c r="E16" t="str">
        <x:v>通过</x:v>
      </x:c>
      <x:c r="F16" t="str">
        <x:v>与阶段六最终修订值一致。</x:v>
      </x:c>
    </x:row>
  </x:sheetData>
  <x:mergeCells>
    <x:mergeCell ref="A1:F1"/>
  </x:mergeCells>
  <x:conditionalFormatting sqref="E4:E13">
    <x:cfRule type="expression" dxfId="1" priority="1">
      <x:formula>E4="通过"</x:formula>
    </x:cfRule>
    <x:cfRule type="expression" dxfId="0" priority="2">
      <x:formula>OR(E4="未通过",E4="待用户复核")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"/>
  <x:cols>
    <x:col min="1" max="1" width="12" customWidth="1"/>
    <x:col min="2" max="2" width="13" customWidth="1"/>
    <x:col min="3" max="3" width="28" customWidth="1"/>
    <x:col min="4" max="4" width="25" customWidth="1"/>
    <x:col min="5" max="6" width="20" customWidth="1"/>
    <x:col min="7" max="7" width="48" customWidth="1"/>
  </x:cols>
  <x:sheetData>
    <x:row r="1" ht="18.649999618530273" customHeight="1">
      <x:c r="A1" s="18" t="s">
        <x:v>957</x:v>
      </x:c>
      <x:c r="B1" s="18"/>
      <x:c r="C1" s="18"/>
      <x:c r="D1" s="18"/>
      <x:c r="E1" s="18"/>
      <x:c r="F1" s="18"/>
      <x:c r="G1" s="18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3" ht="21.399999618530273" customHeight="1">
      <x:c r="A3" s="5" t="s">
        <x:v>958</x:v>
      </x:c>
      <x:c r="B3" s="5" t="s">
        <x:v>959</x:v>
      </x:c>
      <x:c r="C3" s="5" t="s">
        <x:v>960</x:v>
      </x:c>
      <x:c r="D3" s="5" t="s">
        <x:v>961</x:v>
      </x:c>
      <x:c r="E3" s="5" t="s">
        <x:v>962</x:v>
      </x:c>
      <x:c r="F3" s="5" t="s">
        <x:v>963</x:v>
      </x:c>
      <x:c r="G3" s="5" t="s">
        <x:v>964</x:v>
      </x:c>
    </x:row>
    <x:row r="4">
      <x:c r="A4" s="1" t="s">
        <x:v>965</x:v>
      </x:c>
      <x:c r="B4" s="1" t="s">
        <x:v>4</x:v>
      </x:c>
      <x:c r="C4" s="1" t="s">
        <x:v>966</x:v>
      </x:c>
      <x:c r="D4" s="1" t="s">
        <x:v>967</x:v>
      </x:c>
      <x:c r="E4" s="1"/>
      <x:c r="F4" s="1" t="s">
        <x:v>968</x:v>
      </x:c>
      <x:c r="G4" s="1" t="s">
        <x:v>969</x:v>
      </x:c>
    </x:row>
    <x:row r="5">
      <x:c r="A5" s="1" t="s">
        <x:v>970</x:v>
      </x:c>
      <x:c r="B5" s="1" t="s">
        <x:v>4</x:v>
      </x:c>
      <x:c r="C5" s="1" t="s">
        <x:v>971</x:v>
      </x:c>
      <x:c r="D5" s="1" t="s">
        <x:v>972</x:v>
      </x:c>
      <x:c r="E5" s="1"/>
      <x:c r="F5" s="1" t="s">
        <x:v>973</x:v>
      </x:c>
      <x:c r="G5" s="1" t="s">
        <x:v>974</x:v>
      </x:c>
    </x:row>
    <x:row r="6">
      <x:c r="A6" s="1" t="s">
        <x:v>975</x:v>
      </x:c>
      <x:c r="B6" s="1" t="s">
        <x:v>4</x:v>
      </x:c>
      <x:c r="C6" s="1" t="s">
        <x:v>976</x:v>
      </x:c>
      <x:c r="D6" s="1" t="s">
        <x:v>121</x:v>
      </x:c>
      <x:c r="E6" s="1"/>
      <x:c r="F6" s="1" t="s">
        <x:v>977</x:v>
      </x:c>
      <x:c r="G6" s="1" t="s">
        <x:v>978</x:v>
      </x:c>
    </x:row>
    <x:row r="7">
      <x:c r="A7" s="1" t="s">
        <x:v>979</x:v>
      </x:c>
      <x:c r="B7" s="1" t="s">
        <x:v>4</x:v>
      </x:c>
      <x:c r="C7" s="1" t="s">
        <x:v>980</x:v>
      </x:c>
      <x:c r="D7" s="1" t="s">
        <x:v>260</x:v>
      </x:c>
      <x:c r="E7" s="1" t="s">
        <x:v>981</x:v>
      </x:c>
      <x:c r="F7" s="1" t="s">
        <x:v>26</x:v>
      </x:c>
      <x:c r="G7" s="1" t="s">
        <x:v>982</x:v>
      </x:c>
    </x:row>
    <x:row r="8">
      <x:c r="A8" s="1" t="s">
        <x:v>983</x:v>
      </x:c>
      <x:c r="B8" s="1" t="s">
        <x:v>4</x:v>
      </x:c>
      <x:c r="C8" s="1" t="s">
        <x:v>984</x:v>
      </x:c>
      <x:c r="D8" s="1" t="s">
        <x:v>985</x:v>
      </x:c>
      <x:c r="E8" s="1"/>
      <x:c r="F8" s="1" t="s">
        <x:v>790</x:v>
      </x:c>
      <x:c r="G8" s="1" t="s">
        <x:v>986</x:v>
      </x:c>
    </x:row>
    <x:row r="9">
      <x:c r="A9" t="str">
        <x:v>LOG-006</x:v>
      </x:c>
      <x:c r="B9" t="str">
        <x:v>2026-07-17</x:v>
      </x:c>
      <x:c r="C9" t="str">
        <x:v>读取用户复核工作簿</x:v>
      </x:c>
      <x:c r="D9" t="str">
        <x:v>05表与06表</x:v>
      </x:c>
      <x:c r="E9" t="str">
        <x:v>待用户复核</x:v>
      </x:c>
      <x:c r="F9" t="str">
        <x:v>用户已选择通过</x:v>
      </x:c>
      <x:c r="G9" t="str">
        <x:v>保留用户原始复核痕迹。</x:v>
      </x:c>
    </x:row>
    <x:row r="10">
      <x:c r="A10" t="str">
        <x:v>LOG-007</x:v>
      </x:c>
      <x:c r="B10" t="str">
        <x:v>2026-07-17</x:v>
      </x:c>
      <x:c r="C10" t="str">
        <x:v>规范化复核结论</x:v>
      </x:c>
      <x:c r="D10" t="str">
        <x:v>VAL-012｜VAL-031—034</x:v>
      </x:c>
      <x:c r="E10" t="str">
        <x:v>通用通过选项</x:v>
      </x:c>
      <x:c r="F10" t="str">
        <x:v>按差异/舍入性质分类</x:v>
      </x:c>
      <x:c r="G10" t="str">
        <x:v>不改变用户同意实质，只消除状态语义冲突。</x:v>
      </x:c>
    </x:row>
    <x:row r="11">
      <x:c r="A11" t="str">
        <x:v>LOG-008</x:v>
      </x:c>
      <x:c r="B11" t="str">
        <x:v>2026-07-17</x:v>
      </x:c>
      <x:c r="C11" t="str">
        <x:v>展开CE-013十笔交易</x:v>
      </x:c>
      <x:c r="D11" t="str">
        <x:v>VAL-044｜VAL-045</x:v>
      </x:c>
      <x:c r="E11" t="str">
        <x:v>聚合输入</x:v>
      </x:c>
      <x:c r="F11" t="str">
        <x:v>20项逐笔原文输入</x:v>
      </x:c>
      <x:c r="G11" t="str">
        <x:v>逐笔复算股数1,659,535股、价款8,563.19万元。</x:v>
      </x:c>
    </x:row>
    <x:row r="12">
      <x:c r="A12" t="str">
        <x:v>LOG-009</x:v>
      </x:c>
      <x:c r="B12" t="str">
        <x:v>2026-07-17</x:v>
      </x:c>
      <x:c r="C12" t="str">
        <x:v>阶段七最终验收</x:v>
      </x:c>
      <x:c r="D12" t="str">
        <x:v>全阶段</x:v>
      </x:c>
      <x:c r="E12" t="str">
        <x:v>pending_user_review</x:v>
      </x:c>
      <x:c r="F12" t="str">
        <x:v>final_approved</x:v>
      </x:c>
      <x:c r="G12" t="str">
        <x:v>最终Excel、bundle、Schema、脚本、报告和manifest已生成。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"/>
  <x:cols>
    <x:col min="1" max="1" width="28" customWidth="1"/>
    <x:col min="2" max="2" width="18" customWidth="1"/>
    <x:col min="3" max="3" width="30" customWidth="1"/>
    <x:col min="4" max="4" width="20" customWidth="1"/>
  </x:cols>
  <x:sheetData>
    <x:row r="1" ht="21.399999618530273" customHeight="1">
      <x:c r="A1" s="16" t="s">
        <x:v>987</x:v>
      </x:c>
      <x:c r="B1" s="16" t="s">
        <x:v>53</x:v>
      </x:c>
      <x:c r="C1" s="16" t="s">
        <x:v>775</x:v>
      </x:c>
      <x:c r="D1" s="16" t="s">
        <x:v>988</x:v>
      </x:c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5"/>
    </x:row>
    <x:row r="2">
      <x:c r="A2" t="s">
        <x:v>790</x:v>
      </x:c>
      <x:c r="B2" t="s">
        <x:v>127</x:v>
      </x:c>
      <x:c r="C2" t="s">
        <x:v>781</x:v>
      </x:c>
      <x:c r="D2" t="s">
        <x:v>790</x:v>
      </x:c>
    </x:row>
    <x:row r="3">
      <x:c r="A3" t="s">
        <x:v>989</x:v>
      </x:c>
      <x:c r="B3" t="s">
        <x:v>70</x:v>
      </x:c>
      <x:c r="C3" t="s">
        <x:v>822</x:v>
      </x:c>
      <x:c r="D3" t="s">
        <x:v>990</x:v>
      </x:c>
    </x:row>
    <x:row r="4">
      <x:c r="A4" t="s">
        <x:v>991</x:v>
      </x:c>
      <x:c r="C4" t="s">
        <x:v>808</x:v>
      </x:c>
      <x:c r="D4" t="s">
        <x:v>992</x:v>
      </x:c>
    </x:row>
    <x:row r="5">
      <x:c r="A5" t="s">
        <x:v>993</x:v>
      </x:c>
      <x:c r="C5" t="s">
        <x:v>789</x:v>
      </x:c>
      <x:c r="D5" t="s">
        <x:v>994</x:v>
      </x:c>
    </x:row>
    <x:row r="6">
      <x:c r="A6" t="s">
        <x:v>995</x:v>
      </x:c>
      <x:c r="C6" t="s">
        <x:v>785</x:v>
      </x:c>
      <x:c r="D6" t="s">
        <x:v>784</x:v>
      </x:c>
    </x:row>
    <x:row r="7">
      <x:c r="A7" t="s">
        <x:v>996</x:v>
      </x:c>
      <x:c r="C7" t="s">
        <x:v>997</x:v>
      </x:c>
    </x:row>
    <x:row r="8">
      <x:c r="A8" t="s">
        <x:v>998</x:v>
      </x:c>
    </x:row>
    <x:row r="9">
      <x:c r="A9" t="s">
        <x:v>999</x:v>
      </x:c>
    </x:row>
  </x:sheetData>
  <x:pageMargins left="0.7" right="0.7" top="0.75" bottom="0.75" header="0.3" footer="0.3"/>
</x:worksheet>
</file>