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6a4e612ef04339" /></Relationships>
</file>

<file path=xl/workbook.xml><?xml version="1.0" encoding="utf-8"?>
<x:workbook xmlns:x="http://schemas.openxmlformats.org/spreadsheetml/2006/main">
  <x:sheets>
    <x:sheet xmlns:r="http://schemas.openxmlformats.org/officeDocument/2006/relationships" name="00_使用说明" sheetId="1" r:id="R10241502e8ba4af5"/>
    <x:sheet xmlns:r="http://schemas.openxmlformats.org/officeDocument/2006/relationships" name="01_主体主数据" sheetId="2" r:id="Rb49f3f1ec02c4782"/>
    <x:sheet xmlns:r="http://schemas.openxmlformats.org/officeDocument/2006/relationships" name="02_增资事件" sheetId="3" r:id="Rb9602d193c7f4cd6"/>
    <x:sheet xmlns:r="http://schemas.openxmlformats.org/officeDocument/2006/relationships" name="03_增资参与方明细" sheetId="4" r:id="Ra673f0b7578046eb"/>
    <x:sheet xmlns:r="http://schemas.openxmlformats.org/officeDocument/2006/relationships" name="04_股权转让事件" sheetId="5" r:id="R2f989ab096104193"/>
    <x:sheet xmlns:r="http://schemas.openxmlformats.org/officeDocument/2006/relationships" name="05_股权转让明细" sheetId="6" r:id="R78f3327a84294c0e"/>
    <x:sheet xmlns:r="http://schemas.openxmlformats.org/officeDocument/2006/relationships" name="06_股权结构快照" sheetId="7" r:id="R3662e16cc3394b0f"/>
    <x:sheet xmlns:r="http://schemas.openxmlformats.org/officeDocument/2006/relationships" name="07_快照持股明细" sheetId="8" r:id="R27f98e0e57d147c2"/>
    <x:sheet xmlns:r="http://schemas.openxmlformats.org/officeDocument/2006/relationships" name="08_计算值登记" sheetId="9" r:id="Rd6c3549f9d2c4dce"/>
    <x:sheet xmlns:r="http://schemas.openxmlformats.org/officeDocument/2006/relationships" name="09_证据引用及待复核" sheetId="10" r:id="R334920ccf0664d05"/>
    <x:sheet xmlns:r="http://schemas.openxmlformats.org/officeDocument/2006/relationships" name="10_验收清单" sheetId="11" r:id="Rdde16992c03b4a94"/>
    <x:sheet xmlns:r="http://schemas.openxmlformats.org/officeDocument/2006/relationships" name="99_下拉选项" sheetId="12" r:id="R220572a0bce14f3c"/>
    <x:sheet xmlns:r="http://schemas.openxmlformats.org/officeDocument/2006/relationships" name="11_审查记录" sheetId="13" r:id="R1537b5c5fef0463e"/>
  </x:sheets>
</x:workbook>
</file>

<file path=xl/sharedStrings.xml><?xml version="1.0" encoding="utf-8"?>
<x:sst xmlns:x="http://schemas.openxmlformats.org/spreadsheetml/2006/main">
  <x:si>
    <x:t xml:space="preserve">项目</x:t>
  </x:si>
  <x:si>
    <x:t xml:space="preserve">301563 云汉芯城招股说明书工程化学习</x:t>
  </x:si>
  <x:si>
    <x:t xml:space="preserve">阶段状态</x:t>
  </x:si>
  <x:si>
    <x:t xml:space="preserve">KPI</x:t>
  </x:si>
  <x:si>
    <x:t xml:space="preserve">数量</x:t>
  </x:si>
  <x:si>
    <x:t xml:space="preserve">说明</x:t>
  </x:si>
  <x:si>
    <x:t xml:space="preserve">唯一主要事实来源</x:t>
  </x:si>
  <x:si>
    <x:t xml:space="preserve">301563_云汉芯城_IPO招股说明书.pdf</x:t>
  </x:si>
  <x:si>
    <x:t xml:space="preserve">页码规则</x:t>
  </x:si>
  <x:si>
    <x:t xml:space="preserve">PDF页码=正文页码+1</x:t>
  </x:si>
  <x:si>
    <x:t xml:space="preserve">增资事件</x:t>
  </x:si>
  <x:si>
    <x:t xml:space="preserve">9个事件单元</x:t>
  </x:si>
  <x:si>
    <x:t xml:space="preserve">结构化上游</x:t>
  </x:si>
  <x:si>
    <x:t xml:space="preserve">阶段四最终验收工作簿；阶段五最终验收工作簿及JSON</x:t>
  </x:si>
  <x:si>
    <x:t xml:space="preserve">阶段边界</x:t>
  </x:si>
  <x:si>
    <x:t xml:space="preserve">不判断PE/VC属性；不完成阶段七正式数值校验</x:t>
  </x:si>
  <x:si>
    <x:t xml:space="preserve">增资参与方明细</x:t>
  </x:si>
  <x:si>
    <x:t xml:space="preserve">含未披露金额的方向性行</x:t>
  </x:si>
  <x:si>
    <x:t xml:space="preserve">本版定位</x:t>
  </x:si>
  <x:si>
    <x:t xml:space="preserve">审批要求</x:t>
  </x:si>
  <x:si>
    <x:t xml:space="preserve">转让事件</x:t>
  </x:si>
  <x:si>
    <x:t xml:space="preserve">6个事件单元</x:t>
  </x:si>
  <x:si>
    <x:t xml:space="preserve">值类型</x:t>
  </x:si>
  <x:si>
    <x:t xml:space="preserve">原文披露值（蓝色）｜标准化值｜计算值（绿色标题/公式）｜人工判断</x:t>
  </x:si>
  <x:si>
    <x:t xml:space="preserve">禁止事项</x:t>
  </x:si>
  <x:si>
    <x:t xml:space="preserve">未披露金额不得平均分配或倒推</x:t>
  </x:si>
  <x:si>
    <x:t xml:space="preserve">转让原子明细</x:t>
  </x:si>
  <x:si>
    <x:t xml:space="preserve">应为20笔</x:t>
  </x:si>
  <x:si>
    <x:t xml:space="preserve">快照规则</x:t>
  </x:si>
  <x:si>
    <x:t xml:space="preserve">complete/partial/not_reconstructible分级；C8只作终点核对</x:t>
  </x:si>
  <x:si>
    <x:t xml:space="preserve">特殊事项</x:t>
  </x:si>
  <x:si>
    <x:t xml:space="preserve">CE-014排除；CE-005差异保留至阶段七</x:t>
  </x:si>
  <x:si>
    <x:t xml:space="preserve">股权结构快照</x:t>
  </x:si>
  <x:si>
    <x:t xml:space="preserve">含发行前终点核对</x:t>
  </x:si>
  <x:si>
    <x:t xml:space="preserve">当前输出</x:t>
  </x:si>
  <x:si>
    <x:t xml:space="preserve">复核顺序</x:t>
  </x:si>
  <x:si>
    <x:t xml:space="preserve">快照持股明细</x:t>
  </x:si>
  <x:si>
    <x:t xml:space="preserve">完整与部分快照合计</x:t>
  </x:si>
  <x:si>
    <x:t xml:space="preserve">主体主数据</x:t>
  </x:si>
  <x:si>
    <x:t xml:space="preserve">稳定主体ID用于跨事件关联；本表只统一名称和原文实体形式，不进行PE/VC属性判断。</x:t>
  </x:si>
  <x:si>
    <x:t xml:space="preserve">party_id</x:t>
  </x:si>
  <x:si>
    <x:t xml:space="preserve">original_name</x:t>
  </x:si>
  <x:si>
    <x:t xml:space="preserve">standardized_name</x:t>
  </x:si>
  <x:si>
    <x:t xml:space="preserve">name_variants</x:t>
  </x:si>
  <x:si>
    <x:t xml:space="preserve">disclosed_entity_type</x:t>
  </x:si>
  <x:si>
    <x:t xml:space="preserve">first_event_id</x:t>
  </x:si>
  <x:si>
    <x:t xml:space="preserve">last_event_id</x:t>
  </x:si>
  <x:si>
    <x:t xml:space="preserve">standardization_basis</x:t>
  </x:si>
  <x:si>
    <x:t xml:space="preserve">evidence_ids</x:t>
  </x:si>
  <x:si>
    <x:t xml:space="preserve">manual_judgment</x:t>
  </x:si>
  <x:si>
    <x:t xml:space="preserve">review_status</x:t>
  </x:si>
  <x:si>
    <x:t xml:space="preserve">PTY-001</x:t>
  </x:si>
  <x:si>
    <x:t xml:space="preserve">深圳云汉电子</x:t>
  </x:si>
  <x:si>
    <x:t xml:space="preserve">深圳市云汉电子有限公司</x:t>
  </x:si>
  <x:si>
    <x:t xml:space="preserve">深圳云汉电子｜深圳市云汉电子有限公司</x:t>
  </x:si>
  <x:si>
    <x:t xml:space="preserve">公司</x:t>
  </x:si>
  <x:si>
    <x:t xml:space="preserve">CE-001</x:t>
  </x:si>
  <x:si>
    <x:t xml:space="preserve">CE-002-01</x:t>
  </x:si>
  <x:si>
    <x:t xml:space="preserve">招股说明书释义、事件正文或变更后股东表；仅做名称统一，不判断PE/VC属性。</x:t>
  </x:si>
  <x:si>
    <x:t xml:space="preserve">CE-001-E01｜CE-001-E05｜CE-002-E02</x:t>
  </x:si>
  <x:si>
    <x:t xml:space="preserve">同一简称跨事件合并为稳定主体；主体经济属性留待阶段八。</x:t>
  </x:si>
  <x:si>
    <x:t xml:space="preserve">已验收通过</x:t>
  </x:si>
  <x:si>
    <x:t xml:space="preserve">PTY-002</x:t>
  </x:si>
  <x:si>
    <x:t xml:space="preserve">刘云锋</x:t>
  </x:si>
  <x:si>
    <x:t xml:space="preserve">自然人</x:t>
  </x:si>
  <x:si>
    <x:t xml:space="preserve">CE-013-02</x:t>
  </x:si>
  <x:si>
    <x:t xml:space="preserve">CE-001-E01｜CE-001-E05</x:t>
  </x:si>
  <x:si>
    <x:t xml:space="preserve">PTY-003</x:t>
  </x:si>
  <x:si>
    <x:t xml:space="preserve">曾烨</x:t>
  </x:si>
  <x:si>
    <x:t xml:space="preserve">CE-002-E02</x:t>
  </x:si>
  <x:si>
    <x:t xml:space="preserve">PTY-004</x:t>
  </x:si>
  <x:si>
    <x:t xml:space="preserve">为赛咨询</x:t>
  </x:si>
  <x:si>
    <x:t xml:space="preserve">宁波为赛咨询管理中心（有限合伙）</x:t>
  </x:si>
  <x:si>
    <x:t xml:space="preserve">为赛咨询｜宁波为赛咨询管理中心（有限合伙）</x:t>
  </x:si>
  <x:si>
    <x:t xml:space="preserve">有限合伙</x:t>
  </x:si>
  <x:si>
    <x:t xml:space="preserve">CE-003</x:t>
  </x:si>
  <x:si>
    <x:t xml:space="preserve">CE-011</x:t>
  </x:si>
  <x:si>
    <x:t xml:space="preserve">CE-003-E02</x:t>
  </x:si>
  <x:si>
    <x:t xml:space="preserve">PTY-005</x:t>
  </x:si>
  <x:si>
    <x:t xml:space="preserve">力源信息</x:t>
  </x:si>
  <x:si>
    <x:t xml:space="preserve">武汉力源信息技术股份有限公司</x:t>
  </x:si>
  <x:si>
    <x:t xml:space="preserve">力源信息｜武汉力源信息技术股份有限公司</x:t>
  </x:si>
  <x:si>
    <x:t xml:space="preserve">CE-004</x:t>
  </x:si>
  <x:si>
    <x:t xml:space="preserve">CE-013</x:t>
  </x:si>
  <x:si>
    <x:t xml:space="preserve">CE-004-E02</x:t>
  </x:si>
  <x:si>
    <x:t xml:space="preserve">PTY-006</x:t>
  </x:si>
  <x:si>
    <x:t xml:space="preserve">东方富海</x:t>
  </x:si>
  <x:si>
    <x:t xml:space="preserve">东方富海（上海）创业投资企业（有限合伙）</x:t>
  </x:si>
  <x:si>
    <x:t xml:space="preserve">东方富海｜东方富海（上海）创业投资企业（有限合伙）</x:t>
  </x:si>
  <x:si>
    <x:t xml:space="preserve">PTY-007</x:t>
  </x:si>
  <x:si>
    <x:t xml:space="preserve">芜湖富海</x:t>
  </x:si>
  <x:si>
    <x:t xml:space="preserve">芜湖富海浩研创业投资基金（有限合伙）</x:t>
  </x:si>
  <x:si>
    <x:t xml:space="preserve">芜湖富海｜芜湖富海浩研创业投资基金（有限合伙）</x:t>
  </x:si>
  <x:si>
    <x:t xml:space="preserve">PTY-008</x:t>
  </x:si>
  <x:si>
    <x:t xml:space="preserve">深创投</x:t>
  </x:si>
  <x:si>
    <x:t xml:space="preserve">深圳市创新投资集团有限公司</x:t>
  </x:si>
  <x:si>
    <x:t xml:space="preserve">深创投｜深圳市创新投资集团有限公司</x:t>
  </x:si>
  <x:si>
    <x:t xml:space="preserve">CE-007</x:t>
  </x:si>
  <x:si>
    <x:t xml:space="preserve">CE-007-E02</x:t>
  </x:si>
  <x:si>
    <x:t xml:space="preserve">PTY-009</x:t>
  </x:si>
  <x:si>
    <x:t xml:space="preserve">丰利财富</x:t>
  </x:si>
  <x:si>
    <x:t xml:space="preserve">丰利财富（北京）国际资本管理股份有限公司</x:t>
  </x:si>
  <x:si>
    <x:t xml:space="preserve">丰利财富｜丰利财富（北京）国际资本管理股份有限公司</x:t>
  </x:si>
  <x:si>
    <x:t xml:space="preserve">CE-009</x:t>
  </x:si>
  <x:si>
    <x:t xml:space="preserve">CE-007-E02｜CE-009-E01</x:t>
  </x:si>
  <x:si>
    <x:t xml:space="preserve">PTY-010</x:t>
  </x:si>
  <x:si>
    <x:t xml:space="preserve">镇江红土</x:t>
  </x:si>
  <x:si>
    <x:t xml:space="preserve">镇江红土创业投资有限公司</x:t>
  </x:si>
  <x:si>
    <x:t xml:space="preserve">镇江红土｜镇江红土创业投资有限公司</x:t>
  </x:si>
  <x:si>
    <x:t xml:space="preserve">PTY-011</x:t>
  </x:si>
  <x:si>
    <x:t xml:space="preserve">昆山红土</x:t>
  </x:si>
  <x:si>
    <x:t xml:space="preserve">昆山红土高新创业投资有限公司</x:t>
  </x:si>
  <x:si>
    <x:t xml:space="preserve">昆山红土｜昆山红土高新创业投资有限公司</x:t>
  </x:si>
  <x:si>
    <x:t xml:space="preserve">PTY-012</x:t>
  </x:si>
  <x:si>
    <x:t xml:space="preserve">富海深湾</x:t>
  </x:si>
  <x:si>
    <x:t xml:space="preserve">富海深湾（深圳）移动创新私募创业投资基金合伙企业（有限合伙）</x:t>
  </x:si>
  <x:si>
    <x:t xml:space="preserve">富海深湾｜富海深湾（深圳）移动创新私募创业投资基金合伙企业（有限合伙）</x:t>
  </x:si>
  <x:si>
    <x:t xml:space="preserve">PTY-013</x:t>
  </x:si>
  <x:si>
    <x:t xml:space="preserve">天健创投</x:t>
  </x:si>
  <x:si>
    <x:t xml:space="preserve">厦门富海天健创业投资合伙企业（有限合伙）</x:t>
  </x:si>
  <x:si>
    <x:t xml:space="preserve">天健创投｜厦门富海天健创业投资合伙企业（有限合伙）</x:t>
  </x:si>
  <x:si>
    <x:t xml:space="preserve">CE-009-E01</x:t>
  </x:si>
  <x:si>
    <x:t xml:space="preserve">PTY-014</x:t>
  </x:si>
  <x:si>
    <x:t xml:space="preserve">国科瑞华</x:t>
  </x:si>
  <x:si>
    <x:t xml:space="preserve">北京国科瑞华战略性新兴产业投资基金（有限合伙）</x:t>
  </x:si>
  <x:si>
    <x:t xml:space="preserve">国科瑞华｜北京国科瑞华战略性新兴产业投资基金（有限合伙）</x:t>
  </x:si>
  <x:si>
    <x:t xml:space="preserve">CE-010-01</x:t>
  </x:si>
  <x:si>
    <x:t xml:space="preserve">CE-010-E01</x:t>
  </x:si>
  <x:si>
    <x:t xml:space="preserve">PTY-015</x:t>
  </x:si>
  <x:si>
    <x:t xml:space="preserve">CASREV FUND</x:t>
  </x:si>
  <x:si>
    <x:t xml:space="preserve">CASREV FUND II-USD L.P.</x:t>
  </x:si>
  <x:si>
    <x:t xml:space="preserve">CASREV FUND｜CASREV FUND II-USD L.P.</x:t>
  </x:si>
  <x:si>
    <x:t xml:space="preserve">PTY-016</x:t>
  </x:si>
  <x:si>
    <x:t xml:space="preserve">中科贵银</x:t>
  </x:si>
  <x:si>
    <x:t xml:space="preserve">中科贵银（贵州）产业投资基金（有限合伙）</x:t>
  </x:si>
  <x:si>
    <x:t xml:space="preserve">中科贵银｜中科贵银（贵州）产业投资基金（有限合伙）</x:t>
  </x:si>
  <x:si>
    <x:t xml:space="preserve">PTY-017</x:t>
  </x:si>
  <x:si>
    <x:t xml:space="preserve">夏东</x:t>
  </x:si>
  <x:si>
    <x:t xml:space="preserve">PTY-018</x:t>
  </x:si>
  <x:si>
    <x:t xml:space="preserve">南山富海</x:t>
  </x:si>
  <x:si>
    <x:t xml:space="preserve">深圳南山东方富海中小微创业投资基金合伙企业（有限合伙）</x:t>
  </x:si>
  <x:si>
    <x:t xml:space="preserve">南山富海｜深圳南山东方富海中小微创业投资基金合伙企业（有限合伙）</x:t>
  </x:si>
  <x:si>
    <x:t xml:space="preserve">PTY-019</x:t>
  </x:si>
  <x:si>
    <x:t xml:space="preserve">珠海拓域</x:t>
  </x:si>
  <x:si>
    <x:t xml:space="preserve">珠海拓域壹号股权投资基金（有限合伙）</x:t>
  </x:si>
  <x:si>
    <x:t xml:space="preserve">珠海拓域｜珠海拓域壹号股权投资基金（有限合伙）</x:t>
  </x:si>
  <x:si>
    <x:t xml:space="preserve">PTY-020</x:t>
  </x:si>
  <x:si>
    <x:t xml:space="preserve">李文发</x:t>
  </x:si>
  <x:si>
    <x:t xml:space="preserve">CE-010-02</x:t>
  </x:si>
  <x:si>
    <x:t xml:space="preserve">CE-010-E02｜CE-011-E01</x:t>
  </x:si>
  <x:si>
    <x:t xml:space="preserve">PTY-021</x:t>
  </x:si>
  <x:si>
    <x:t xml:space="preserve">秦国君</x:t>
  </x:si>
  <x:si>
    <x:t xml:space="preserve">PTY-022</x:t>
  </x:si>
  <x:si>
    <x:t xml:space="preserve">李剑峰</x:t>
  </x:si>
  <x:si>
    <x:t xml:space="preserve">CE-010-E02</x:t>
  </x:si>
  <x:si>
    <x:t xml:space="preserve">PTY-023</x:t>
  </x:si>
  <x:si>
    <x:t xml:space="preserve">周雪峰</x:t>
  </x:si>
  <x:si>
    <x:t xml:space="preserve">PTY-024</x:t>
  </x:si>
  <x:si>
    <x:t xml:space="preserve">富海节能</x:t>
  </x:si>
  <x:si>
    <x:t xml:space="preserve">深圳东方富海节能环保创业投资基金合伙企业（有限合伙）</x:t>
  </x:si>
  <x:si>
    <x:t xml:space="preserve">富海节能｜深圳东方富海节能环保创业投资基金合伙企业（有限合伙）</x:t>
  </x:si>
  <x:si>
    <x:t xml:space="preserve">CE-010-03</x:t>
  </x:si>
  <x:si>
    <x:t xml:space="preserve">PTY-025</x:t>
  </x:si>
  <x:si>
    <x:t xml:space="preserve">临港投资</x:t>
  </x:si>
  <x:si>
    <x:t xml:space="preserve">上海临港松江股权投资基金合伙企业（有限合伙）</x:t>
  </x:si>
  <x:si>
    <x:t xml:space="preserve">临港投资｜上海临港松江股权投资基金合伙企业（有限合伙）</x:t>
  </x:si>
  <x:si>
    <x:t xml:space="preserve">PTY-026</x:t>
  </x:si>
  <x:si>
    <x:t xml:space="preserve">鸿迪投资</x:t>
  </x:si>
  <x:si>
    <x:t xml:space="preserve">上海鸿迪投资集团有限公司</x:t>
  </x:si>
  <x:si>
    <x:t xml:space="preserve">鸿迪投资｜上海鸿迪投资集团有限公司</x:t>
  </x:si>
  <x:si>
    <x:t xml:space="preserve">CE-010-E01｜CE-013-E03</x:t>
  </x:si>
  <x:si>
    <x:t xml:space="preserve">PTY-027</x:t>
  </x:si>
  <x:si>
    <x:t xml:space="preserve">火炬电子</x:t>
  </x:si>
  <x:si>
    <x:t xml:space="preserve">福建火炬电子科技股份有限公司</x:t>
  </x:si>
  <x:si>
    <x:t xml:space="preserve">火炬电子｜福建火炬电子科技股份有限公司</x:t>
  </x:si>
  <x:si>
    <x:t xml:space="preserve">CE-012</x:t>
  </x:si>
  <x:si>
    <x:t xml:space="preserve">CE-012-E01</x:t>
  </x:si>
  <x:si>
    <x:t xml:space="preserve">PTY-028</x:t>
  </x:si>
  <x:si>
    <x:t xml:space="preserve">厦门西堤</x:t>
  </x:si>
  <x:si>
    <x:t xml:space="preserve">厦门西堤拾贰投资合伙企业（有限合伙）</x:t>
  </x:si>
  <x:si>
    <x:t xml:space="preserve">厦门西堤｜厦门西堤拾贰投资合伙企业（有限合伙）</x:t>
  </x:si>
  <x:si>
    <x:t xml:space="preserve">CE-013-01</x:t>
  </x:si>
  <x:si>
    <x:t xml:space="preserve">CE-013-E01</x:t>
  </x:si>
  <x:si>
    <x:t xml:space="preserve">PTY-029</x:t>
  </x:si>
  <x:si>
    <x:t xml:space="preserve">中小企业基金</x:t>
  </x:si>
  <x:si>
    <x:t xml:space="preserve">中小企业发展基金（深圳南山有限合伙）</x:t>
  </x:si>
  <x:si>
    <x:t xml:space="preserve">中小企业基金｜中小企业发展基金（深圳南山有限合伙）</x:t>
  </x:si>
  <x:si>
    <x:t xml:space="preserve">PTY-030</x:t>
  </x:si>
  <x:si>
    <x:t xml:space="preserve">郦韩英</x:t>
  </x:si>
  <x:si>
    <x:t xml:space="preserve">CE-013-E03</x:t>
  </x:si>
  <x:si>
    <x:t xml:space="preserve">PTY-031</x:t>
  </x:si>
  <x:si>
    <x:t xml:space="preserve">福建开京</x:t>
  </x:si>
  <x:si>
    <x:t xml:space="preserve">福建开京集团有限责任公司</x:t>
  </x:si>
  <x:si>
    <x:t xml:space="preserve">福建开京｜福建开京集团有限责任公司</x:t>
  </x:si>
  <x:si>
    <x:t xml:space="preserve">PTY-032</x:t>
  </x:si>
  <x:si>
    <x:t xml:space="preserve">沈笑彦</x:t>
  </x:si>
  <x:si>
    <x:t xml:space="preserve">PTY-033</x:t>
  </x:si>
  <x:si>
    <x:t xml:space="preserve">衣嘉平</x:t>
  </x:si>
  <x:si>
    <x:t xml:space="preserve">PTY-034</x:t>
  </x:si>
  <x:si>
    <x:t xml:space="preserve">余满芬</x:t>
  </x:si>
  <x:si>
    <x:t xml:space="preserve">PTY-035</x:t>
  </x:si>
  <x:si>
    <x:t xml:space="preserve">崔振南</x:t>
  </x:si>
  <x:si>
    <x:t xml:space="preserve">PTY-036</x:t>
  </x:si>
  <x:si>
    <x:t xml:space="preserve">湘裕君源</x:t>
  </x:si>
  <x:si>
    <x:t xml:space="preserve">萍乡市湘裕君源企业管理中心（有限合伙）</x:t>
  </x:si>
  <x:si>
    <x:t xml:space="preserve">湘裕君源｜萍乡市湘裕君源企业管理中心（有限合伙）</x:t>
  </x:si>
  <x:si>
    <x:t xml:space="preserve">增资事件表</x:t>
  </x:si>
  <x:si>
    <x:t xml:space="preserve">一个增资或资本公积转增事件一行；父级复合事件不重复计数。蓝色为原文披露字段，计算值另列。</x:t>
  </x:si>
  <x:si>
    <x:t xml:space="preserve">increase_id</x:t>
  </x:si>
  <x:si>
    <x:t xml:space="preserve">timeline_id</x:t>
  </x:si>
  <x:si>
    <x:t xml:space="preserve">event_id</x:t>
  </x:si>
  <x:si>
    <x:t xml:space="preserve">parent_event_id</x:t>
  </x:si>
  <x:si>
    <x:t xml:space="preserve">increase_type</x:t>
  </x:si>
  <x:si>
    <x:t xml:space="preserve">original_date_text</x:t>
  </x:si>
  <x:si>
    <x:t xml:space="preserve">standardized_date</x:t>
  </x:si>
  <x:si>
    <x:t xml:space="preserve">date_precision</x:t>
  </x:si>
  <x:si>
    <x:t xml:space="preserve">company_form_before</x:t>
  </x:si>
  <x:si>
    <x:t xml:space="preserve">company_form_after</x:t>
  </x:si>
  <x:si>
    <x:t xml:space="preserve">capital_before_original</x:t>
  </x:si>
  <x:si>
    <x:t xml:space="preserve">capital_change_original</x:t>
  </x:si>
  <x:si>
    <x:t xml:space="preserve">capital_after_original</x:t>
  </x:si>
  <x:si>
    <x:t xml:space="preserve">original_unit</x:t>
  </x:si>
  <x:si>
    <x:t xml:space="preserve">capital_before_calculated</x:t>
  </x:si>
  <x:si>
    <x:t xml:space="preserve">capital_change_calculated</x:t>
  </x:si>
  <x:si>
    <x:t xml:space="preserve">capital_after_calculated</x:t>
  </x:si>
  <x:si>
    <x:t xml:space="preserve">calculation_ids</x:t>
  </x:si>
  <x:si>
    <x:t xml:space="preserve">original_value_ids</x:t>
  </x:si>
  <x:si>
    <x:t xml:space="preserve">pdf_pages</x:t>
  </x:si>
  <x:si>
    <x:t xml:space="preserve">printed_pages</x:t>
  </x:si>
  <x:si>
    <x:t xml:space="preserve">core_original_excerpt</x:t>
  </x:si>
  <x:si>
    <x:t xml:space="preserve">undisclosed_items</x:t>
  </x:si>
  <x:si>
    <x:t xml:space="preserve">INC-001</x:t>
  </x:si>
  <x:si>
    <x:t xml:space="preserve">TL-003</x:t>
  </x:si>
  <x:si>
    <x:t xml:space="preserve">CE-002-02</x:t>
  </x:si>
  <x:si>
    <x:t xml:space="preserve">CE-002</x:t>
  </x:si>
  <x:si>
    <x:t xml:space="preserve">现金增资</x:t>
  </x:si>
  <x:si>
    <x:t xml:space="preserve">2009年12月</x:t>
  </x:si>
  <x:si>
    <x:t xml:space="preserve">月</x:t>
  </x:si>
  <x:si>
    <x:t xml:space="preserve">有限公司</x:t>
  </x:si>
  <x:si>
    <x:t xml:space="preserve">万元</x:t>
  </x:si>
  <x:si>
    <x:t xml:space="preserve">S6-CAL-001｜S6-CAL-002</x:t>
  </x:si>
  <x:si>
    <x:t xml:space="preserve">CE-002-V02｜CE-002-V03</x:t>
  </x:si>
  <x:si>
    <x:t xml:space="preserve">56</x:t>
  </x:si>
  <x:si>
    <x:t xml:space="preserve">55</x:t>
  </x:si>
  <x:si>
    <x:t xml:space="preserve">深圳市云汉电子有限公司将其持有的有限公司50%股权转让给曾烨，曾烨、刘云锋按原持股比例增资50万元，注册资本增至100万元。</x:t>
  </x:si>
  <x:si>
    <x:t xml:space="preserve">增资协议或股东会决议日；各自增资额；缴款验资日；工商变更日；增资后持股比例。</x:t>
  </x:si>
  <x:si>
    <x:t xml:space="preserve">原文仅披露两人合计增资额；按原持股比例分配属于计算值。</x:t>
  </x:si>
  <x:si>
    <x:t xml:space="preserve">INC-002</x:t>
  </x:si>
  <x:si>
    <x:t xml:space="preserve">TL-005</x:t>
  </x:si>
  <x:si>
    <x:t xml:space="preserve">2014年8月</x:t>
  </x:si>
  <x:si>
    <x:t xml:space="preserve">CE-004-V01｜CE-004-V02</x:t>
  </x:si>
  <x:si>
    <x:t xml:space="preserve">CE-004-E01｜CE-004-E02</x:t>
  </x:si>
  <x:si>
    <x:t xml:space="preserve">“2014年8月，有限公司第二次增资，注册资本增至128.205万元。”；“力源信息、东方富海及芜湖富海共同增资28.205万元。”</x:t>
  </x:si>
  <x:si>
    <x:t xml:space="preserve">各增资方分别认缴额；增资协议和决议日期；缴款验资日；工商变更日；增资后持股比例。</x:t>
  </x:si>
  <x:si>
    <x:t xml:space="preserve">三名增资方各自认缴额未披露，不平均分配。</x:t>
  </x:si>
  <x:si>
    <x:t xml:space="preserve">INC-003</x:t>
  </x:si>
  <x:si>
    <x:t xml:space="preserve">TL-006</x:t>
  </x:si>
  <x:si>
    <x:t xml:space="preserve">CE-005</x:t>
  </x:si>
  <x:si>
    <x:t xml:space="preserve">2015年1月</x:t>
  </x:si>
  <x:si>
    <x:t xml:space="preserve">S6-CAL-004</x:t>
  </x:si>
  <x:si>
    <x:t xml:space="preserve">CE-005-V01｜CE-005-V02</x:t>
  </x:si>
  <x:si>
    <x:t xml:space="preserve">CE-005-E01｜CE-005-E02</x:t>
  </x:si>
  <x:si>
    <x:t xml:space="preserve">“2015年1月，有限公司第三次增资，注册资本增至136.9864万元。”；“力源信息、东方富海及芜湖富海共同增资8.78714万元。”</x:t>
  </x:si>
  <x:si>
    <x:t xml:space="preserve">协议、决议、缴款、验资和工商变更日期；各方增资额及增资后持股比例。</x:t>
  </x:si>
  <x:si>
    <x:t xml:space="preserve">原文前后值存在0.00574万元算术差异，保留至阶段七。</x:t>
  </x:si>
  <x:si>
    <x:t xml:space="preserve">INC-004</x:t>
  </x:si>
  <x:si>
    <x:t xml:space="preserve">TL-007</x:t>
  </x:si>
  <x:si>
    <x:t xml:space="preserve">CE-006</x:t>
  </x:si>
  <x:si>
    <x:t xml:space="preserve">资本公积转增</x:t>
  </x:si>
  <x:si>
    <x:t xml:space="preserve">2015年3月</x:t>
  </x:si>
  <x:si>
    <x:t xml:space="preserve">S6-CAL-005</x:t>
  </x:si>
  <x:si>
    <x:t xml:space="preserve">CE-006-V01</x:t>
  </x:si>
  <x:si>
    <x:t xml:space="preserve">CE-006-E01｜CE-006-E02</x:t>
  </x:si>
  <x:si>
    <x:t xml:space="preserve">“2015年3月，有限公司第四次增资，注册资本增至2,000万元。”；“新增注册资本由各股东按照其持股比例以资本公积转增。”</x:t>
  </x:si>
  <x:si>
    <x:t xml:space="preserve">股东会决议日；验资日；工商变更日；逐股东转增数值。</x:t>
  </x:si>
  <x:si>
    <x:t xml:space="preserve">非现金投资；因上期快照不完整，不拆分至各股东。</x:t>
  </x:si>
  <x:si>
    <x:t xml:space="preserve">INC-005</x:t>
  </x:si>
  <x:si>
    <x:t xml:space="preserve">TL-008</x:t>
  </x:si>
  <x:si>
    <x:t xml:space="preserve">2015年8月</x:t>
  </x:si>
  <x:si>
    <x:t xml:space="preserve">CE-007-V01｜CE-007-V02</x:t>
  </x:si>
  <x:si>
    <x:t xml:space="preserve">CE-007-E01｜CE-007-E02</x:t>
  </x:si>
  <x:si>
    <x:t xml:space="preserve">57</x:t>
  </x:si>
  <x:si>
    <x:t xml:space="preserve">“2015年8月，有限公司第五次增资，注册资本增至2,158.2733万元。”；“深创投、丰利财富、镇江红土、昆山红土、富海深湾、芜湖富海共同增资158.2733万元。”</x:t>
  </x:si>
  <x:si>
    <x:t xml:space="preserve">各方分别认缴额；协议、决议、缴款验资及工商变更日期；增资后持股比例。</x:t>
  </x:si>
  <x:si>
    <x:t xml:space="preserve">六名增资方各自认缴额未披露，不平均分配。</x:t>
  </x:si>
  <x:si>
    <x:t xml:space="preserve">INC-006</x:t>
  </x:si>
  <x:si>
    <x:t xml:space="preserve">TL-011</x:t>
  </x:si>
  <x:si>
    <x:t xml:space="preserve">CE-010</x:t>
  </x:si>
  <x:si>
    <x:t xml:space="preserve">2018年6月至7月</x:t>
  </x:si>
  <x:si>
    <x:t xml:space="preserve">2018-07-27</x:t>
  </x:si>
  <x:si>
    <x:t xml:space="preserve">多个节点</x:t>
  </x:si>
  <x:si>
    <x:t xml:space="preserve">股份公司</x:t>
  </x:si>
  <x:si>
    <x:t xml:space="preserve">S6-CAL-008</x:t>
  </x:si>
  <x:si>
    <x:t xml:space="preserve">CE-008-V06｜CE-010-V01—CE-010-V12｜CE-010-V31｜CE-010-V32</x:t>
  </x:si>
  <x:si>
    <x:t xml:space="preserve">CE-010-E01｜CE-010-E03｜CE-010-E04｜CE-010-E05</x:t>
  </x:si>
  <x:si>
    <x:t xml:space="preserve">59｜60｜60—61</x:t>
  </x:si>
  <x:si>
    <x:t xml:space="preserve">58｜59｜59—60</x:t>
  </x:si>
  <x:si>
    <x:t xml:space="preserve">2018年6月12日签署增资与股权转让协议，列明六方增资及四笔股份转让。；2018年6月28日完成夏东、南山富海、珠海拓域及四名激励对象的工商变更。；2018年7月27日完成国科瑞华、CASREV FUND、中科贵银增资登记。；变更后股东表列示六名外部增资方、四名激励对象及三名股份受让方。</x:t>
  </x:si>
  <x:si>
    <x:t xml:space="preserve">六方实际缴款日期；本子事件独立完成后的注册资本（原文仅披露分批及父事件组结果）。</x:t>
  </x:si>
  <x:si>
    <x:t xml:space="preserve">515万元为六项原文认缴额的计算合计；4,635万元属于CE-010父事件组最终结果，不填入本子事件增资后注册资本字段。</x:t>
  </x:si>
  <x:si>
    <x:t xml:space="preserve">INC-007</x:t>
  </x:si>
  <x:si>
    <x:t xml:space="preserve">TL-012</x:t>
  </x:si>
  <x:si>
    <x:t xml:space="preserve">股权激励增资</x:t>
  </x:si>
  <x:si>
    <x:t xml:space="preserve">2018年6月</x:t>
  </x:si>
  <x:si>
    <x:t xml:space="preserve">2018-06-28</x:t>
  </x:si>
  <x:si>
    <x:t xml:space="preserve">S6-CAL-009</x:t>
  </x:si>
  <x:si>
    <x:t xml:space="preserve">CE-010-V13—CE-010-V20</x:t>
  </x:si>
  <x:si>
    <x:t xml:space="preserve">CE-010-E02｜CE-010-E03｜CE-010-E05</x:t>
  </x:si>
  <x:si>
    <x:t xml:space="preserve">60｜60—61</x:t>
  </x:si>
  <x:si>
    <x:t xml:space="preserve">59｜59—60</x:t>
  </x:si>
  <x:si>
    <x:t xml:space="preserve">2018年6月12日股东大会同意四名管理团队成员合计认缴新增注册资本120万元。；2018年6月28日完成夏东、南山富海、珠海拓域及四名激励对象的工商变更。；变更后股东表列示六名外部增资方、四名激励对象及三名股份受让方。</x:t>
  </x:si>
  <x:si>
    <x:t xml:space="preserve">独立增资协议；实际缴款日期；本子事件独立变更后的注册资本。</x:t>
  </x:si>
  <x:si>
    <x:t xml:space="preserve">原文每股价格1元；本阶段不评价激励定价。</x:t>
  </x:si>
  <x:si>
    <x:t xml:space="preserve">INC-008</x:t>
  </x:si>
  <x:si>
    <x:t xml:space="preserve">TL-015</x:t>
  </x:si>
  <x:si>
    <x:t xml:space="preserve">2020年5月</x:t>
  </x:si>
  <x:si>
    <x:t xml:space="preserve">2020-05-28</x:t>
  </x:si>
  <x:si>
    <x:t xml:space="preserve">S6-CAL-013</x:t>
  </x:si>
  <x:si>
    <x:t xml:space="preserve">CE-012-V01—CE-012-V06</x:t>
  </x:si>
  <x:si>
    <x:t xml:space="preserve">CE-012-E01｜CE-012-E02｜CE-012-E04</x:t>
  </x:si>
  <x:si>
    <x:t xml:space="preserve">62｜62—63</x:t>
  </x:si>
  <x:si>
    <x:t xml:space="preserve">61｜61—62</x:t>
  </x:si>
  <x:si>
    <x:t xml:space="preserve">2020年5月20日股东大会决议并签署增资协议，火炬电子现金5,000万元认购113.0488万股。；2020年5月28日完成市场监督管理变更备案。；增资后股东表首次列示火炬电子1,130,488股。</x:t>
  </x:si>
  <x:si>
    <x:t xml:space="preserve">实际缴款日期；验资报告虽于2020-12-16出具，不替代2020-05-28变更备案完成节点。</x:t>
  </x:si>
  <x:si>
    <x:t xml:space="preserve">新增注册资本113.0488万元由原文前后资本及股份数衔接；正式校验留待阶段七。</x:t>
  </x:si>
  <x:si>
    <x:t xml:space="preserve">INC-009</x:t>
  </x:si>
  <x:si>
    <x:t xml:space="preserve">TL-016</x:t>
  </x:si>
  <x:si>
    <x:t xml:space="preserve">2020年9月</x:t>
  </x:si>
  <x:si>
    <x:t xml:space="preserve">2020-09-23</x:t>
  </x:si>
  <x:si>
    <x:t xml:space="preserve">S6-CAL-015</x:t>
  </x:si>
  <x:si>
    <x:t xml:space="preserve">CE-013-V01—CE-013-V06｜CE-013-V28｜CE-013-V29</x:t>
  </x:si>
  <x:si>
    <x:t xml:space="preserve">CE-013-E01｜CE-013-E04｜CE-013-E05</x:t>
  </x:si>
  <x:si>
    <x:t xml:space="preserve">63｜64｜64—65</x:t>
  </x:si>
  <x:si>
    <x:t xml:space="preserve">62｜63｜63—64</x:t>
  </x:si>
  <x:si>
    <x:t xml:space="preserve">2020年9月15日股东大会同意厦门西堤、中小企业基金认购新增股份。；2020年9月23日完成工商变更登记；原文披露每股价格约51.6元。；变更后股东表列示两名增资方及各股份受让方，四名转让方仍持股。</x:t>
  </x:si>
  <x:si>
    <x:t xml:space="preserve">增资协议具体签署日；实际缴款日；与同月股份转让的实际先后。</x:t>
  </x:si>
  <x:si>
    <x:t xml:space="preserve">与同月十笔股份转让的实际先后未披露。</x:t>
  </x:si>
  <x:si>
    <x:t xml:space="preserve">每名增资参与方一行。共同增资但各方金额未披露时保持空值，不平均分配；集合主体“各股东”仅用于资本公积转增方向。</x:t>
  </x:si>
  <x:si>
    <x:t xml:space="preserve">subscription_id</x:t>
  </x:si>
  <x:si>
    <x:t xml:space="preserve">original_party_name</x:t>
  </x:si>
  <x:si>
    <x:t xml:space="preserve">standardized_party_name</x:t>
  </x:si>
  <x:si>
    <x:t xml:space="preserve">party_status_before</x:t>
  </x:si>
  <x:si>
    <x:t xml:space="preserve">entry_or_increase_direction</x:t>
  </x:si>
  <x:si>
    <x:t xml:space="preserve">cash_contribution_original</x:t>
  </x:si>
  <x:si>
    <x:t xml:space="preserve">cash_unit</x:t>
  </x:si>
  <x:si>
    <x:t xml:space="preserve">subscribed_capital_original</x:t>
  </x:si>
  <x:si>
    <x:t xml:space="preserve">capital_unit</x:t>
  </x:si>
  <x:si>
    <x:t xml:space="preserve">shares_acquired_original</x:t>
  </x:si>
  <x:si>
    <x:t xml:space="preserve">shares_unit</x:t>
  </x:si>
  <x:si>
    <x:t xml:space="preserve">price_original</x:t>
  </x:si>
  <x:si>
    <x:t xml:space="preserve">price_unit</x:t>
  </x:si>
  <x:si>
    <x:t xml:space="preserve">post_money_valuation_original</x:t>
  </x:si>
  <x:si>
    <x:t xml:space="preserve">valuation_unit</x:t>
  </x:si>
  <x:si>
    <x:t xml:space="preserve">allocated_amount_calculated</x:t>
  </x:si>
  <x:si>
    <x:t xml:space="preserve">shares_calculated</x:t>
  </x:si>
  <x:si>
    <x:t xml:space="preserve">holding_after_calculated</x:t>
  </x:si>
  <x:si>
    <x:t xml:space="preserve">holding_percentage_calculated</x:t>
  </x:si>
  <x:si>
    <x:t xml:space="preserve">SUB-001</x:t>
  </x:si>
  <x:si>
    <x:t xml:space="preserve">受让后持有50%股权</x:t>
  </x:si>
  <x:si>
    <x:t xml:space="preserve">既有股东增资</x:t>
  </x:si>
  <x:si>
    <x:t xml:space="preserve">CE-002-V02</x:t>
  </x:si>
  <x:si>
    <x:t xml:space="preserve">具体缴款日。</x:t>
  </x:si>
  <x:si>
    <x:t xml:space="preserve">合计50万元按原持股比例分配：25万元；属于计算值。</x:t>
  </x:si>
  <x:si>
    <x:t xml:space="preserve">SUB-002</x:t>
  </x:si>
  <x:si>
    <x:t xml:space="preserve">原持有50%股权</x:t>
  </x:si>
  <x:si>
    <x:t xml:space="preserve">SUB-003</x:t>
  </x:si>
  <x:si>
    <x:t xml:space="preserve">此前未列示为股东</x:t>
  </x:si>
  <x:si>
    <x:t xml:space="preserve">新增股东</x:t>
  </x:si>
  <x:si>
    <x:t xml:space="preserve">CE-004-V01</x:t>
  </x:si>
  <x:si>
    <x:t xml:space="preserve">各自认缴额及持股比例。</x:t>
  </x:si>
  <x:si>
    <x:t xml:space="preserve">仅确认共同增资和新增方向，不平均分配28.205万元。</x:t>
  </x:si>
  <x:si>
    <x:t xml:space="preserve">SUB-004</x:t>
  </x:si>
  <x:si>
    <x:t xml:space="preserve">SUB-005</x:t>
  </x:si>
  <x:si>
    <x:t xml:space="preserve">SUB-006</x:t>
  </x:si>
  <x:si>
    <x:t xml:space="preserve">既有股东</x:t>
  </x:si>
  <x:si>
    <x:t xml:space="preserve">持股增加</x:t>
  </x:si>
  <x:si>
    <x:t xml:space="preserve">CE-005-V01</x:t>
  </x:si>
  <x:si>
    <x:t xml:space="preserve">CE-005-E02</x:t>
  </x:si>
  <x:si>
    <x:t xml:space="preserve">仅确认共同增资；CE-005差异保留至阶段七。</x:t>
  </x:si>
  <x:si>
    <x:t xml:space="preserve">SUB-007</x:t>
  </x:si>
  <x:si>
    <x:t xml:space="preserve">SUB-008</x:t>
  </x:si>
  <x:si>
    <x:t xml:space="preserve">SUB-009</x:t>
  </x:si>
  <x:si>
    <x:t xml:space="preserve">各股东</x:t>
  </x:si>
  <x:si>
    <x:t xml:space="preserve">有限公司全体现有股东</x:t>
  </x:si>
  <x:si>
    <x:t xml:space="preserve">按原持股比例转增</x:t>
  </x:si>
  <x:si>
    <x:t xml:space="preserve">CE-006-E02</x:t>
  </x:si>
  <x:si>
    <x:t xml:space="preserve">各股东转增额。</x:t>
  </x:si>
  <x:si>
    <x:t xml:space="preserve">集合主体记录；资本公积转增不是现金投资，且上期持股不完整，不能分拆。</x:t>
  </x:si>
  <x:si>
    <x:t xml:space="preserve">SUB-010</x:t>
  </x:si>
  <x:si>
    <x:t xml:space="preserve">CE-007-V01</x:t>
  </x:si>
  <x:si>
    <x:t xml:space="preserve">该主体此前未列示为股东；仅确认新增方向，不平均分配六方共同增资额。</x:t>
  </x:si>
  <x:si>
    <x:t xml:space="preserve">SUB-011</x:t>
  </x:si>
  <x:si>
    <x:t xml:space="preserve">SUB-012</x:t>
  </x:si>
  <x:si>
    <x:t xml:space="preserve">SUB-013</x:t>
  </x:si>
  <x:si>
    <x:t xml:space="preserve">SUB-014</x:t>
  </x:si>
  <x:si>
    <x:t xml:space="preserve">SUB-015</x:t>
  </x:si>
  <x:si>
    <x:t xml:space="preserve">芜湖富海已于CE-004进入；本次标记持股增加，不平均分配六方共同增资额。</x:t>
  </x:si>
  <x:si>
    <x:t xml:space="preserve">SUB-016</x:t>
  </x:si>
  <x:si>
    <x:t xml:space="preserve">元/股</x:t>
  </x:si>
  <x:si>
    <x:t xml:space="preserve">亿元</x:t>
  </x:si>
  <x:si>
    <x:t xml:space="preserve">CE-010-V01｜CE-010-V02｜CE-010-V31｜CE-010-V32</x:t>
  </x:si>
  <x:si>
    <x:t xml:space="preserve">CE-010-E01｜CE-010-E05</x:t>
  </x:si>
  <x:si>
    <x:t xml:space="preserve">59｜60—61</x:t>
  </x:si>
  <x:si>
    <x:t xml:space="preserve">58｜59—60</x:t>
  </x:si>
  <x:si>
    <x:t xml:space="preserve">现金到账日。</x:t>
  </x:si>
  <x:si>
    <x:t xml:space="preserve">股份数=认缴新增注册资本×10,000，属于计算值；29.13元/股、13.5亿元为原文约数。</x:t>
  </x:si>
  <x:si>
    <x:t xml:space="preserve">SUB-017</x:t>
  </x:si>
  <x:si>
    <x:t xml:space="preserve">万元人民币等值美元</x:t>
  </x:si>
  <x:si>
    <x:t xml:space="preserve">CE-010-V03｜CE-010-V04｜CE-010-V31｜CE-010-V32</x:t>
  </x:si>
  <x:si>
    <x:t xml:space="preserve">SUB-018</x:t>
  </x:si>
  <x:si>
    <x:t xml:space="preserve">CE-010-V05｜CE-010-V06｜CE-010-V31｜CE-010-V32</x:t>
  </x:si>
  <x:si>
    <x:t xml:space="preserve">SUB-019</x:t>
  </x:si>
  <x:si>
    <x:t xml:space="preserve">CE-010-V07｜CE-010-V08｜CE-010-V31｜CE-010-V32</x:t>
  </x:si>
  <x:si>
    <x:t xml:space="preserve">SUB-020</x:t>
  </x:si>
  <x:si>
    <x:t xml:space="preserve">CE-010-V09｜CE-010-V10｜CE-010-V31｜CE-010-V32</x:t>
  </x:si>
  <x:si>
    <x:t xml:space="preserve">SUB-021</x:t>
  </x:si>
  <x:si>
    <x:t xml:space="preserve">CE-010-V11｜CE-010-V12｜CE-010-V31｜CE-010-V32</x:t>
  </x:si>
  <x:si>
    <x:t xml:space="preserve">SUB-022</x:t>
  </x:si>
  <x:si>
    <x:t xml:space="preserve">此前未直接持股</x:t>
  </x:si>
  <x:si>
    <x:t xml:space="preserve">新增直接股东</x:t>
  </x:si>
  <x:si>
    <x:t xml:space="preserve">CE-010-V13｜CE-010-V14</x:t>
  </x:si>
  <x:si>
    <x:t xml:space="preserve">CE-010-E02｜CE-010-E05</x:t>
  </x:si>
  <x:si>
    <x:t xml:space="preserve">独立协议及现金到账日。</x:t>
  </x:si>
  <x:si>
    <x:t xml:space="preserve">股份数=认缴新增注册资本×10,000，属于计算值；1元/股为原文直接披露。</x:t>
  </x:si>
  <x:si>
    <x:t xml:space="preserve">SUB-023</x:t>
  </x:si>
  <x:si>
    <x:t xml:space="preserve">CE-010-V15｜CE-010-V16</x:t>
  </x:si>
  <x:si>
    <x:t xml:space="preserve">SUB-024</x:t>
  </x:si>
  <x:si>
    <x:t xml:space="preserve">CE-010-V17｜CE-010-V18</x:t>
  </x:si>
  <x:si>
    <x:t xml:space="preserve">SUB-025</x:t>
  </x:si>
  <x:si>
    <x:t xml:space="preserve">CE-010-V19｜CE-010-V20</x:t>
  </x:si>
  <x:si>
    <x:t xml:space="preserve">SUB-026</x:t>
  </x:si>
  <x:si>
    <x:t xml:space="preserve">股</x:t>
  </x:si>
  <x:si>
    <x:t xml:space="preserve">CE-012-V03｜CE-012-V04｜CE-012-V05｜CE-012-V06</x:t>
  </x:si>
  <x:si>
    <x:t xml:space="preserve">CE-012-E01｜CE-012-E04</x:t>
  </x:si>
  <x:si>
    <x:t xml:space="preserve">实际缴款日期。</x:t>
  </x:si>
  <x:si>
    <x:t xml:space="preserve">现金、股份、约每股价格及约投后估值均为原文披露值。</x:t>
  </x:si>
  <x:si>
    <x:t xml:space="preserve">SUB-027</x:t>
  </x:si>
  <x:si>
    <x:t xml:space="preserve">CE-013-V03｜CE-013-V04｜CE-013-V28｜CE-013-V29</x:t>
  </x:si>
  <x:si>
    <x:t xml:space="preserve">CE-013-E01｜CE-013-E05</x:t>
  </x:si>
  <x:si>
    <x:t xml:space="preserve">63｜64—65</x:t>
  </x:si>
  <x:si>
    <x:t xml:space="preserve">62｜63—64</x:t>
  </x:si>
  <x:si>
    <x:t xml:space="preserve">实际缴款日；与同月转让的实际先后。</x:t>
  </x:si>
  <x:si>
    <x:t xml:space="preserve">51.6元/股、25.2亿元为本次增资及转让的原文约数。</x:t>
  </x:si>
  <x:si>
    <x:t xml:space="preserve">SUB-028</x:t>
  </x:si>
  <x:si>
    <x:t xml:space="preserve">CE-013-V05｜CE-013-V06｜CE-013-V28｜CE-013-V29</x:t>
  </x:si>
  <x:si>
    <x:t xml:space="preserve">股权转让事件表</x:t>
  </x:si>
  <x:si>
    <x:t xml:space="preserve">一个转让事件一行；逐笔交易见05表。事件合计若非原文直接披露，必须登记在计算列。</x:t>
  </x:si>
  <x:si>
    <x:t xml:space="preserve">transfer_event_id</x:t>
  </x:si>
  <x:si>
    <x:t xml:space="preserve">standard_event_name</x:t>
  </x:si>
  <x:si>
    <x:t xml:space="preserve">transfer_instrument</x:t>
  </x:si>
  <x:si>
    <x:t xml:space="preserve">total_transferred_original</x:t>
  </x:si>
  <x:si>
    <x:t xml:space="preserve">total_transferred_unit</x:t>
  </x:si>
  <x:si>
    <x:t xml:space="preserve">total_consideration_original</x:t>
  </x:si>
  <x:si>
    <x:t xml:space="preserve">consideration_unit</x:t>
  </x:si>
  <x:si>
    <x:t xml:space="preserve">total_transferred_calculated</x:t>
  </x:si>
  <x:si>
    <x:t xml:space="preserve">calculated_transfer_unit</x:t>
  </x:si>
  <x:si>
    <x:t xml:space="preserve">total_consideration_calculated</x:t>
  </x:si>
  <x:si>
    <x:t xml:space="preserve">calculated_consideration_unit</x:t>
  </x:si>
  <x:si>
    <x:t xml:space="preserve">registered_capital_unchanged</x:t>
  </x:si>
  <x:si>
    <x:t xml:space="preserve">internal_order_status</x:t>
  </x:si>
  <x:si>
    <x:t xml:space="preserve">TR-EVT-001</x:t>
  </x:si>
  <x:si>
    <x:t xml:space="preserve">TL-002</x:t>
  </x:si>
  <x:si>
    <x:t xml:space="preserve">深圳云汉电子向曾烨转让有限公司全部持股</x:t>
  </x:si>
  <x:si>
    <x:t xml:space="preserve">股权转让</x:t>
  </x:si>
  <x:si>
    <x:t xml:space="preserve">50</x:t>
  </x:si>
  <x:si>
    <x:t xml:space="preserve">%</x:t>
  </x:si>
  <x:si>
    <x:t xml:space="preserve">是</x:t>
  </x:si>
  <x:si>
    <x:t xml:space="preserve">原文明示</x:t>
  </x:si>
  <x:si>
    <x:t xml:space="preserve">CE-002-V01</x:t>
  </x:si>
  <x:si>
    <x:t xml:space="preserve">股份转让协议名称及签署日；转让价款及支付日；工商变更日。</x:t>
  </x:si>
  <x:si>
    <x:t xml:space="preserve">原文明确先转让、后增资；价款未披露。</x:t>
  </x:si>
  <x:si>
    <x:t xml:space="preserve">TR-EVT-002</x:t>
  </x:si>
  <x:si>
    <x:t xml:space="preserve">TL-004</x:t>
  </x:si>
  <x:si>
    <x:t xml:space="preserve">刘云锋向曾烨、为赛咨询分别转让有限公司股权</x:t>
  </x:si>
  <x:si>
    <x:t xml:space="preserve">2014年6月</x:t>
  </x:si>
  <x:si>
    <x:t xml:space="preserve">不适用</x:t>
  </x:si>
  <x:si>
    <x:t xml:space="preserve">S6-CAL-003</x:t>
  </x:si>
  <x:si>
    <x:t xml:space="preserve">CE-003-V02｜CE-003-V03</x:t>
  </x:si>
  <x:si>
    <x:t xml:space="preserve">CE-003-E01｜CE-003-E02</x:t>
  </x:si>
  <x:si>
    <x:t xml:space="preserve">“2014年6月，有限公司第二次股权转让，注册资本100万元。”；“刘云锋将其持有的15.75%、6.85%的股权分别转让给曾烨、为赛咨询。”</x:t>
  </x:si>
  <x:si>
    <x:t xml:space="preserve">股权转让协议及签署日；转让价款及支付日；工商变更日。</x:t>
  </x:si>
  <x:si>
    <x:t xml:space="preserve">两笔比例合计22.60%为计算值；价款未披露。</x:t>
  </x:si>
  <x:si>
    <x:t xml:space="preserve">TR-EVT-003</x:t>
  </x:si>
  <x:si>
    <x:t xml:space="preserve">TL-010</x:t>
  </x:si>
  <x:si>
    <x:t xml:space="preserve">丰利财富向天健创投转让全部股份</x:t>
  </x:si>
  <x:si>
    <x:t xml:space="preserve">2018年4月</x:t>
  </x:si>
  <x:si>
    <x:t xml:space="preserve">2018-04-28</x:t>
  </x:si>
  <x:si>
    <x:t xml:space="preserve">股份转让协议</x:t>
  </x:si>
  <x:si>
    <x:t xml:space="preserve">CE-009-V01｜CE-009-V02｜CE-009-V03</x:t>
  </x:si>
  <x:si>
    <x:t xml:space="preserve">CE-009-E01｜CE-009-E02</x:t>
  </x:si>
  <x:si>
    <x:t xml:space="preserve">58｜58—59</x:t>
  </x:si>
  <x:si>
    <x:t xml:space="preserve">57｜57—58</x:t>
  </x:si>
  <x:si>
    <x:t xml:space="preserve">2018年4月28日，丰利财富将全部666,680股转让给天健创投，价款1,000万元。；转让后股东表列示天健创投666,680股、1.67%，不再列示丰利财富。</x:t>
  </x:si>
  <x:si>
    <x:t xml:space="preserve">转让价款支付日；工商登记日或独立完成日。</x:t>
  </x:si>
  <x:si>
    <x:t xml:space="preserve">协议日明确；支付和交割完成日未单独披露。</x:t>
  </x:si>
  <x:si>
    <x:t xml:space="preserve">TR-EVT-004</x:t>
  </x:si>
  <x:si>
    <x:t xml:space="preserve">TL-013</x:t>
  </x:si>
  <x:si>
    <x:t xml:space="preserve">曾烨、刘云锋实施四笔股份转让</x:t>
  </x:si>
  <x:si>
    <x:t xml:space="preserve">2018-06-12</x:t>
  </x:si>
  <x:si>
    <x:t xml:space="preserve">增资与股权转让协议</x:t>
  </x:si>
  <x:si>
    <x:t xml:space="preserve">无法判断</x:t>
  </x:si>
  <x:si>
    <x:t xml:space="preserve">S6-CAL-010</x:t>
  </x:si>
  <x:si>
    <x:t xml:space="preserve">CE-010-V21—CE-010-V28｜CE-010-V31｜CE-010-V32</x:t>
  </x:si>
  <x:si>
    <x:t xml:space="preserve">2018年6月12日签署增资与股权转让协议，列明六方增资及四笔股份转让。；变更后股东表列示六名外部增资方、四名激励对象及三名股份受让方。</x:t>
  </x:si>
  <x:si>
    <x:t xml:space="preserve">各笔价款支付日；股份转让独立完成日；工商登记日；相对同组增资的实际先后。</x:t>
  </x:si>
  <x:si>
    <x:t xml:space="preserve">四笔同一协议安排；行序不解释为逐笔交割顺序。</x:t>
  </x:si>
  <x:si>
    <x:t xml:space="preserve">TR-EVT-005</x:t>
  </x:si>
  <x:si>
    <x:t xml:space="preserve">TL-014</x:t>
  </x:si>
  <x:si>
    <x:t xml:space="preserve">为赛咨询向李文发、秦国君转让股份</x:t>
  </x:si>
  <x:si>
    <x:t xml:space="preserve">2019年8月</x:t>
  </x:si>
  <x:si>
    <x:t xml:space="preserve">2019-08-13</x:t>
  </x:si>
  <x:si>
    <x:t xml:space="preserve">S6-CAL-012</x:t>
  </x:si>
  <x:si>
    <x:t xml:space="preserve">CE-011-V01—CE-011-V04</x:t>
  </x:si>
  <x:si>
    <x:t xml:space="preserve">CE-011-E01｜CE-011-E03</x:t>
  </x:si>
  <x:si>
    <x:t xml:space="preserve">2019年8月13日，为赛咨询分别向李文发、秦国君转让40万股，价款各40万元。；转让后为赛咨询持股1,053,360股，李文发、秦国君各持600,000股。</x:t>
  </x:si>
  <x:si>
    <x:t xml:space="preserve">股份转让价款支付日；工商登记日或独立完成日。</x:t>
  </x:si>
  <x:si>
    <x:t xml:space="preserve">配套退伙属于关联安排，不另建发行人股份转让。</x:t>
  </x:si>
  <x:si>
    <x:t xml:space="preserve">TR-EVT-006</x:t>
  </x:si>
  <x:si>
    <x:t xml:space="preserve">TL-017</x:t>
  </x:si>
  <x:si>
    <x:t xml:space="preserve">四名转让方实施十笔股份转让</x:t>
  </x:si>
  <x:si>
    <x:t xml:space="preserve">股份转让安排</x:t>
  </x:si>
  <x:si>
    <x:t xml:space="preserve">S6-CAL-016</x:t>
  </x:si>
  <x:si>
    <x:t xml:space="preserve">CE-013-V07—CE-013-V29</x:t>
  </x:si>
  <x:si>
    <x:t xml:space="preserve">CE-013-E03｜CE-013-E04｜CE-013-E05</x:t>
  </x:si>
  <x:si>
    <x:t xml:space="preserve">64｜64—65</x:t>
  </x:si>
  <x:si>
    <x:t xml:space="preserve">63｜63—64</x:t>
  </x:si>
  <x:si>
    <x:t xml:space="preserve">原文表格列示四名转让方向八名受让主体实施十笔股份转让。；2020年9月23日完成工商变更登记；原文披露每股价格约51.6元。；变更后股东表列示两名增资方及各股份受让方，四名转让方仍持股。</x:t>
  </x:si>
  <x:si>
    <x:t xml:space="preserve">各股份转让协议具体签署日；价款支付日；独立完成日；与同月增资的实际先后。</x:t>
  </x:si>
  <x:si>
    <x:t xml:space="preserve">与同月增资实际先后未披露；原文行号不解释为交割顺序。十笔原文价款逐笔求和为8,563.19万元；原底稿8,563.79万元为计算录入错误。</x:t>
  </x:si>
  <x:si>
    <x:t xml:space="preserve">股权转让原子明细</x:t>
  </x:si>
  <x:si>
    <x:t xml:space="preserve">最小粒度为“一个转让方×一个受让方×一个明确标的”。单位价格是公式计算值，待阶段七校验。</x:t>
  </x:si>
  <x:si>
    <x:t xml:space="preserve">transfer_lot_id</x:t>
  </x:si>
  <x:si>
    <x:t xml:space="preserve">transferor_party_id</x:t>
  </x:si>
  <x:si>
    <x:t xml:space="preserve">transferee_party_id</x:t>
  </x:si>
  <x:si>
    <x:t xml:space="preserve">transferor_original_name</x:t>
  </x:si>
  <x:si>
    <x:t xml:space="preserve">transferee_original_name</x:t>
  </x:si>
  <x:si>
    <x:t xml:space="preserve">transferred_amount_original</x:t>
  </x:si>
  <x:si>
    <x:t xml:space="preserve">transferred_percentage_original</x:t>
  </x:si>
  <x:si>
    <x:t xml:space="preserve">transferred_shares_original</x:t>
  </x:si>
  <x:si>
    <x:t xml:space="preserve">consideration_original</x:t>
  </x:si>
  <x:si>
    <x:t xml:space="preserve">unit_price_calculated</x:t>
  </x:si>
  <x:si>
    <x:t xml:space="preserve">unit_price_unit</x:t>
  </x:si>
  <x:si>
    <x:t xml:space="preserve">transferor_holding_after_calculated</x:t>
  </x:si>
  <x:si>
    <x:t xml:space="preserve">transferee_holding_after_calculated</x:t>
  </x:si>
  <x:si>
    <x:t xml:space="preserve">transferor_change_direction</x:t>
  </x:si>
  <x:si>
    <x:t xml:space="preserve">transferee_change_direction</x:t>
  </x:si>
  <x:si>
    <x:t xml:space="preserve">TR-LOT-001</x:t>
  </x:si>
  <x:si>
    <x:t xml:space="preserve">S6-CAL-002</x:t>
  </x:si>
  <x:si>
    <x:t xml:space="preserve">减少或退出</x:t>
  </x:si>
  <x:si>
    <x:t xml:space="preserve">新增或增加</x:t>
  </x:si>
  <x:si>
    <x:t xml:space="preserve">转让价款、协议日、支付日。</x:t>
  </x:si>
  <x:si>
    <x:t xml:space="preserve">结合CE-001设立表，“其持有的50%股权”支持全部转让及退出。</x:t>
  </x:si>
  <x:si>
    <x:t xml:space="preserve">TR-LOT-002</x:t>
  </x:si>
  <x:si>
    <x:t xml:space="preserve">CE-003-V02</x:t>
  </x:si>
  <x:si>
    <x:t xml:space="preserve">“刘云锋将其持有的15.75%、6.85%的股权分别转让给曾烨、为赛咨询。”</x:t>
  </x:si>
  <x:si>
    <x:t xml:space="preserve">转让价款及精确日期。</x:t>
  </x:si>
  <x:si>
    <x:t xml:space="preserve">转让后刘云锋仍持有股权。</x:t>
  </x:si>
  <x:si>
    <x:t xml:space="preserve">TR-LOT-003</x:t>
  </x:si>
  <x:si>
    <x:t xml:space="preserve">CE-003-V03</x:t>
  </x:si>
  <x:si>
    <x:t xml:space="preserve">为赛咨询新增进入。</x:t>
  </x:si>
  <x:si>
    <x:t xml:space="preserve">TR-LOT-004</x:t>
  </x:si>
  <x:si>
    <x:t xml:space="preserve">S6-CAL-007</x:t>
  </x:si>
  <x:si>
    <x:t xml:space="preserve">58—59</x:t>
  </x:si>
  <x:si>
    <x:t xml:space="preserve">57—58</x:t>
  </x:si>
  <x:si>
    <x:t xml:space="preserve">2018年4月28日，丰利财富将全部666,680股转让给天健创投，价款1,000万元。</x:t>
  </x:si>
  <x:si>
    <x:t xml:space="preserve">支付和股份交割日期。</x:t>
  </x:si>
  <x:si>
    <x:t xml:space="preserve">丰利财富全部转让并退出；单位价格为计算值。</x:t>
  </x:si>
  <x:si>
    <x:t xml:space="preserve">TR-LOT-005</x:t>
  </x:si>
  <x:si>
    <x:t xml:space="preserve">CE-010-V21｜CE-010-V22</x:t>
  </x:si>
  <x:si>
    <x:t xml:space="preserve">S6-CAL-011</x:t>
  </x:si>
  <x:si>
    <x:t xml:space="preserve">59—61</x:t>
  </x:si>
  <x:si>
    <x:t xml:space="preserve">58—60</x:t>
  </x:si>
  <x:si>
    <x:t xml:space="preserve">2018年6月12日签署增资与股权转让协议，列明六方增资及四笔股份转让。</x:t>
  </x:si>
  <x:si>
    <x:t xml:space="preserve">逐笔支付和交割日期。</x:t>
  </x:si>
  <x:si>
    <x:t xml:space="preserve">同一协议下原子交易；不按行序推定交割先后。</x:t>
  </x:si>
  <x:si>
    <x:t xml:space="preserve">TR-LOT-006</x:t>
  </x:si>
  <x:si>
    <x:t xml:space="preserve">CE-010-V23｜CE-010-V24</x:t>
  </x:si>
  <x:si>
    <x:t xml:space="preserve">TR-LOT-007</x:t>
  </x:si>
  <x:si>
    <x:t xml:space="preserve">CE-010-V25｜CE-010-V26</x:t>
  </x:si>
  <x:si>
    <x:t xml:space="preserve">TR-LOT-008</x:t>
  </x:si>
  <x:si>
    <x:t xml:space="preserve">CE-010-V27｜CE-010-V28</x:t>
  </x:si>
  <x:si>
    <x:t xml:space="preserve">TR-LOT-009</x:t>
  </x:si>
  <x:si>
    <x:t xml:space="preserve">CE-011-V01｜CE-011-V03</x:t>
  </x:si>
  <x:si>
    <x:t xml:space="preserve">61—62</x:t>
  </x:si>
  <x:si>
    <x:t xml:space="preserve">60—61</x:t>
  </x:si>
  <x:si>
    <x:t xml:space="preserve">2019年8月13日，为赛咨询分别向李文发、秦国君转让40万股，价款各40万元。</x:t>
  </x:si>
  <x:si>
    <x:t xml:space="preserve">价款支付和股份交割日期。</x:t>
  </x:si>
  <x:si>
    <x:t xml:space="preserve">发行人股份转让与退伙安排分开记录。</x:t>
  </x:si>
  <x:si>
    <x:t xml:space="preserve">TR-LOT-010</x:t>
  </x:si>
  <x:si>
    <x:t xml:space="preserve">CE-011-V02｜CE-011-V04</x:t>
  </x:si>
  <x:si>
    <x:t xml:space="preserve">TR-LOT-011</x:t>
  </x:si>
  <x:si>
    <x:t xml:space="preserve">CE-013-V07｜CE-013-V08</x:t>
  </x:si>
  <x:si>
    <x:t xml:space="preserve">S6-CAL-017</x:t>
  </x:si>
  <x:si>
    <x:t xml:space="preserve">CE-013-E03｜CE-013-E05</x:t>
  </x:si>
  <x:si>
    <x:t xml:space="preserve">64—65</x:t>
  </x:si>
  <x:si>
    <x:t xml:space="preserve">63—64</x:t>
  </x:si>
  <x:si>
    <x:t xml:space="preserve">原文表格列示四名转让方向八名受让主体实施十笔股份转让。</x:t>
  </x:si>
  <x:si>
    <x:t xml:space="preserve">协议具体日期；与增资实际先后。</x:t>
  </x:si>
  <x:si>
    <x:t xml:space="preserve">十笔按转让方—受让方拆分；原文行序不解释为交割顺序。</x:t>
  </x:si>
  <x:si>
    <x:t xml:space="preserve">TR-LOT-012</x:t>
  </x:si>
  <x:si>
    <x:t xml:space="preserve">CE-013-V09｜CE-013-V10</x:t>
  </x:si>
  <x:si>
    <x:t xml:space="preserve">TR-LOT-013</x:t>
  </x:si>
  <x:si>
    <x:t xml:space="preserve">CE-013-V11｜CE-013-V12</x:t>
  </x:si>
  <x:si>
    <x:t xml:space="preserve">TR-LOT-014</x:t>
  </x:si>
  <x:si>
    <x:t xml:space="preserve">CE-013-V13｜CE-013-V14</x:t>
  </x:si>
  <x:si>
    <x:t xml:space="preserve">TR-LOT-015</x:t>
  </x:si>
  <x:si>
    <x:t xml:space="preserve">CE-013-V15｜CE-013-V16</x:t>
  </x:si>
  <x:si>
    <x:t xml:space="preserve">TR-LOT-016</x:t>
  </x:si>
  <x:si>
    <x:t xml:space="preserve">CE-013-V17｜CE-013-V18</x:t>
  </x:si>
  <x:si>
    <x:t xml:space="preserve">TR-LOT-017</x:t>
  </x:si>
  <x:si>
    <x:t xml:space="preserve">CE-013-V19｜CE-013-V20</x:t>
  </x:si>
  <x:si>
    <x:t xml:space="preserve">TR-LOT-018</x:t>
  </x:si>
  <x:si>
    <x:t xml:space="preserve">CE-013-V21｜CE-013-V22</x:t>
  </x:si>
  <x:si>
    <x:t xml:space="preserve">TR-LOT-019</x:t>
  </x:si>
  <x:si>
    <x:t xml:space="preserve">CE-013-V23｜CE-013-V24</x:t>
  </x:si>
  <x:si>
    <x:t xml:space="preserve">TR-LOT-020</x:t>
  </x:si>
  <x:si>
    <x:t xml:space="preserve">CE-013-V25｜CE-013-V26</x:t>
  </x:si>
  <x:si>
    <x:t xml:space="preserve">股权结构快照主表</x:t>
  </x:si>
  <x:si>
    <x:t xml:space="preserve">快照分为完整、部分和不可重建。C8发行前表单独作为terminal_static终点核对，不用于倒推历史未披露数据。</x:t>
  </x:si>
  <x:si>
    <x:t xml:space="preserve">snapshot_id</x:t>
  </x:si>
  <x:si>
    <x:t xml:space="preserve">trigger_timeline_id</x:t>
  </x:si>
  <x:si>
    <x:t xml:space="preserve">trigger_event_id</x:t>
  </x:si>
  <x:si>
    <x:t xml:space="preserve">snapshot_date_original</x:t>
  </x:si>
  <x:si>
    <x:t xml:space="preserve">snapshot_date_standardized</x:t>
  </x:si>
  <x:si>
    <x:t xml:space="preserve">snapshot_timing</x:t>
  </x:si>
  <x:si>
    <x:t xml:space="preserve">company_form</x:t>
  </x:si>
  <x:si>
    <x:t xml:space="preserve">capital_total_original</x:t>
  </x:si>
  <x:si>
    <x:t xml:space="preserve">capital_total_calculated</x:t>
  </x:si>
  <x:si>
    <x:t xml:space="preserve">snapshot_basis_type</x:t>
  </x:si>
  <x:si>
    <x:t xml:space="preserve">completeness_status</x:t>
  </x:si>
  <x:si>
    <x:t xml:space="preserve">previous_snapshot_id</x:t>
  </x:si>
  <x:si>
    <x:t xml:space="preserve">ordering_caveat</x:t>
  </x:si>
  <x:si>
    <x:t xml:space="preserve">SNP-001</x:t>
  </x:si>
  <x:si>
    <x:t xml:space="preserve">TL-001</x:t>
  </x:si>
  <x:si>
    <x:t xml:space="preserve">2008年5月</x:t>
  </x:si>
  <x:si>
    <x:t xml:space="preserve">2008-05-07</x:t>
  </x:si>
  <x:si>
    <x:t xml:space="preserve">设立完成后</x:t>
  </x:si>
  <x:si>
    <x:t xml:space="preserve">direct_full_table</x:t>
  </x:si>
  <x:si>
    <x:t xml:space="preserve">complete</x:t>
  </x:si>
  <x:si>
    <x:t xml:space="preserve">55—56</x:t>
  </x:si>
  <x:si>
    <x:t xml:space="preserve">54—55</x:t>
  </x:si>
  <x:si>
    <x:t xml:space="preserve">设立股东表直接披露。</x:t>
  </x:si>
  <x:si>
    <x:t xml:space="preserve">SNP-002</x:t>
  </x:si>
  <x:si>
    <x:t xml:space="preserve">股权转让后、增资前</x:t>
  </x:si>
  <x:si>
    <x:t xml:space="preserve">deterministic_rollforward</x:t>
  </x:si>
  <x:si>
    <x:t xml:space="preserve">CE-001-E05｜CE-002-E02</x:t>
  </x:si>
  <x:si>
    <x:t xml:space="preserve">同月先转让后增资由原文明示。</x:t>
  </x:si>
  <x:si>
    <x:t xml:space="preserve">由设立完整快照及全部50%转让滚动。</x:t>
  </x:si>
  <x:si>
    <x:t xml:space="preserve">SNP-003</x:t>
  </x:si>
  <x:si>
    <x:t xml:space="preserve">增资后</x:t>
  </x:si>
  <x:si>
    <x:t xml:space="preserve">合计增资50万元按原持股比例分配。</x:t>
  </x:si>
  <x:si>
    <x:t xml:space="preserve">SNP-004</x:t>
  </x:si>
  <x:si>
    <x:t xml:space="preserve">股权转让后</x:t>
  </x:si>
  <x:si>
    <x:t xml:space="preserve">两笔比例明确，注册资本不变。</x:t>
  </x:si>
  <x:si>
    <x:t xml:space="preserve">SNP-005</x:t>
  </x:si>
  <x:si>
    <x:t xml:space="preserve">partial_directional</x:t>
  </x:si>
  <x:si>
    <x:t xml:space="preserve">partial</x:t>
  </x:si>
  <x:si>
    <x:t xml:space="preserve">三名新增股东各自认缴额未披露。</x:t>
  </x:si>
  <x:si>
    <x:t xml:space="preserve">SNP-006</x:t>
  </x:si>
  <x:si>
    <x:t xml:space="preserve">not_reconstructible</x:t>
  </x:si>
  <x:si>
    <x:t xml:space="preserve">各方金额未披露，且原文存在0.00574万元差异。</x:t>
  </x:si>
  <x:si>
    <x:t xml:space="preserve">SNP-007</x:t>
  </x:si>
  <x:si>
    <x:t xml:space="preserve">资本公积转增后</x:t>
  </x:si>
  <x:si>
    <x:t xml:space="preserve">虽按原比例转增，但上一完整持股结构不可得。</x:t>
  </x:si>
  <x:si>
    <x:t xml:space="preserve">SNP-008</x:t>
  </x:si>
  <x:si>
    <x:t xml:space="preserve">六方各自增资额未披露。</x:t>
  </x:si>
  <x:si>
    <x:t xml:space="preserve">SNP-009</x:t>
  </x:si>
  <x:si>
    <x:t xml:space="preserve">TL-009</x:t>
  </x:si>
  <x:si>
    <x:t xml:space="preserve">CE-008</x:t>
  </x:si>
  <x:si>
    <x:t xml:space="preserve">2015年12月</x:t>
  </x:si>
  <x:si>
    <x:t xml:space="preserve">2015-12-03</x:t>
  </x:si>
  <x:si>
    <x:t xml:space="preserve">整体变更设立时</x:t>
  </x:si>
  <x:si>
    <x:t xml:space="preserve">CE-008-E04｜CE-008-E07</x:t>
  </x:si>
  <x:si>
    <x:t xml:space="preserve">53—54</x:t>
  </x:si>
  <x:si>
    <x:t xml:space="preserve">11名发起人表提供新的完整锚点，不倒推补齐此前缺口。</x:t>
  </x:si>
  <x:si>
    <x:t xml:space="preserve">SNP-010</x:t>
  </x:si>
  <x:si>
    <x:t xml:space="preserve">股份转让后</x:t>
  </x:si>
  <x:si>
    <x:t xml:space="preserve">全部股份转让，股本不变。</x:t>
  </x:si>
  <x:si>
    <x:t xml:space="preserve">SNP-011</x:t>
  </x:si>
  <x:si>
    <x:t xml:space="preserve">TL-011｜TL-012｜TL-013</x:t>
  </x:si>
  <x:si>
    <x:t xml:space="preserve">复合变更完成后</x:t>
  </x:si>
  <x:si>
    <x:t xml:space="preserve">S6-CAL-008｜S6-CAL-009｜S6-CAL-010｜S6-CAL-011</x:t>
  </x:si>
  <x:si>
    <x:t xml:space="preserve">CE-010-E01｜CE-010-E02｜CE-010-E05</x:t>
  </x:si>
  <x:si>
    <x:t xml:space="preserve">增资分批登记；股份转让交割日未单独披露。</x:t>
  </x:si>
  <x:si>
    <x:t xml:space="preserve">变更后股东表直接披露，滚动值与表格一致。</x:t>
  </x:si>
  <x:si>
    <x:t xml:space="preserve">SNP-012</x:t>
  </x:si>
  <x:si>
    <x:t xml:space="preserve">转让后股东表直接披露。</x:t>
  </x:si>
  <x:si>
    <x:t xml:space="preserve">SNP-013</x:t>
  </x:si>
  <x:si>
    <x:t xml:space="preserve">S6-CAL-013｜S6-CAL-014</x:t>
  </x:si>
  <x:si>
    <x:t xml:space="preserve">62—63</x:t>
  </x:si>
  <x:si>
    <x:t xml:space="preserve">增资后股东表直接披露。</x:t>
  </x:si>
  <x:si>
    <x:t xml:space="preserve">SNP-014</x:t>
  </x:si>
  <x:si>
    <x:t xml:space="preserve">TL-016｜TL-017</x:t>
  </x:si>
  <x:si>
    <x:t xml:space="preserve">增资及转让后</x:t>
  </x:si>
  <x:si>
    <x:t xml:space="preserve">S6-CAL-015｜S6-CAL-016｜S6-CAL-017</x:t>
  </x:si>
  <x:si>
    <x:t xml:space="preserve">CE-013-E01｜CE-013-E03｜CE-013-E05</x:t>
  </x:si>
  <x:si>
    <x:t xml:space="preserve">63—65</x:t>
  </x:si>
  <x:si>
    <x:t xml:space="preserve">62—64</x:t>
  </x:si>
  <x:si>
    <x:t xml:space="preserve">同月增资与转让实际先后未披露。</x:t>
  </x:si>
  <x:si>
    <x:t xml:space="preserve">最终变更后34名股东表直接披露，滚动结果一致。</x:t>
  </x:si>
  <x:si>
    <x:t xml:space="preserve">SNP-015</x:t>
  </x:si>
  <x:si>
    <x:t xml:space="preserve">C8-ISSUANCE-PRE</x:t>
  </x:si>
  <x:si>
    <x:t xml:space="preserve">本次发行前</x:t>
  </x:si>
  <x:si>
    <x:t xml:space="preserve">时点</x:t>
  </x:si>
  <x:si>
    <x:t xml:space="preserve">发行前静态终点</x:t>
  </x:si>
  <x:si>
    <x:t xml:space="preserve">S6-CAL-018</x:t>
  </x:si>
  <x:si>
    <x:t xml:space="preserve">terminal_static</x:t>
  </x:si>
  <x:si>
    <x:t xml:space="preserve">S6-C8-E01</x:t>
  </x:si>
  <x:si>
    <x:t xml:space="preserve">91—93</x:t>
  </x:si>
  <x:si>
    <x:t xml:space="preserve">90—92</x:t>
  </x:si>
  <x:si>
    <x:t xml:space="preserve">C8发行前静态表用于终点交叉核对，不倒推历史交易。</x:t>
  </x:si>
  <x:si>
    <x:t xml:space="preserve">一名股东在一个快照中一行。计算比例使用公式；partial/not_reconstructible快照不强制合计为100%。</x:t>
  </x:si>
  <x:si>
    <x:t xml:space="preserve">snapshot_holding_id</x:t>
  </x:si>
  <x:si>
    <x:t xml:space="preserve">holding_amount_original</x:t>
  </x:si>
  <x:si>
    <x:t xml:space="preserve">holding_shares_original</x:t>
  </x:si>
  <x:si>
    <x:t xml:space="preserve">holding_percentage_original</x:t>
  </x:si>
  <x:si>
    <x:t xml:space="preserve">holding_before_calculated</x:t>
  </x:si>
  <x:si>
    <x:t xml:space="preserve">increase_calculated</x:t>
  </x:si>
  <x:si>
    <x:t xml:space="preserve">transfer_in_calculated</x:t>
  </x:si>
  <x:si>
    <x:t xml:space="preserve">transfer_out_calculated</x:t>
  </x:si>
  <x:si>
    <x:t xml:space="preserve">snapshot_total_calculated</x:t>
  </x:si>
  <x:si>
    <x:t xml:space="preserve">entry_exit_status</x:t>
  </x:si>
  <x:si>
    <x:t xml:space="preserve">value_source_type</x:t>
  </x:si>
  <x:si>
    <x:t xml:space="preserve">SH-0001</x:t>
  </x:si>
  <x:si>
    <x:t xml:space="preserve">CE-001-V02｜CE-001-V04</x:t>
  </x:si>
  <x:si>
    <x:t xml:space="preserve">S6-CAL-019</x:t>
  </x:si>
  <x:si>
    <x:t xml:space="preserve">初始股东</x:t>
  </x:si>
  <x:si>
    <x:t xml:space="preserve">原文直接披露</x:t>
  </x:si>
  <x:si>
    <x:t xml:space="preserve">原文值与计算比例分开保存。</x:t>
  </x:si>
  <x:si>
    <x:t xml:space="preserve">SH-0002</x:t>
  </x:si>
  <x:si>
    <x:t xml:space="preserve">CE-001-V03｜CE-001-V05</x:t>
  </x:si>
  <x:si>
    <x:t xml:space="preserve">SH-0003</x:t>
  </x:si>
  <x:si>
    <x:t xml:space="preserve">新增进入</x:t>
  </x:si>
  <x:si>
    <x:t xml:space="preserve">确定性滚动</x:t>
  </x:si>
  <x:si>
    <x:t xml:space="preserve">转入25万元等值出资额来自前一完整快照与50%全部转让。</x:t>
  </x:si>
  <x:si>
    <x:t xml:space="preserve">SH-0004</x:t>
  </x:si>
  <x:si>
    <x:t xml:space="preserve">继续持有</x:t>
  </x:si>
  <x:si>
    <x:t xml:space="preserve">本子事件未发生刘云锋持股变化。</x:t>
  </x:si>
  <x:si>
    <x:t xml:space="preserve">SH-0005</x:t>
  </x:si>
  <x:si>
    <x:t xml:space="preserve">按原持股比例分配。</x:t>
  </x:si>
  <x:si>
    <x:t xml:space="preserve">SH-0006</x:t>
  </x:si>
  <x:si>
    <x:t xml:space="preserve">SH-0007</x:t>
  </x:si>
  <x:si>
    <x:t xml:space="preserve">比例转让在注册资本100万元下对应同数值万元出资额。</x:t>
  </x:si>
  <x:si>
    <x:t xml:space="preserve">SH-0008</x:t>
  </x:si>
  <x:si>
    <x:t xml:space="preserve">持股减少</x:t>
  </x:si>
  <x:si>
    <x:t xml:space="preserve">15.75%+6.85%=22.60%。</x:t>
  </x:si>
  <x:si>
    <x:t xml:space="preserve">SH-0009</x:t>
  </x:si>
  <x:si>
    <x:t xml:space="preserve">新增持股。</x:t>
  </x:si>
  <x:si>
    <x:t xml:space="preserve">SH-0010</x:t>
  </x:si>
  <x:si>
    <x:t xml:space="preserve">S6-CAL-020</x:t>
  </x:si>
  <x:si>
    <x:t xml:space="preserve">既有股东；被动稀释</x:t>
  </x:si>
  <x:si>
    <x:t xml:space="preserve">部分确定性滚动</x:t>
  </x:si>
  <x:si>
    <x:t xml:space="preserve">假设本次无老股转让；其出资额不变，比例由总资本计算。</x:t>
  </x:si>
  <x:si>
    <x:t xml:space="preserve">SH-0011</x:t>
  </x:si>
  <x:si>
    <x:t xml:space="preserve">SH-0012</x:t>
  </x:si>
  <x:si>
    <x:t xml:space="preserve">SH-0013</x:t>
  </x:si>
  <x:si>
    <x:t xml:space="preserve">新增股东；金额未知</x:t>
  </x:si>
  <x:si>
    <x:t xml:space="preserve">原文方向性披露</x:t>
  </x:si>
  <x:si>
    <x:t xml:space="preserve">各自认缴额未披露，不填金额或比例。</x:t>
  </x:si>
  <x:si>
    <x:t xml:space="preserve">SH-0014</x:t>
  </x:si>
  <x:si>
    <x:t xml:space="preserve">SH-0015</x:t>
  </x:si>
  <x:si>
    <x:t xml:space="preserve">SH-0016</x:t>
  </x:si>
  <x:si>
    <x:t xml:space="preserve">既有股东；金额不完整</x:t>
  </x:si>
  <x:si>
    <x:t xml:space="preserve">部分方向性披露</x:t>
  </x:si>
  <x:si>
    <x:t xml:space="preserve">无法可靠分配本次共同增资，且存在0.00574万元差异。</x:t>
  </x:si>
  <x:si>
    <x:t xml:space="preserve">SH-0017</x:t>
  </x:si>
  <x:si>
    <x:t xml:space="preserve">SH-0018</x:t>
  </x:si>
  <x:si>
    <x:t xml:space="preserve">SH-0019</x:t>
  </x:si>
  <x:si>
    <x:t xml:space="preserve">SH-0020</x:t>
  </x:si>
  <x:si>
    <x:t xml:space="preserve">SH-0021</x:t>
  </x:si>
  <x:si>
    <x:t xml:space="preserve">SH-0022</x:t>
  </x:si>
  <x:si>
    <x:t xml:space="preserve">按原比例转增；金额未知</x:t>
  </x:si>
  <x:si>
    <x:t xml:space="preserve">上一期完整持股不明，不能计算各方转增额。</x:t>
  </x:si>
  <x:si>
    <x:t xml:space="preserve">SH-0023</x:t>
  </x:si>
  <x:si>
    <x:t xml:space="preserve">SH-0024</x:t>
  </x:si>
  <x:si>
    <x:t xml:space="preserve">SH-0025</x:t>
  </x:si>
  <x:si>
    <x:t xml:space="preserve">SH-0026</x:t>
  </x:si>
  <x:si>
    <x:t xml:space="preserve">SH-0027</x:t>
  </x:si>
  <x:si>
    <x:t xml:space="preserve">SH-0028</x:t>
  </x:si>
  <x:si>
    <x:t xml:space="preserve">既有或新增；金额未知</x:t>
  </x:si>
  <x:si>
    <x:t xml:space="preserve">六方各自增资额未披露；不重建完整比例。</x:t>
  </x:si>
  <x:si>
    <x:t xml:space="preserve">SH-0029</x:t>
  </x:si>
  <x:si>
    <x:t xml:space="preserve">SH-0030</x:t>
  </x:si>
  <x:si>
    <x:t xml:space="preserve">SH-0031</x:t>
  </x:si>
  <x:si>
    <x:t xml:space="preserve">SH-0032</x:t>
  </x:si>
  <x:si>
    <x:t xml:space="preserve">SH-0033</x:t>
  </x:si>
  <x:si>
    <x:t xml:space="preserve">SH-0034</x:t>
  </x:si>
  <x:si>
    <x:t xml:space="preserve">SH-0035</x:t>
  </x:si>
  <x:si>
    <x:t xml:space="preserve">SH-0036</x:t>
  </x:si>
  <x:si>
    <x:t xml:space="preserve">SH-0037</x:t>
  </x:si>
  <x:si>
    <x:t xml:space="preserve">SH-0038</x:t>
  </x:si>
  <x:si>
    <x:t xml:space="preserve">SH-0039</x:t>
  </x:si>
  <x:si>
    <x:t xml:space="preserve">CE-008-V07｜CE-008-V18</x:t>
  </x:si>
  <x:si>
    <x:t xml:space="preserve">S6-CAL-021</x:t>
  </x:si>
  <x:si>
    <x:t xml:space="preserve">发起人</x:t>
  </x:si>
  <x:si>
    <x:t xml:space="preserve">CE-008-E07</x:t>
  </x:si>
  <x:si>
    <x:t xml:space="preserve">整体变更发起人表作为新的完整锚点。</x:t>
  </x:si>
  <x:si>
    <x:t xml:space="preserve">SH-0040</x:t>
  </x:si>
  <x:si>
    <x:t xml:space="preserve">CE-008-V08｜CE-008-V19</x:t>
  </x:si>
  <x:si>
    <x:t xml:space="preserve">SH-0041</x:t>
  </x:si>
  <x:si>
    <x:t xml:space="preserve">CE-008-V09｜CE-008-V20</x:t>
  </x:si>
  <x:si>
    <x:t xml:space="preserve">SH-0042</x:t>
  </x:si>
  <x:si>
    <x:t xml:space="preserve">CE-008-V10｜CE-008-V21</x:t>
  </x:si>
  <x:si>
    <x:t xml:space="preserve">SH-0043</x:t>
  </x:si>
  <x:si>
    <x:t xml:space="preserve">CE-008-V11｜CE-008-V22</x:t>
  </x:si>
  <x:si>
    <x:t xml:space="preserve">SH-0044</x:t>
  </x:si>
  <x:si>
    <x:t xml:space="preserve">CE-008-V12｜CE-008-V23</x:t>
  </x:si>
  <x:si>
    <x:t xml:space="preserve">SH-0045</x:t>
  </x:si>
  <x:si>
    <x:t xml:space="preserve">CE-008-V13｜CE-008-V24</x:t>
  </x:si>
  <x:si>
    <x:t xml:space="preserve">SH-0046</x:t>
  </x:si>
  <x:si>
    <x:t xml:space="preserve">CE-008-V14｜CE-008-V25</x:t>
  </x:si>
  <x:si>
    <x:t xml:space="preserve">SH-0047</x:t>
  </x:si>
  <x:si>
    <x:t xml:space="preserve">CE-008-V15｜CE-008-V26</x:t>
  </x:si>
  <x:si>
    <x:t xml:space="preserve">SH-0048</x:t>
  </x:si>
  <x:si>
    <x:t xml:space="preserve">CE-008-V16｜CE-008-V27</x:t>
  </x:si>
  <x:si>
    <x:t xml:space="preserve">SH-0049</x:t>
  </x:si>
  <x:si>
    <x:t xml:space="preserve">CE-008-V17｜CE-008-V28</x:t>
  </x:si>
  <x:si>
    <x:t xml:space="preserve">SH-0050</x:t>
  </x:si>
  <x:si>
    <x:t xml:space="preserve">S6-CAL-006</x:t>
  </x:si>
  <x:si>
    <x:t xml:space="preserve">持股不变</x:t>
  </x:si>
  <x:si>
    <x:t xml:space="preserve">确定性滚动＋原文表核对</x:t>
  </x:si>
  <x:si>
    <x:t xml:space="preserve">丰利财富退出、天健创投等量进入。</x:t>
  </x:si>
  <x:si>
    <x:t xml:space="preserve">SH-0051</x:t>
  </x:si>
  <x:si>
    <x:t xml:space="preserve">SH-0052</x:t>
  </x:si>
  <x:si>
    <x:t xml:space="preserve">SH-0053</x:t>
  </x:si>
  <x:si>
    <x:t xml:space="preserve">SH-0054</x:t>
  </x:si>
  <x:si>
    <x:t xml:space="preserve">SH-0055</x:t>
  </x:si>
  <x:si>
    <x:t xml:space="preserve">SH-0056</x:t>
  </x:si>
  <x:si>
    <x:t xml:space="preserve">SH-0057</x:t>
  </x:si>
  <x:si>
    <x:t xml:space="preserve">SH-0058</x:t>
  </x:si>
  <x:si>
    <x:t xml:space="preserve">SH-0059</x:t>
  </x:si>
  <x:si>
    <x:t xml:space="preserve">SH-0060</x:t>
  </x:si>
  <x:si>
    <x:t xml:space="preserve">SH-0061</x:t>
  </x:si>
  <x:si>
    <x:t xml:space="preserve">S6-CAL-008｜S6-CAL-009｜S6-CAL-010</x:t>
  </x:si>
  <x:si>
    <x:t xml:space="preserve">原文变更后表＋确定性滚动</x:t>
  </x:si>
  <x:si>
    <x:t xml:space="preserve">原文表提供完整持股数；计算列用于勾稽。</x:t>
  </x:si>
  <x:si>
    <x:t xml:space="preserve">SH-0062</x:t>
  </x:si>
  <x:si>
    <x:t xml:space="preserve">SH-0063</x:t>
  </x:si>
  <x:si>
    <x:t xml:space="preserve">SH-0064</x:t>
  </x:si>
  <x:si>
    <x:t xml:space="preserve">SH-0065</x:t>
  </x:si>
  <x:si>
    <x:t xml:space="preserve">SH-0066</x:t>
  </x:si>
  <x:si>
    <x:t xml:space="preserve">SH-0067</x:t>
  </x:si>
  <x:si>
    <x:t xml:space="preserve">SH-0068</x:t>
  </x:si>
  <x:si>
    <x:t xml:space="preserve">SH-0069</x:t>
  </x:si>
  <x:si>
    <x:t xml:space="preserve">SH-0070</x:t>
  </x:si>
  <x:si>
    <x:t xml:space="preserve">SH-0071</x:t>
  </x:si>
  <x:si>
    <x:t xml:space="preserve">SH-0072</x:t>
  </x:si>
  <x:si>
    <x:t xml:space="preserve">SH-0073</x:t>
  </x:si>
  <x:si>
    <x:t xml:space="preserve">SH-0074</x:t>
  </x:si>
  <x:si>
    <x:t xml:space="preserve">SH-0075</x:t>
  </x:si>
  <x:si>
    <x:t xml:space="preserve">SH-0076</x:t>
  </x:si>
  <x:si>
    <x:t xml:space="preserve">SH-0077</x:t>
  </x:si>
  <x:si>
    <x:t xml:space="preserve">SH-0078</x:t>
  </x:si>
  <x:si>
    <x:t xml:space="preserve">SH-0079</x:t>
  </x:si>
  <x:si>
    <x:t xml:space="preserve">SH-0080</x:t>
  </x:si>
  <x:si>
    <x:t xml:space="preserve">SH-0081</x:t>
  </x:si>
  <x:si>
    <x:t xml:space="preserve">SH-0082</x:t>
  </x:si>
  <x:si>
    <x:t xml:space="preserve">SH-0083</x:t>
  </x:si>
  <x:si>
    <x:t xml:space="preserve">SH-0084</x:t>
  </x:si>
  <x:si>
    <x:t xml:space="preserve">SH-0085</x:t>
  </x:si>
  <x:si>
    <x:t xml:space="preserve">原文转让后表＋确定性滚动</x:t>
  </x:si>
  <x:si>
    <x:t xml:space="preserve">两笔各40万股。</x:t>
  </x:si>
  <x:si>
    <x:t xml:space="preserve">SH-0086</x:t>
  </x:si>
  <x:si>
    <x:t xml:space="preserve">SH-0087</x:t>
  </x:si>
  <x:si>
    <x:t xml:space="preserve">SH-0088</x:t>
  </x:si>
  <x:si>
    <x:t xml:space="preserve">SH-0089</x:t>
  </x:si>
  <x:si>
    <x:t xml:space="preserve">SH-0090</x:t>
  </x:si>
  <x:si>
    <x:t xml:space="preserve">SH-0091</x:t>
  </x:si>
  <x:si>
    <x:t xml:space="preserve">SH-0092</x:t>
  </x:si>
  <x:si>
    <x:t xml:space="preserve">SH-0093</x:t>
  </x:si>
  <x:si>
    <x:t xml:space="preserve">SH-0094</x:t>
  </x:si>
  <x:si>
    <x:t xml:space="preserve">SH-0095</x:t>
  </x:si>
  <x:si>
    <x:t xml:space="preserve">SH-0096</x:t>
  </x:si>
  <x:si>
    <x:t xml:space="preserve">SH-0097</x:t>
  </x:si>
  <x:si>
    <x:t xml:space="preserve">SH-0098</x:t>
  </x:si>
  <x:si>
    <x:t xml:space="preserve">SH-0099</x:t>
  </x:si>
  <x:si>
    <x:t xml:space="preserve">SH-0100</x:t>
  </x:si>
  <x:si>
    <x:t xml:space="preserve">SH-0101</x:t>
  </x:si>
  <x:si>
    <x:t xml:space="preserve">SH-0102</x:t>
  </x:si>
  <x:si>
    <x:t xml:space="preserve">SH-0103</x:t>
  </x:si>
  <x:si>
    <x:t xml:space="preserve">SH-0104</x:t>
  </x:si>
  <x:si>
    <x:t xml:space="preserve">SH-0105</x:t>
  </x:si>
  <x:si>
    <x:t xml:space="preserve">SH-0106</x:t>
  </x:si>
  <x:si>
    <x:t xml:space="preserve">SH-0107</x:t>
  </x:si>
  <x:si>
    <x:t xml:space="preserve">SH-0108</x:t>
  </x:si>
  <x:si>
    <x:t xml:space="preserve">SH-0109</x:t>
  </x:si>
  <x:si>
    <x:t xml:space="preserve">原文增资后表＋确定性滚动</x:t>
  </x:si>
  <x:si>
    <x:t xml:space="preserve">火炬电子新增1,130,488股。</x:t>
  </x:si>
  <x:si>
    <x:t xml:space="preserve">SH-0110</x:t>
  </x:si>
  <x:si>
    <x:t xml:space="preserve">SH-0111</x:t>
  </x:si>
  <x:si>
    <x:t xml:space="preserve">SH-0112</x:t>
  </x:si>
  <x:si>
    <x:t xml:space="preserve">SH-0113</x:t>
  </x:si>
  <x:si>
    <x:t xml:space="preserve">SH-0114</x:t>
  </x:si>
  <x:si>
    <x:t xml:space="preserve">SH-0115</x:t>
  </x:si>
  <x:si>
    <x:t xml:space="preserve">SH-0116</x:t>
  </x:si>
  <x:si>
    <x:t xml:space="preserve">SH-0117</x:t>
  </x:si>
  <x:si>
    <x:t xml:space="preserve">SH-0118</x:t>
  </x:si>
  <x:si>
    <x:t xml:space="preserve">SH-0119</x:t>
  </x:si>
  <x:si>
    <x:t xml:space="preserve">SH-0120</x:t>
  </x:si>
  <x:si>
    <x:t xml:space="preserve">SH-0121</x:t>
  </x:si>
  <x:si>
    <x:t xml:space="preserve">SH-0122</x:t>
  </x:si>
  <x:si>
    <x:t xml:space="preserve">SH-0123</x:t>
  </x:si>
  <x:si>
    <x:t xml:space="preserve">SH-0124</x:t>
  </x:si>
  <x:si>
    <x:t xml:space="preserve">SH-0125</x:t>
  </x:si>
  <x:si>
    <x:t xml:space="preserve">SH-0126</x:t>
  </x:si>
  <x:si>
    <x:t xml:space="preserve">SH-0127</x:t>
  </x:si>
  <x:si>
    <x:t xml:space="preserve">SH-0128</x:t>
  </x:si>
  <x:si>
    <x:t xml:space="preserve">SH-0129</x:t>
  </x:si>
  <x:si>
    <x:t xml:space="preserve">SH-0130</x:t>
  </x:si>
  <x:si>
    <x:t xml:space="preserve">SH-0131</x:t>
  </x:si>
  <x:si>
    <x:t xml:space="preserve">SH-0132</x:t>
  </x:si>
  <x:si>
    <x:t xml:space="preserve">SH-0133</x:t>
  </x:si>
  <x:si>
    <x:t xml:space="preserve">SH-0134</x:t>
  </x:si>
  <x:si>
    <x:t xml:space="preserve">两笔增资和十笔转让均完整纳入。</x:t>
  </x:si>
  <x:si>
    <x:t xml:space="preserve">SH-0135</x:t>
  </x:si>
  <x:si>
    <x:t xml:space="preserve">SH-0136</x:t>
  </x:si>
  <x:si>
    <x:t xml:space="preserve">SH-0137</x:t>
  </x:si>
  <x:si>
    <x:t xml:space="preserve">SH-0138</x:t>
  </x:si>
  <x:si>
    <x:t xml:space="preserve">SH-0139</x:t>
  </x:si>
  <x:si>
    <x:t xml:space="preserve">SH-0140</x:t>
  </x:si>
  <x:si>
    <x:t xml:space="preserve">SH-0141</x:t>
  </x:si>
  <x:si>
    <x:t xml:space="preserve">SH-0142</x:t>
  </x:si>
  <x:si>
    <x:t xml:space="preserve">SH-0143</x:t>
  </x:si>
  <x:si>
    <x:t xml:space="preserve">SH-0144</x:t>
  </x:si>
  <x:si>
    <x:t xml:space="preserve">SH-0145</x:t>
  </x:si>
  <x:si>
    <x:t xml:space="preserve">SH-0146</x:t>
  </x:si>
  <x:si>
    <x:t xml:space="preserve">SH-0147</x:t>
  </x:si>
  <x:si>
    <x:t xml:space="preserve">SH-0148</x:t>
  </x:si>
  <x:si>
    <x:t xml:space="preserve">SH-0149</x:t>
  </x:si>
  <x:si>
    <x:t xml:space="preserve">SH-0150</x:t>
  </x:si>
  <x:si>
    <x:t xml:space="preserve">SH-0151</x:t>
  </x:si>
  <x:si>
    <x:t xml:space="preserve">SH-0152</x:t>
  </x:si>
  <x:si>
    <x:t xml:space="preserve">SH-0153</x:t>
  </x:si>
  <x:si>
    <x:t xml:space="preserve">SH-0154</x:t>
  </x:si>
  <x:si>
    <x:t xml:space="preserve">SH-0155</x:t>
  </x:si>
  <x:si>
    <x:t xml:space="preserve">SH-0156</x:t>
  </x:si>
  <x:si>
    <x:t xml:space="preserve">SH-0157</x:t>
  </x:si>
  <x:si>
    <x:t xml:space="preserve">SH-0158</x:t>
  </x:si>
  <x:si>
    <x:t xml:space="preserve">SH-0159</x:t>
  </x:si>
  <x:si>
    <x:t xml:space="preserve">SH-0160</x:t>
  </x:si>
  <x:si>
    <x:t xml:space="preserve">SH-0161</x:t>
  </x:si>
  <x:si>
    <x:t xml:space="preserve">SH-0162</x:t>
  </x:si>
  <x:si>
    <x:t xml:space="preserve">SH-0163</x:t>
  </x:si>
  <x:si>
    <x:t xml:space="preserve">SH-0164</x:t>
  </x:si>
  <x:si>
    <x:t xml:space="preserve">SH-0165</x:t>
  </x:si>
  <x:si>
    <x:t xml:space="preserve">SH-0166</x:t>
  </x:si>
  <x:si>
    <x:t xml:space="preserve">SH-0167</x:t>
  </x:si>
  <x:si>
    <x:t xml:space="preserve">SH-0168</x:t>
  </x:si>
  <x:si>
    <x:t xml:space="preserve">C8发行前静态表</x:t>
  </x:si>
  <x:si>
    <x:t xml:space="preserve">与SNP-014逐股东、总股本一致；仅用于终点交叉核对。</x:t>
  </x:si>
  <x:si>
    <x:t xml:space="preserve">SH-0169</x:t>
  </x:si>
  <x:si>
    <x:t xml:space="preserve">SH-0170</x:t>
  </x:si>
  <x:si>
    <x:t xml:space="preserve">SH-0171</x:t>
  </x:si>
  <x:si>
    <x:t xml:space="preserve">SH-0172</x:t>
  </x:si>
  <x:si>
    <x:t xml:space="preserve">SH-0173</x:t>
  </x:si>
  <x:si>
    <x:t xml:space="preserve">SH-0174</x:t>
  </x:si>
  <x:si>
    <x:t xml:space="preserve">SH-0175</x:t>
  </x:si>
  <x:si>
    <x:t xml:space="preserve">SH-0176</x:t>
  </x:si>
  <x:si>
    <x:t xml:space="preserve">SH-0177</x:t>
  </x:si>
  <x:si>
    <x:t xml:space="preserve">SH-0178</x:t>
  </x:si>
  <x:si>
    <x:t xml:space="preserve">SH-0179</x:t>
  </x:si>
  <x:si>
    <x:t xml:space="preserve">SH-0180</x:t>
  </x:si>
  <x:si>
    <x:t xml:space="preserve">SH-0181</x:t>
  </x:si>
  <x:si>
    <x:t xml:space="preserve">SH-0182</x:t>
  </x:si>
  <x:si>
    <x:t xml:space="preserve">SH-0183</x:t>
  </x:si>
  <x:si>
    <x:t xml:space="preserve">SH-0184</x:t>
  </x:si>
  <x:si>
    <x:t xml:space="preserve">SH-0185</x:t>
  </x:si>
  <x:si>
    <x:t xml:space="preserve">SH-0186</x:t>
  </x:si>
  <x:si>
    <x:t xml:space="preserve">SH-0187</x:t>
  </x:si>
  <x:si>
    <x:t xml:space="preserve">SH-0188</x:t>
  </x:si>
  <x:si>
    <x:t xml:space="preserve">SH-0189</x:t>
  </x:si>
  <x:si>
    <x:t xml:space="preserve">SH-0190</x:t>
  </x:si>
  <x:si>
    <x:t xml:space="preserve">SH-0191</x:t>
  </x:si>
  <x:si>
    <x:t xml:space="preserve">SH-0192</x:t>
  </x:si>
  <x:si>
    <x:t xml:space="preserve">SH-0193</x:t>
  </x:si>
  <x:si>
    <x:t xml:space="preserve">SH-0194</x:t>
  </x:si>
  <x:si>
    <x:t xml:space="preserve">SH-0195</x:t>
  </x:si>
  <x:si>
    <x:t xml:space="preserve">SH-0196</x:t>
  </x:si>
  <x:si>
    <x:t xml:space="preserve">SH-0197</x:t>
  </x:si>
  <x:si>
    <x:t xml:space="preserve">SH-0198</x:t>
  </x:si>
  <x:si>
    <x:t xml:space="preserve">SH-0199</x:t>
  </x:si>
  <x:si>
    <x:t xml:space="preserve">SH-0200</x:t>
  </x:si>
  <x:si>
    <x:t xml:space="preserve">SH-0201</x:t>
  </x:si>
  <x:si>
    <x:t xml:space="preserve">计算值登记</x:t>
  </x:si>
  <x:si>
    <x:t xml:space="preserve">每项计算保留输入、公式、未舍入结果、显示结果、单位、舍入规则和来源；阶段七负责正式数值校验。</x:t>
  </x:si>
  <x:si>
    <x:t xml:space="preserve">calculation_id</x:t>
  </x:si>
  <x:si>
    <x:t xml:space="preserve">category</x:t>
  </x:si>
  <x:si>
    <x:t xml:space="preserve">related_event_id</x:t>
  </x:si>
  <x:si>
    <x:t xml:space="preserve">related_snapshot_id</x:t>
  </x:si>
  <x:si>
    <x:t xml:space="preserve">description</x:t>
  </x:si>
  <x:si>
    <x:t xml:space="preserve">input_values</x:t>
  </x:si>
  <x:si>
    <x:t xml:space="preserve">formula</x:t>
  </x:si>
  <x:si>
    <x:t xml:space="preserve">unrounded_result</x:t>
  </x:si>
  <x:si>
    <x:t xml:space="preserve">display_result</x:t>
  </x:si>
  <x:si>
    <x:t xml:space="preserve">unit</x:t>
  </x:si>
  <x:si>
    <x:t xml:space="preserve">rounding_rule</x:t>
  </x:si>
  <x:si>
    <x:t xml:space="preserve">source_ids</x:t>
  </x:si>
  <x:si>
    <x:t xml:space="preserve">status</x:t>
  </x:si>
  <x:si>
    <x:t xml:space="preserve">review_note</x:t>
  </x:si>
  <x:si>
    <x:t xml:space="preserve">S6-CAL-001</x:t>
  </x:si>
  <x:si>
    <x:t xml:space="preserve">增资分配</x:t>
  </x:si>
  <x:si>
    <x:t xml:space="preserve">两名股东按原持股比例分配合计增资额</x:t>
  </x:si>
  <x:si>
    <x:t xml:space="preserve">曾烨50%；刘云锋50%；合计增资50万元</x:t>
  </x:si>
  <x:si>
    <x:t xml:space="preserve">各方增资额=50万元×50%</x:t>
  </x:si>
  <x:si>
    <x:t xml:space="preserve">曾烨25；刘云锋25</x:t>
  </x:si>
  <x:si>
    <x:t xml:space="preserve">各25万元</x:t>
  </x:si>
  <x:si>
    <x:t xml:space="preserve">无舍入</x:t>
  </x:si>
  <x:si>
    <x:t xml:space="preserve">CE-001-E05｜CE-002-E02｜CE-002-V02</x:t>
  </x:si>
  <x:si>
    <x:t xml:space="preserve">待阶段七校验</x:t>
  </x:si>
  <x:si>
    <x:t xml:space="preserve">原文明示按原持股比例，允许确定性计算。</x:t>
  </x:si>
  <x:si>
    <x:t xml:space="preserve">快照滚动</x:t>
  </x:si>
  <x:si>
    <x:t xml:space="preserve">SNP-002｜SNP-003</x:t>
  </x:si>
  <x:si>
    <x:t xml:space="preserve">第一次转让及增资后的持股滚动</x:t>
  </x:si>
  <x:si>
    <x:t xml:space="preserve">设立时各25万元；转让50%；各增资25万元</x:t>
  </x:si>
  <x:si>
    <x:t xml:space="preserve">期后=期前+受让+增资-转让</x:t>
  </x:si>
  <x:si>
    <x:t xml:space="preserve">转让后曾/刘各25；增资后各50</x:t>
  </x:si>
  <x:si>
    <x:t xml:space="preserve">各50万元、各50%</x:t>
  </x:si>
  <x:si>
    <x:t xml:space="preserve">万元/%</x:t>
  </x:si>
  <x:si>
    <x:t xml:space="preserve">先转让后增资由原文明示。</x:t>
  </x:si>
  <x:si>
    <x:t xml:space="preserve">股权转让滚动</x:t>
  </x:si>
  <x:si>
    <x:t xml:space="preserve">两笔比例转让后的出资额快照</x:t>
  </x:si>
  <x:si>
    <x:t xml:space="preserve">增资后曾50、刘50；刘转出15.75%和6.85%；注册资本100万元</x:t>
  </x:si>
  <x:si>
    <x:t xml:space="preserve">曾=50+15.75；刘=50-15.75-6.85；为赛=6.85</x:t>
  </x:si>
  <x:si>
    <x:t xml:space="preserve">65.75；27.40；6.85</x:t>
  </x:si>
  <x:si>
    <x:t xml:space="preserve">曾65.75%、刘27.40%、为赛6.85%</x:t>
  </x:si>
  <x:si>
    <x:t xml:space="preserve">显示2位小数</x:t>
  </x:si>
  <x:si>
    <x:t xml:space="preserve">CE-003-E01｜CE-003-E02｜CE-003-V02｜CE-003-V03</x:t>
  </x:si>
  <x:si>
    <x:t xml:space="preserve">注册资本为100万元使比例数值与万元出资额数值相同。</x:t>
  </x:si>
  <x:si>
    <x:t xml:space="preserve">差异登记</x:t>
  </x:si>
  <x:si>
    <x:t xml:space="preserve">原文前后注册资本与增资额算术差异</x:t>
  </x:si>
  <x:si>
    <x:t xml:space="preserve">128.205+8.78714；原文增资后136.9864</x:t>
  </x:si>
  <x:si>
    <x:t xml:space="preserve">128.205+8.78714-136.9864</x:t>
  </x:si>
  <x:si>
    <x:t xml:space="preserve">0.00574</x:t>
  </x:si>
  <x:si>
    <x:t xml:space="preserve">0.00574万元</x:t>
  </x:si>
  <x:si>
    <x:t xml:space="preserve">保留原始5位小数</x:t>
  </x:si>
  <x:si>
    <x:t xml:space="preserve">CE-004-V02｜CE-005-V01｜CE-005-V02</x:t>
  </x:si>
  <x:si>
    <x:t xml:space="preserve">待阶段七正式校验</x:t>
  </x:si>
  <x:si>
    <x:t xml:space="preserve">不静默修正任何原文值。</x:t>
  </x:si>
  <x:si>
    <x:t xml:space="preserve">资本衔接</x:t>
  </x:si>
  <x:si>
    <x:t xml:space="preserve">资本公积转增总额衔接</x:t>
  </x:si>
  <x:si>
    <x:t xml:space="preserve">原文转增后2000；上期原文136.9864</x:t>
  </x:si>
  <x:si>
    <x:t xml:space="preserve">2000-136.9864</x:t>
  </x:si>
  <x:si>
    <x:t xml:space="preserve">1863.0136</x:t>
  </x:si>
  <x:si>
    <x:t xml:space="preserve">1863.0136万元</x:t>
  </x:si>
  <x:si>
    <x:t xml:space="preserve">CE-005-V02｜CE-006-V01</x:t>
  </x:si>
  <x:si>
    <x:t xml:space="preserve">不分配至各股东。</x:t>
  </x:si>
  <x:si>
    <x:t xml:space="preserve">丰利财富全部股份等量转给天健创投</x:t>
  </x:si>
  <x:si>
    <x:t xml:space="preserve">666,680股</x:t>
  </x:si>
  <x:si>
    <x:t xml:space="preserve">丰利=666680-666680；天健=0+666680</x:t>
  </x:si>
  <x:si>
    <x:t xml:space="preserve">0；666680</x:t>
  </x:si>
  <x:si>
    <x:t xml:space="preserve">丰利退出、天健666,680股</x:t>
  </x:si>
  <x:si>
    <x:t xml:space="preserve">整数</x:t>
  </x:si>
  <x:si>
    <x:t xml:space="preserve">CE-009-V01｜CE-009-E02</x:t>
  </x:si>
  <x:si>
    <x:t xml:space="preserve">总股本不变。</x:t>
  </x:si>
  <x:si>
    <x:t xml:space="preserve">单位价格</x:t>
  </x:si>
  <x:si>
    <x:t xml:space="preserve">股份转让单位价格</x:t>
  </x:si>
  <x:si>
    <x:t xml:space="preserve">1000万元；666,680股</x:t>
  </x:si>
  <x:si>
    <x:t xml:space="preserve">价款×10000/股份数</x:t>
  </x:si>
  <x:si>
    <x:t xml:space="preserve">14.99970000599988</x:t>
  </x:si>
  <x:si>
    <x:t xml:space="preserve">14.999700元/股</x:t>
  </x:si>
  <x:si>
    <x:t xml:space="preserve">显示6位小数</x:t>
  </x:si>
  <x:si>
    <x:t xml:space="preserve">CE-009-V01｜CE-009-V03</x:t>
  </x:si>
  <x:si>
    <x:t xml:space="preserve">Excel明细表使用公式计算。</x:t>
  </x:si>
  <x:si>
    <x:t xml:space="preserve">增资股份换算</x:t>
  </x:si>
  <x:si>
    <x:t xml:space="preserve">六方认缴注册资本换算新增股份</x:t>
  </x:si>
  <x:si>
    <x:t xml:space="preserve">254.4787、61.8、54.384、7.004、103、34.3333万元</x:t>
  </x:si>
  <x:si>
    <x:t xml:space="preserve">股份数=认缴注册资本（万元）×10000</x:t>
  </x:si>
  <x:si>
    <x:t xml:space="preserve">2,544,787；618,000；543,840；70,040；1,030,000；343,333</x:t>
  </x:si>
  <x:si>
    <x:t xml:space="preserve">合计5,150,000股</x:t>
  </x:si>
  <x:si>
    <x:t xml:space="preserve">整数，原始资本小数位保留</x:t>
  </x:si>
  <x:si>
    <x:t xml:space="preserve">CE-010-V01—CE-010-V12</x:t>
  </x:si>
  <x:si>
    <x:t xml:space="preserve">1股对应1元注册资本的数量衔接。</x:t>
  </x:si>
  <x:si>
    <x:t xml:space="preserve">激励增资股份换算</x:t>
  </x:si>
  <x:si>
    <x:t xml:space="preserve">四名激励对象认缴资本换算股份</x:t>
  </x:si>
  <x:si>
    <x:t xml:space="preserve">20、20、20、60万元</x:t>
  </x:si>
  <x:si>
    <x:t xml:space="preserve">200000；200000；200000；600000</x:t>
  </x:si>
  <x:si>
    <x:t xml:space="preserve">合计1,200,000股</x:t>
  </x:si>
  <x:si>
    <x:t xml:space="preserve">原文每股价格1元。</x:t>
  </x:si>
  <x:si>
    <x:t xml:space="preserve">转让合计</x:t>
  </x:si>
  <x:si>
    <x:t xml:space="preserve">四笔转让股数及价款合计</x:t>
  </x:si>
  <x:si>
    <x:t xml:space="preserve">515000、180250、94417、369083股；对应四笔价款</x:t>
  </x:si>
  <x:si>
    <x:t xml:space="preserve">逐笔求和</x:t>
  </x:si>
  <x:si>
    <x:t xml:space="preserve">1158750股；3375.0054万元</x:t>
  </x:si>
  <x:si>
    <x:t xml:space="preserve">1,158,750股；3,375.0054万元</x:t>
  </x:si>
  <x:si>
    <x:t xml:space="preserve">股/万元</x:t>
  </x:si>
  <x:si>
    <x:t xml:space="preserve">价款保留原始4位小数</x:t>
  </x:si>
  <x:si>
    <x:t xml:space="preserve">CE-010-V21—CE-010-V28</x:t>
  </x:si>
  <x:si>
    <x:t xml:space="preserve">合计为计算值，不覆盖逐笔原文值。</x:t>
  </x:si>
  <x:si>
    <x:t xml:space="preserve">四笔股份转让单位价格</x:t>
  </x:si>
  <x:si>
    <x:t xml:space="preserve">逐笔价款万元、逐笔股数</x:t>
  </x:si>
  <x:si>
    <x:t xml:space="preserve">逐笔公式结果</x:t>
  </x:si>
  <x:si>
    <x:t xml:space="preserve">见05_股权转让明细</x:t>
  </x:si>
  <x:si>
    <x:t xml:space="preserve">与原文约29.13元/股交叉核对。</x:t>
  </x:si>
  <x:si>
    <x:t xml:space="preserve">股份转让滚动</x:t>
  </x:si>
  <x:si>
    <x:t xml:space="preserve">两笔各40万股转让后的持股滚动</x:t>
  </x:si>
  <x:si>
    <x:t xml:space="preserve">为赛1,853,360；李文发/秦国君各200,000；各转让400,000</x:t>
  </x:si>
  <x:si>
    <x:t xml:space="preserve">期后=期前+受让-转让</x:t>
  </x:si>
  <x:si>
    <x:t xml:space="preserve">为赛1,053,360；李/秦各600,000</x:t>
  </x:si>
  <x:si>
    <x:t xml:space="preserve">与原文转让后表一致</x:t>
  </x:si>
  <x:si>
    <x:t xml:space="preserve">单位价格明细表公式为1元/股。</x:t>
  </x:si>
  <x:si>
    <x:t xml:space="preserve">火炬电子新增股份对应注册资本变化</x:t>
  </x:si>
  <x:si>
    <x:t xml:space="preserve">1,130,488股；增资前4635万元</x:t>
  </x:si>
  <x:si>
    <x:t xml:space="preserve">新增注册资本=股份数/10000；期后=期前+新增</x:t>
  </x:si>
  <x:si>
    <x:t xml:space="preserve">113.0488；4748.0488</x:t>
  </x:si>
  <x:si>
    <x:t xml:space="preserve">113.0488万元；4748.0488万元</x:t>
  </x:si>
  <x:si>
    <x:t xml:space="preserve">保留4位小数</x:t>
  </x:si>
  <x:si>
    <x:t xml:space="preserve">CE-012-V01｜CE-012-V02｜CE-012-V04</x:t>
  </x:si>
  <x:si>
    <x:t xml:space="preserve">不复算原文约44.23元/股及约21亿元。</x:t>
  </x:si>
  <x:si>
    <x:t xml:space="preserve">S6-CAL-014</x:t>
  </x:si>
  <x:si>
    <x:t xml:space="preserve">快照勾稽</x:t>
  </x:si>
  <x:si>
    <x:t xml:space="preserve">增资后逐股东持股合计</x:t>
  </x:si>
  <x:si>
    <x:t xml:space="preserve">SNP-012逐股东持股+火炬1,130,488股</x:t>
  </x:si>
  <x:si>
    <x:t xml:space="preserve">逐股东持股求和</x:t>
  </x:si>
  <x:si>
    <x:t xml:space="preserve">47480488</x:t>
  </x:si>
  <x:si>
    <x:t xml:space="preserve">47,480,488股</x:t>
  </x:si>
  <x:si>
    <x:t xml:space="preserve">CE-012-E04</x:t>
  </x:si>
  <x:si>
    <x:t xml:space="preserve">与原文注册资本4748.0488万元一致。</x:t>
  </x:si>
  <x:si>
    <x:t xml:space="preserve">两名增资方新增股份合计</x:t>
  </x:si>
  <x:si>
    <x:t xml:space="preserve">968,990+387,596股</x:t>
  </x:si>
  <x:si>
    <x:t xml:space="preserve">新增股份合计/10000；期后资本=4748.0488+新增资本</x:t>
  </x:si>
  <x:si>
    <x:t xml:space="preserve">1,356,586股；135.6586万元；4883.7074万元</x:t>
  </x:si>
  <x:si>
    <x:t xml:space="preserve">1,356,586股；4,883.7074万元</x:t>
  </x:si>
  <x:si>
    <x:t xml:space="preserve">CE-013-V01—CE-013-V06</x:t>
  </x:si>
  <x:si>
    <x:t xml:space="preserve">不复算原文约51.6元/股及约25.2亿元。</x:t>
  </x:si>
  <x:si>
    <x:t xml:space="preserve">十笔股份转让价款合计</x:t>
  </x:si>
  <x:si>
    <x:t xml:space="preserve">十笔原文价款</x:t>
  </x:si>
  <x:si>
    <x:t xml:space="preserve">逐笔价款求和</x:t>
  </x:si>
  <x:si>
    <x:t xml:space="preserve">8,563.19万元</x:t>
  </x:si>
  <x:si>
    <x:t xml:space="preserve">保留2位小数</x:t>
  </x:si>
  <x:si>
    <x:t xml:space="preserve">CE-013-V08｜CE-013-V10｜CE-013-V12｜CE-013-V14｜CE-013-V16｜CE-013-V18｜CE-013-V20｜CE-013-V22｜CE-013-V24｜CE-013-V26</x:t>
  </x:si>
  <x:si>
    <x:t xml:space="preserve">原文直接披露转让股数合计1,659,535股。阶段六审查将十笔原文价款合计由误录的8,563.79万元修正为8,563.19万元；十笔原文披露值未修改。</x:t>
  </x:si>
  <x:si>
    <x:t xml:space="preserve">十笔转让后的逐股东持股滚动</x:t>
  </x:si>
  <x:si>
    <x:t xml:space="preserve">SNP-013+两笔增资+十笔转让</x:t>
  </x:si>
  <x:si>
    <x:t xml:space="preserve">期后=期前+新增+受让-转让</x:t>
  </x:si>
  <x:si>
    <x:t xml:space="preserve">逐股东结果见07表</x:t>
  </x:si>
  <x:si>
    <x:t xml:space="preserve">总计48,837,074股</x:t>
  </x:si>
  <x:si>
    <x:t xml:space="preserve">与原文变更后股东表一致。</x:t>
  </x:si>
  <x:si>
    <x:t xml:space="preserve">终点交叉核对</x:t>
  </x:si>
  <x:si>
    <x:t xml:space="preserve">阶段六最终历史快照与C8发行前静态表核对</x:t>
  </x:si>
  <x:si>
    <x:t xml:space="preserve">SNP-014与C8逐股东持股数、总股本</x:t>
  </x:si>
  <x:si>
    <x:t xml:space="preserve">逐股东差额=C8-SNP-014</x:t>
  </x:si>
  <x:si>
    <x:t xml:space="preserve">全部差额0；总股本差额0</x:t>
  </x:si>
  <x:si>
    <x:t xml:space="preserve">一致</x:t>
  </x:si>
  <x:si>
    <x:t xml:space="preserve">CE-013-E05｜S6-C8-E01</x:t>
  </x:si>
  <x:si>
    <x:t xml:space="preserve">比例复算</x:t>
  </x:si>
  <x:si>
    <x:t xml:space="preserve">设立时持股比例复算</x:t>
  </x:si>
  <x:si>
    <x:t xml:space="preserve">25/50</x:t>
  </x:si>
  <x:si>
    <x:t xml:space="preserve">持有额/总资本×100%</x:t>
  </x:si>
  <x:si>
    <x:t xml:space="preserve">50.00%</x:t>
  </x:si>
  <x:si>
    <x:t xml:space="preserve">CE-001-V02—CE-001-V05</x:t>
  </x:si>
  <x:si>
    <x:t xml:space="preserve">原文比例同时保留。</x:t>
  </x:si>
  <x:si>
    <x:t xml:space="preserve">部分快照比例</x:t>
  </x:si>
  <x:si>
    <x:t xml:space="preserve">已知老股东在增资后总资本下的计算比例</x:t>
  </x:si>
  <x:si>
    <x:t xml:space="preserve">已知持有额；总资本128.205万元</x:t>
  </x:si>
  <x:si>
    <x:t xml:space="preserve">已知持有额/128.205×100%</x:t>
  </x:si>
  <x:si>
    <x:t xml:space="preserve">见07表</x:t>
  </x:si>
  <x:si>
    <x:t xml:space="preserve">仅已知老股东</x:t>
  </x:si>
  <x:si>
    <x:t xml:space="preserve">CE-003-E02｜CE-004-E01</x:t>
  </x:si>
  <x:si>
    <x:t xml:space="preserve">整体变更发起人持股比例复算</x:t>
  </x:si>
  <x:si>
    <x:t xml:space="preserve">各发起人股数/40,000,000</x:t>
  </x:si>
  <x:si>
    <x:t xml:space="preserve">持股数/总股本×100%</x:t>
  </x:si>
  <x:si>
    <x:t xml:space="preserve">与原文两位小数比例核对</x:t>
  </x:si>
  <x:si>
    <x:t xml:space="preserve">显示6位小数；原文比例另列</x:t>
  </x:si>
  <x:si>
    <x:t xml:space="preserve">CE-008-E07｜CE-008-V07—CE-008-V28</x:t>
  </x:si>
  <x:si>
    <x:t xml:space="preserve">原文值和计算值分列。</x:t>
  </x:si>
  <x:si>
    <x:t xml:space="preserve">证据引用及待复核</x:t>
  </x:si>
  <x:si>
    <x:t xml:space="preserve">原文证据和阶段六待人工复核事项集中登记。所有事实均可沿证据编号回到PDF双页码。</x:t>
  </x:si>
  <x:si>
    <x:t xml:space="preserve">record_id</x:t>
  </x:si>
  <x:si>
    <x:t xml:space="preserve">record_type</x:t>
  </x:si>
  <x:si>
    <x:t xml:space="preserve">event_or_snapshot_id</x:t>
  </x:si>
  <x:si>
    <x:t xml:space="preserve">original_evidence_or_issue</x:t>
  </x:si>
  <x:si>
    <x:t xml:space="preserve">supported_fields_or_review_point</x:t>
  </x:si>
  <x:si>
    <x:t xml:space="preserve">source_level</x:t>
  </x:si>
  <x:si>
    <x:t xml:space="preserve">PDF原文证据</x:t>
  </x:si>
  <x:si>
    <x:t xml:space="preserve">转让方；受让方；转让标的；全部转让判断；增资参与方；合计增资额；增资后注册资本；行为先后关系</x:t>
  </x:si>
  <x:si>
    <x:t xml:space="preserve">唯一主要事实来源：招股说明书PDF</x:t>
  </x:si>
  <x:si>
    <x:t xml:space="preserve">流程图右侧说明框。各自增资额、转让价格、协议日、缴款日和工商变更日均未披露。</x:t>
  </x:si>
  <x:si>
    <x:t xml:space="preserve">阶段四已验收；阶段六复核其在交易拆分与快照中的使用。</x:t>
  </x:si>
  <x:si>
    <x:t xml:space="preserve">CE-004-E01</x:t>
  </x:si>
  <x:si>
    <x:t xml:space="preserve">“2014年8月，有限公司第二次增资，注册资本增至128.205万元。”</x:t>
  </x:si>
  <x:si>
    <x:t xml:space="preserve">标题时间；事件类型；增资后注册资本</x:t>
  </x:si>
  <x:si>
    <x:t xml:space="preserve">无额外推定。</x:t>
  </x:si>
  <x:si>
    <x:t xml:space="preserve">“力源信息、东方富海及芜湖富海共同增资28.205万元。”</x:t>
  </x:si>
  <x:si>
    <x:t xml:space="preserve">增资方；合计增资额；新增股东方向</x:t>
  </x:si>
  <x:si>
    <x:t xml:space="preserve">CE-005-E01</x:t>
  </x:si>
  <x:si>
    <x:t xml:space="preserve">“2015年1月，有限公司第三次增资，注册资本增至136.9864万元。”</x:t>
  </x:si>
  <x:si>
    <x:t xml:space="preserve">标题时间；事件类型；注册资本</x:t>
  </x:si>
  <x:si>
    <x:t xml:space="preserve">“力源信息、东方富海及芜湖富海共同增资8.78714万元。”</x:t>
  </x:si>
  <x:si>
    <x:t xml:space="preserve">增资方；合计增资额；既有股东增资方向</x:t>
  </x:si>
  <x:si>
    <x:t xml:space="preserve">CE-006-E01</x:t>
  </x:si>
  <x:si>
    <x:t xml:space="preserve">“2015年3月，有限公司第四次增资，注册资本增至2,000万元。”</x:t>
  </x:si>
  <x:si>
    <x:t xml:space="preserve">“新增注册资本由各股东按照其持股比例以资本公积转增。”</x:t>
  </x:si>
  <x:si>
    <x:t xml:space="preserve">资本来源；转增对象；非现金增资性质</x:t>
  </x:si>
  <x:si>
    <x:t xml:space="preserve">CE-007-E01</x:t>
  </x:si>
  <x:si>
    <x:t xml:space="preserve">“2015年8月，有限公司第五次增资，注册资本增至2,158.2733万元。”</x:t>
  </x:si>
  <x:si>
    <x:t xml:space="preserve">“深创投、丰利财富、镇江红土、昆山红土、富海深湾、芜湖富海共同增资158.2733万元。”</x:t>
  </x:si>
  <x:si>
    <x:t xml:space="preserve">增资方；合计增资额；新增/增加方向</x:t>
  </x:si>
  <x:si>
    <x:t xml:space="preserve">59</x:t>
  </x:si>
  <x:si>
    <x:t xml:space="preserve">58</x:t>
  </x:si>
  <x:si>
    <x:t xml:space="preserve">协议日；外部增资方；转让方和受让方；原文金额与股数</x:t>
  </x:si>
  <x:si>
    <x:t xml:space="preserve">CE-010-E03</x:t>
  </x:si>
  <x:si>
    <x:t xml:space="preserve">60</x:t>
  </x:si>
  <x:si>
    <x:t xml:space="preserve">2018年6月28日完成夏东、南山富海、珠海拓域及四名激励对象的工商变更。</x:t>
  </x:si>
  <x:si>
    <x:t xml:space="preserve">第一批工商变更日；注册资本4,264.3373万元</x:t>
  </x:si>
  <x:si>
    <x:t xml:space="preserve">CE-010-E04</x:t>
  </x:si>
  <x:si>
    <x:t xml:space="preserve">2018年7月27日完成国科瑞华、CASREV FUND、中科贵银增资登记。</x:t>
  </x:si>
  <x:si>
    <x:t xml:space="preserve">第二批工商变更日；注册资本4,635万元</x:t>
  </x:si>
  <x:si>
    <x:t xml:space="preserve">CE-010-E05</x:t>
  </x:si>
  <x:si>
    <x:t xml:space="preserve">59—60</x:t>
  </x:si>
  <x:si>
    <x:t xml:space="preserve">变更后股东表列示六名外部增资方、四名激励对象及三名股份受让方。</x:t>
  </x:si>
  <x:si>
    <x:t xml:space="preserve">新增股东；转让后继续持股；变更后状态</x:t>
  </x:si>
  <x:si>
    <x:t xml:space="preserve">2018年6月12日股东大会同意四名管理团队成员合计认缴新增注册资本120万元。</x:t>
  </x:si>
  <x:si>
    <x:t xml:space="preserve">股东大会决议；股权激励对象；各自认缴额</x:t>
  </x:si>
  <x:si>
    <x:t xml:space="preserve">62</x:t>
  </x:si>
  <x:si>
    <x:t xml:space="preserve">61</x:t>
  </x:si>
  <x:si>
    <x:t xml:space="preserve">2020年5月20日股东大会决议并签署增资协议，火炬电子现金5,000万元认购113.0488万股。</x:t>
  </x:si>
  <x:si>
    <x:t xml:space="preserve">决议日；协议日；增资方；现金额；新增股份</x:t>
  </x:si>
  <x:si>
    <x:t xml:space="preserve">CE-012-E02</x:t>
  </x:si>
  <x:si>
    <x:t xml:space="preserve">2020年5月28日完成市场监督管理变更备案。</x:t>
  </x:si>
  <x:si>
    <x:t xml:space="preserve">工商备案日；增资完成节点</x:t>
  </x:si>
  <x:si>
    <x:t xml:space="preserve">增资后股东表首次列示火炬电子1,130,488股。</x:t>
  </x:si>
  <x:si>
    <x:t xml:space="preserve">新增股东方向；变更后状态</x:t>
  </x:si>
  <x:si>
    <x:t xml:space="preserve">63</x:t>
  </x:si>
  <x:si>
    <x:t xml:space="preserve">2020年9月15日股东大会同意厦门西堤、中小企业基金认购新增股份。</x:t>
  </x:si>
  <x:si>
    <x:t xml:space="preserve">决议日；增资方；现金额；新增股份；注册资本</x:t>
  </x:si>
  <x:si>
    <x:t xml:space="preserve">CE-013-E04</x:t>
  </x:si>
  <x:si>
    <x:t xml:space="preserve">64</x:t>
  </x:si>
  <x:si>
    <x:t xml:space="preserve">2020年9月23日完成工商变更登记；原文披露每股价格约51.6元。</x:t>
  </x:si>
  <x:si>
    <x:t xml:space="preserve">工商变更日；原文每股价格和估值</x:t>
  </x:si>
  <x:si>
    <x:t xml:space="preserve">CE-013-E05</x:t>
  </x:si>
  <x:si>
    <x:t xml:space="preserve">变更后股东表列示两名增资方及各股份受让方，四名转让方仍持股。</x:t>
  </x:si>
  <x:si>
    <x:t xml:space="preserve">新增、增加、减少和未退出判断</x:t>
  </x:si>
  <x:si>
    <x:t xml:space="preserve">CE-003-E01</x:t>
  </x:si>
  <x:si>
    <x:t xml:space="preserve">“2014年6月，有限公司第二次股权转让，注册资本100万元。”</x:t>
  </x:si>
  <x:si>
    <x:t xml:space="preserve">事件标题时间；事件类型；注册资本</x:t>
  </x:si>
  <x:si>
    <x:t xml:space="preserve">流程图左侧节点；日期仅精确到月份。</x:t>
  </x:si>
  <x:si>
    <x:t xml:space="preserve">转让方；受让方；分别转让比例；变化方向</x:t>
  </x:si>
  <x:si>
    <x:t xml:space="preserve">流程图右侧说明框。</x:t>
  </x:si>
  <x:si>
    <x:t xml:space="preserve">协议日；转让方；受让方；全部股份；价款</x:t>
  </x:si>
  <x:si>
    <x:t xml:space="preserve">CE-009-E02</x:t>
  </x:si>
  <x:si>
    <x:t xml:space="preserve">转让后股东表列示天健创投666,680股、1.67%，不再列示丰利财富。</x:t>
  </x:si>
  <x:si>
    <x:t xml:space="preserve">新增与退出方向；变更后状态</x:t>
  </x:si>
  <x:si>
    <x:t xml:space="preserve">CE-011-E01</x:t>
  </x:si>
  <x:si>
    <x:t xml:space="preserve">协议日；转让方；受让方；股数；价款</x:t>
  </x:si>
  <x:si>
    <x:t xml:space="preserve">CE-011-E03</x:t>
  </x:si>
  <x:si>
    <x:t xml:space="preserve">转让后为赛咨询持股1,053,360股，李文发、秦国君各持600,000股。</x:t>
  </x:si>
  <x:si>
    <x:t xml:space="preserve">持股减少和增加；未退出判断</x:t>
  </x:si>
  <x:si>
    <x:t xml:space="preserve">转让方；受让方；逐笔股数和价款；合计股数</x:t>
  </x:si>
  <x:si>
    <x:t xml:space="preserve">CE-001-E01</x:t>
  </x:si>
  <x:si>
    <x:t xml:space="preserve">54</x:t>
  </x:si>
  <x:si>
    <x:t xml:space="preserve">2008年4月17日，深圳市云汉电子有限公司和刘云锋共同申请设立公司前身上海云汉电子有限公司，注册资本为50万元；深圳云汉电子和刘云锋各认缴25万元、各占50%。</x:t>
  </x:si>
  <x:si>
    <x:t xml:space="preserve">设立申请时间；设立申请人；初始注册资本；认缴出资；原文持股比例</x:t>
  </x:si>
  <x:si>
    <x:t xml:space="preserve">25万元、50万元和50%均为原文披露值。</x:t>
  </x:si>
  <x:si>
    <x:t xml:space="preserve">CE-001-E05</x:t>
  </x:si>
  <x:si>
    <x:t xml:space="preserve">设立时股东表：深圳市云汉电子有限公司注册资本25.00万元、持股50.00%；刘云锋注册资本25.00万元、持股50.00%；合计50.00万元、100.00%。</x:t>
  </x:si>
  <x:si>
    <x:t xml:space="preserve">设立时股东；注册资本；原文持股比例</x:t>
  </x:si>
  <x:si>
    <x:t xml:space="preserve">表格原文披露值，不重新计算。</x:t>
  </x:si>
  <x:si>
    <x:t xml:space="preserve">整体变更时11名发起人持股数量及比例表。</x:t>
  </x:si>
  <x:si>
    <x:t xml:space="preserve">发起人名单；原文股份数量和比例</x:t>
  </x:si>
  <x:si>
    <x:t xml:space="preserve">“本次发行前后的股本情况”表列示发行前34名股东持股数及合计48,837,074股。</x:t>
  </x:si>
  <x:si>
    <x:t xml:space="preserve">发行前静态终点快照；逐股东持股数；总股本</x:t>
  </x:si>
  <x:si>
    <x:t xml:space="preserve">仅用于终点交叉核对，不倒推历史未披露交易。</x:t>
  </x:si>
  <x:si>
    <x:t xml:space="preserve">需抽查C8跨页表格。</x:t>
  </x:si>
  <x:si>
    <x:t xml:space="preserve">S6-REV-001</x:t>
  </x:si>
  <x:si>
    <x:t xml:space="preserve">待人工复核</x:t>
  </x:si>
  <x:si>
    <x:t xml:space="preserve">CE-004｜SNP-005</x:t>
  </x:si>
  <x:si>
    <x:t xml:space="preserve">三名增资方各自认缴额未披露。</x:t>
  </x:si>
  <x:si>
    <x:t xml:space="preserve">确认部分快照标记，不进行平均分配。</x:t>
  </x:si>
  <x:si>
    <x:t xml:space="preserve">阶段六人工判断/计算</x:t>
  </x:si>
  <x:si>
    <x:t xml:space="preserve">不得将未披露事项写成事实。</x:t>
  </x:si>
  <x:si>
    <x:t xml:space="preserve">S6-REV-002</x:t>
  </x:si>
  <x:si>
    <x:t xml:space="preserve">CE-005｜SNP-006</x:t>
  </x:si>
  <x:si>
    <x:t xml:space="preserve">128.205+8.78714=136.99214，与原文136.9864相差0.00574万元。</x:t>
  </x:si>
  <x:si>
    <x:t xml:space="preserve">保留至阶段七，不在阶段六修正。</x:t>
  </x:si>
  <x:si>
    <x:t xml:space="preserve">S6-REV-003</x:t>
  </x:si>
  <x:si>
    <x:t xml:space="preserve">CE-006｜SNP-007</x:t>
  </x:si>
  <x:si>
    <x:t xml:space="preserve">资本公积按原比例转增，但上期完整持股结构不可重建。</x:t>
  </x:si>
  <x:si>
    <x:t xml:space="preserve">不拆分各股东转增额。</x:t>
  </x:si>
  <x:si>
    <x:t xml:space="preserve">S6-REV-004</x:t>
  </x:si>
  <x:si>
    <x:t xml:space="preserve">CE-007｜SNP-008</x:t>
  </x:si>
  <x:si>
    <x:t xml:space="preserve">六名增资方共同增资额已披露，各自金额未披露。</x:t>
  </x:si>
  <x:si>
    <x:t xml:space="preserve">保持not_reconstructible。</x:t>
  </x:si>
  <x:si>
    <x:t xml:space="preserve">S6-REV-005</x:t>
  </x:si>
  <x:si>
    <x:t xml:space="preserve">CE-010｜SNP-011</x:t>
  </x:si>
  <x:si>
    <x:t xml:space="preserve">增资分两批工商登记，股份转让交割时点未单独披露。</x:t>
  </x:si>
  <x:si>
    <x:t xml:space="preserve">不把表内顺序解释为全部行为顺序。</x:t>
  </x:si>
  <x:si>
    <x:t xml:space="preserve">S6-REV-006</x:t>
  </x:si>
  <x:si>
    <x:t xml:space="preserve">CE-013｜SNP-014</x:t>
  </x:si>
  <x:si>
    <x:t xml:space="preserve">2020年9月增资与股份转让实际先后未披露。</x:t>
  </x:si>
  <x:si>
    <x:t xml:space="preserve">同月并列，最终快照以变更后股东表为准。</x:t>
  </x:si>
  <x:si>
    <x:t xml:space="preserve">S6-REV-007</x:t>
  </x:si>
  <x:si>
    <x:t xml:space="preserve">SNP-014｜SNP-015</x:t>
  </x:si>
  <x:si>
    <x:t xml:space="preserve">C3变更后表与C8发行前表逐股东、总股本核对。</x:t>
  </x:si>
  <x:si>
    <x:t xml:space="preserve">当前计算差额为0，待用户抽查确认。</x:t>
  </x:si>
  <x:si>
    <x:t xml:space="preserve">S6-AUD-001</x:t>
  </x:si>
  <x:si>
    <x:t xml:space="preserve">审查修订</x:t>
  </x:si>
  <x:si>
    <x:t xml:space="preserve">CE-013-02｜TR-EVT-006｜S6-CAL-016</x:t>
  </x:si>
  <x:si>
    <x:t xml:space="preserve">十笔股份转让原文价款逐笔求和为8,563.19万元；原底稿聚合值误录为8,563.79万元。</x:t>
  </x:si>
  <x:si>
    <x:t xml:space="preserve">修正TR-EVT-006及S6-CAL-016的计算合计。</x:t>
  </x:si>
  <x:si>
    <x:t xml:space="preserve">招股说明书原文数值＋阶段六计算</x:t>
  </x:si>
  <x:si>
    <x:t xml:space="preserve">仅修正计算合计，不修改十笔原文披露值；持股快照不受影响。</x:t>
  </x:si>
  <x:si>
    <x:t xml:space="preserve">阶段六验收清单</x:t>
  </x:si>
  <x:si>
    <x:t xml:space="preserve">自动计数用于结构检查；最终验收仍需用户逐表复核增资、转让和快照。</x:t>
  </x:si>
  <x:si>
    <x:t xml:space="preserve">check_id</x:t>
  </x:si>
  <x:si>
    <x:t xml:space="preserve">check_category</x:t>
  </x:si>
  <x:si>
    <x:t xml:space="preserve">check_description</x:t>
  </x:si>
  <x:si>
    <x:t xml:space="preserve">expected_value</x:t>
  </x:si>
  <x:si>
    <x:t xml:space="preserve">actual_value</x:t>
  </x:si>
  <x:si>
    <x:t xml:space="preserve">check_result</x:t>
  </x:si>
  <x:si>
    <x:t xml:space="preserve">related_records</x:t>
  </x:si>
  <x:si>
    <x:t xml:space="preserve">AC-001</x:t>
  </x:si>
  <x:si>
    <x:t xml:space="preserve">范围完整性</x:t>
  </x:si>
  <x:si>
    <x:t xml:space="preserve">增资或资本公积转增事件数量</x:t>
  </x:si>
  <x:si>
    <x:t xml:space="preserve">INC-001—INC-009</x:t>
  </x:si>
  <x:si>
    <x:t xml:space="preserve">不含公司设立和整体变更。</x:t>
  </x:si>
  <x:si>
    <x:t xml:space="preserve">AC-002</x:t>
  </x:si>
  <x:si>
    <x:t xml:space="preserve">股权/股份转让事件数量</x:t>
  </x:si>
  <x:si>
    <x:t xml:space="preserve">TR-EVT-001—TR-EVT-006</x:t>
  </x:si>
  <x:si>
    <x:t xml:space="preserve">父级复合事件不重复计数。</x:t>
  </x:si>
  <x:si>
    <x:t xml:space="preserve">AC-003</x:t>
  </x:si>
  <x:si>
    <x:t xml:space="preserve">原子化</x:t>
  </x:si>
  <x:si>
    <x:t xml:space="preserve">股权转让原子明细数量</x:t>
  </x:si>
  <x:si>
    <x:t xml:space="preserve">TR-LOT-001—TR-LOT-020</x:t>
  </x:si>
  <x:si>
    <x:t xml:space="preserve">1+2+1+4+2+10。</x:t>
  </x:si>
  <x:si>
    <x:t xml:space="preserve">AC-004</x:t>
  </x:si>
  <x:si>
    <x:t xml:space="preserve">快照</x:t>
  </x:si>
  <x:si>
    <x:t xml:space="preserve">股权结构快照数量</x:t>
  </x:si>
  <x:si>
    <x:t xml:space="preserve">SNP-001—SNP-015</x:t>
  </x:si>
  <x:si>
    <x:t xml:space="preserve">含C8终点核对快照。</x:t>
  </x:si>
  <x:si>
    <x:t xml:space="preserve">AC-005</x:t>
  </x:si>
  <x:si>
    <x:t xml:space="preserve">数值边界</x:t>
  </x:si>
  <x:si>
    <x:t xml:space="preserve">CE-005差异未静默修正</x:t>
  </x:si>
  <x:si>
    <x:t xml:space="preserve">通过</x:t>
  </x:si>
  <x:si>
    <x:t xml:space="preserve">转入阶段七。</x:t>
  </x:si>
  <x:si>
    <x:t xml:space="preserve">AC-006</x:t>
  </x:si>
  <x:si>
    <x:t xml:space="preserve">排除边界</x:t>
  </x:si>
  <x:si>
    <x:t xml:space="preserve">CE-014特殊权利事项未纳入资本交易</x:t>
  </x:si>
  <x:si>
    <x:t xml:space="preserve">排除</x:t>
  </x:si>
  <x:si>
    <x:t xml:space="preserve">CE-014及轮次级事项</x:t>
  </x:si>
  <x:si>
    <x:t xml:space="preserve">沿用阶段五排除结论。</x:t>
  </x:si>
  <x:si>
    <x:t xml:space="preserve">AC-007</x:t>
  </x:si>
  <x:si>
    <x:t xml:space="preserve">终点勾稽</x:t>
  </x:si>
  <x:si>
    <x:t xml:space="preserve">SNP-014与C8发行前总股本一致</x:t>
  </x:si>
  <x:si>
    <x:t xml:space="preserve">SNP-014｜SNP-015｜S6-CAL-018</x:t>
  </x:si>
  <x:si>
    <x:t xml:space="preserve">逐股东差额亦为0。</x:t>
  </x:si>
  <x:si>
    <x:t xml:space="preserve">AC-008</x:t>
  </x:si>
  <x:si>
    <x:t xml:space="preserve">证据</x:t>
  </x:si>
  <x:si>
    <x:t xml:space="preserve">核心事实保留双页码和证据编号</x:t>
  </x:si>
  <x:si>
    <x:t xml:space="preserve">全部记录</x:t>
  </x:si>
  <x:si>
    <x:t xml:space="preserve">全部核心事件/快照已填写</x:t>
  </x:si>
  <x:si>
    <x:t xml:space="preserve">02—09工作表</x:t>
  </x:si>
  <x:si>
    <x:t xml:space="preserve">C8新增证据编号S6-C8-E01。</x:t>
  </x:si>
  <x:si>
    <x:t xml:space="preserve">AC-009</x:t>
  </x:si>
  <x:si>
    <x:t xml:space="preserve">原文值、计算值、人工判断分列</x:t>
  </x:si>
  <x:si>
    <x:t xml:space="preserve">分列</x:t>
  </x:si>
  <x:si>
    <x:t xml:space="preserve">全部数据表</x:t>
  </x:si>
  <x:si>
    <x:t xml:space="preserve">原文数字蓝色，计算列绿色标题/公式。</x:t>
  </x:si>
  <x:si>
    <x:t xml:space="preserve">AC-010</x:t>
  </x:si>
  <x:si>
    <x:t xml:space="preserve">未进行PE/VC主体分类和投资路径识别</x:t>
  </x:si>
  <x:si>
    <x:t xml:space="preserve">未进行</x:t>
  </x:si>
  <x:si>
    <x:t xml:space="preserve">01_主体主数据</x:t>
  </x:si>
  <x:si>
    <x:t xml:space="preserve">留待阶段八。</x:t>
  </x:si>
  <x:si>
    <x:t xml:space="preserve">AC-011</x:t>
  </x:si>
  <x:si>
    <x:t xml:space="preserve">36名主体名称标准化完成用户复核</x:t>
  </x:si>
  <x:si>
    <x:t xml:space="preserve">PTY-001—PTY-036</x:t>
  </x:si>
  <x:si>
    <x:t xml:space="preserve">AC-012</x:t>
  </x:si>
  <x:si>
    <x:t xml:space="preserve">转让价款合计</x:t>
  </x:si>
  <x:si>
    <x:t xml:space="preserve">CE-013十笔股份转让价款合计</x:t>
  </x:si>
  <x:si>
    <x:t xml:space="preserve">TR-EVT-006｜TR-LOT-011—TR-LOT-020｜S6-CAL-016</x:t>
  </x:si>
  <x:si>
    <x:t xml:space="preserve">原底稿8,563.79万元已修正为逐笔原文价款合计8,563.19万元。</x:t>
  </x:si>
  <x:si>
    <x:t xml:space="preserve">复核状态</x:t>
  </x:si>
  <x:si>
    <x:t xml:space="preserve">日期精度</x:t>
  </x:si>
  <x:si>
    <x:t xml:space="preserve">快照依据</x:t>
  </x:si>
  <x:si>
    <x:t xml:space="preserve">完整性状态</x:t>
  </x:si>
  <x:si>
    <x:t xml:space="preserve">值来源类型</x:t>
  </x:si>
  <x:si>
    <x:t xml:space="preserve">增资类型</x:t>
  </x:si>
  <x:si>
    <x:t xml:space="preserve">是/否</x:t>
  </x:si>
  <x:si>
    <x:t xml:space="preserve">检查结果</x:t>
  </x:si>
  <x:si>
    <x:t xml:space="preserve">待用户复核</x:t>
  </x:si>
  <x:si>
    <x:t xml:space="preserve">日</x:t>
  </x:si>
  <x:si>
    <x:t xml:space="preserve">否</x:t>
  </x:si>
  <x:si>
    <x:t xml:space="preserve">待复核</x:t>
  </x:si>
  <x:si>
    <x:t xml:space="preserve">年</x:t>
  </x:si>
  <x:si>
    <x:t xml:space="preserve">需修改</x:t>
  </x:si>
  <x:si>
    <x:t xml:space="preserve">日期区间</x:t>
  </x:si>
  <x:si>
    <x:t xml:space="preserve">pending_manual_review</x:t>
  </x:si>
  <x:si>
    <x:t xml:space="preserve">其他</x:t>
  </x:si>
  <x:si>
    <x:t xml:space="preserve">阶段六用户复核回传审查记录</x:t>
  </x:si>
  <x:si>
    <x:t xml:space="preserve">issue_id</x:t>
  </x:si>
  <x:si>
    <x:t xml:space="preserve">级别</x:t>
  </x:si>
  <x:si>
    <x:t xml:space="preserve">审查范围</x:t>
  </x:si>
  <x:si>
    <x:t xml:space="preserve">审查结论</x:t>
  </x:si>
  <x:si>
    <x:t xml:space="preserve">修订或处理</x:t>
  </x:si>
  <x:si>
    <x:t xml:space="preserve">证据/计算依据</x:t>
  </x:si>
  <x:si>
    <x:t xml:space="preserve">当前状态</x:t>
  </x:si>
  <x:si>
    <x:t xml:space="preserve">下一步</x:t>
  </x:si>
  <x:si>
    <x:t xml:space="preserve">AUD-001</x:t>
  </x:si>
  <x:si>
    <x:t xml:space="preserve">阻断</x:t>
  </x:si>
  <x:si>
    <x:t xml:space="preserve">04_股权转让事件／08_计算值登记</x:t>
  </x:si>
  <x:si>
    <x:t xml:space="preserve">CE-013十笔转让价款合计原录8,563.79万元，逐笔求和应为8,563.19万元。</x:t>
  </x:si>
  <x:si>
    <x:t xml:space="preserve">已修正聚合计算值；十笔原文价款未改。</x:t>
  </x:si>
  <x:si>
    <x:t xml:space="preserve">2,476.80+2,499.99+600+438.60+438.60+438.60+200+438.60+258+774=8,563.19万元</x:t>
  </x:si>
  <x:si>
    <x:t xml:space="preserve">AUD-002</x:t>
  </x:si>
  <x:si>
    <x:t xml:space="preserve">36名主体仍全部为待用户复核。</x:t>
  </x:si>
  <x:si>
    <x:t xml:space="preserve">未擅自批量通过；新增AC-011自动计数。</x:t>
  </x:si>
  <x:si>
    <x:t xml:space="preserve">主体ID及标准化名称是交易表、快照表的外键基础。</x:t>
  </x:si>
  <x:si>
    <x:t xml:space="preserve">AUD-003</x:t>
  </x:si>
  <x:si>
    <x:t xml:space="preserve">流程</x:t>
  </x:si>
  <x:si>
    <x:t xml:space="preserve">07_快照持股明细</x:t>
  </x:si>
  <x:si>
    <x:t xml:space="preserve">201行在回传前版本中已预填为已验收通过，不能仅凭状态变化证明本轮逐行复核。</x:t>
  </x:si>
  <x:si>
    <x:t xml:space="preserve">已进行确定性勾稽：完整快照合计、百分比和交易滚动均无差异。</x:t>
  </x:si>
  <x:si>
    <x:t xml:space="preserve">SNP-009—SNP-015逐期滚动；SNP-014与SNP-015总股本均为48,837,074股。</x:t>
  </x:si>
  <x:si>
    <x:t xml:space="preserve">AUD-004</x:t>
  </x:si>
  <x:si>
    <x:t xml:space="preserve">02_增资事件／03_增资参与方明细</x:t>
  </x:si>
  <x:si>
    <x:t xml:space="preserve">本轮21条修订范围均已由用户标记为已验收通过，状态值合规。</x:t>
  </x:si>
  <x:si>
    <x:t xml:space="preserve">无进一步事实修改。</x:t>
  </x:si>
  <x:si>
    <x:t xml:space="preserve">9个增资事件、28条参与方明细；原文值和计算值分列。</x:t>
  </x:si>
  <x:si>
    <x:t xml:space="preserve">无需再次复核。</x:t>
  </x:si>
  <x:si>
    <x:t xml:space="preserve">AUD-005</x:t>
  </x:si>
  <x:si>
    <x:t xml:space="preserve">04—07表结构关系</x:t>
  </x:si>
  <x:si>
    <x:t xml:space="preserve">ID唯一、外键完整；交易明细与快照滚动方向一致。</x:t>
  </x:si>
  <x:si>
    <x:t xml:space="preserve">无结构性修改。</x:t>
  </x:si>
  <x:si>
    <x:t xml:space="preserve">6个转让事件、20笔原子交易、15个快照、201条快照持股。</x:t>
  </x:si>
</x:sst>
</file>

<file path=xl/styles.xml><?xml version="1.0" encoding="utf-8"?>
<x:styleSheet xmlns:x="http://schemas.openxmlformats.org/spreadsheetml/2006/main">
  <x:numFmts count="1">
    <x:numFmt numFmtId="176" formatCode="0.000000"/>
  </x:numFmts>
  <x:fonts count="14">
    <x:font>
      <x:sz val="11"/>
      <x:name val="Carlito"/>
    </x:font>
    <x:font>
      <x:b/>
      <x:sz val="16"/>
      <x:color rgb="FFFFFFFF"/>
      <x:name val="Carlito"/>
    </x:font>
    <x:font>
      <x:b/>
      <x:sz val="11"/>
      <x:color rgb="FFFFFFFF"/>
      <x:name val="Carlito"/>
    </x:font>
    <x:font>
      <x:b/>
      <x:sz val="11"/>
      <x:color rgb="FF006100"/>
      <x:name val="Carlito"/>
    </x:font>
    <x:font>
      <x:b/>
      <x:sz val="15"/>
      <x:color rgb="FFFFFFFF"/>
      <x:name val="Carlito"/>
    </x:font>
    <x:font>
      <x:i/>
      <x:sz val="11"/>
      <x:color rgb="FF1F1F1F"/>
      <x:name val="Carlito"/>
    </x:font>
    <x:font>
      <x:sz val="11"/>
      <x:color rgb="FF0000FF"/>
      <x:name val="Carlito"/>
    </x:font>
    <x:font>
      <x:sz val="11"/>
      <x:color rgb="FF008000"/>
      <x:name val="Carlito"/>
    </x:font>
    <x:font>
      <x:b/>
      <x:sz val="11"/>
      <x:color rgb="FF008000"/>
      <x:name val="Carlito"/>
    </x:font>
    <x:font>
      <x:sz val="11"/>
      <x:name val="Carlito"/>
    </x:font>
    <x:font>
      <x:sz val="9"/>
      <x:name val="宋体"/>
    </x:font>
    <x:font>
      <x:sz val="11"/>
      <x:name val="宋体"/>
    </x:font>
    <x:font>
      <x:b/>
      <x:sz val="14"/>
      <x:color rgb="FFFFFFFF"/>
      <x:name val="Carlito"/>
    </x:font>
    <x:font>
      <x:b/>
      <x:sz val="11"/>
      <x:name val="Carlito"/>
    </x:font>
  </x:fonts>
  <x:fills count="11">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E2F0D9"/>
      </x:patternFill>
    </x:fill>
    <x:fill>
      <x:patternFill patternType="solid">
        <x:fgColor rgb="FFD9EAF7"/>
      </x:patternFill>
    </x:fill>
    <x:fill>
      <x:patternFill patternType="solid">
        <x:fgColor rgb="FFFFF2CC"/>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5B9BD5"/>
      </x:patternFill>
    </x:fill>
  </x:fills>
  <x:borders count="9">
    <x:border/>
    <x:border>
      <x:left style="thin">
        <x:color rgb="FFB7B7B7"/>
      </x:left>
      <x:top style="thin">
        <x:color rgb="FFB7B7B7"/>
      </x:top>
    </x:border>
    <x:border>
      <x:top style="thin">
        <x:color rgb="FFB7B7B7"/>
      </x:top>
    </x:border>
    <x:border>
      <x:right style="thin">
        <x:color rgb="FFB7B7B7"/>
      </x:right>
      <x:top style="thin">
        <x:color rgb="FFB7B7B7"/>
      </x:top>
    </x:border>
    <x:border>
      <x:left style="thin">
        <x:color rgb="FFB7B7B7"/>
      </x:left>
      <x:bottom style="thin">
        <x:color rgb="FFB7B7B7"/>
      </x:bottom>
    </x:border>
    <x:border>
      <x:bottom style="thin">
        <x:color rgb="FFB7B7B7"/>
      </x:bottom>
    </x:border>
    <x:border>
      <x:right style="thin">
        <x:color rgb="FFB7B7B7"/>
      </x:right>
      <x:bottom style="thin">
        <x:color rgb="FFB7B7B7"/>
      </x:bottom>
    </x:border>
    <x:border>
      <x:left style="thin">
        <x:color rgb="FFB7B7B7"/>
      </x:left>
    </x:border>
    <x:border>
      <x:right style="thin">
        <x:color rgb="FFB7B7B7"/>
      </x:right>
    </x:border>
  </x:borders>
  <x:cellStyleXfs count="2">
    <x:xf numFmtId="0" fontId="0" fillId="0" borderId="0"/>
    <x:xf numFmtId="0" fontId="9" fillId="0" borderId="0"/>
  </x:cellStyleXfs>
  <x:cellXfs count="39">
    <x:xf numFmtId="0" fontId="0" fillId="0" borderId="0" xfId="0"/>
    <x:xf numFmtId="0" fontId="2" fillId="3" borderId="0" xfId="1" applyFont="1" applyFill="1" applyAlignment="1">
      <x:alignment wrapText="1"/>
    </x:xf>
    <x:xf numFmtId="0" fontId="0" fillId="0" borderId="0" xfId="1" applyFont="1" applyAlignment="1">
      <x:alignment wrapText="1"/>
    </x:xf>
    <x:xf numFmtId="0" fontId="0" fillId="0" borderId="0" xfId="1" applyFont="1" applyAlignment="1">
      <x:alignment vertical="top" wrapText="1"/>
    </x:xf>
    <x:xf numFmtId="0" fontId="2" fillId="4" borderId="0" xfId="1" applyFont="1" applyFill="1" applyAlignment="1">
      <x:alignment wrapText="1"/>
    </x:xf>
    <x:xf numFmtId="0" fontId="0" fillId="4" borderId="0" xfId="1" applyFont="1" applyFill="1" applyAlignment="1">
      <x:alignment vertical="top" wrapText="1"/>
    </x:xf>
    <x:xf numFmtId="1" fontId="3" fillId="4" borderId="0" xfId="1" applyNumberFormat="1" applyFont="1" applyFill="1" applyAlignment="1">
      <x:alignment horizontal="center" vertical="top" wrapText="1"/>
    </x:xf>
    <x:xf numFmtId="0" fontId="2" fillId="3" borderId="0" xfId="1" applyFont="1" applyFill="1" applyAlignment="1">
      <x:alignment horizontal="center" vertical="center" wrapText="1"/>
    </x:xf>
    <x:xf numFmtId="0" fontId="0" fillId="6" borderId="0" xfId="1" applyFont="1" applyFill="1" applyAlignment="1">
      <x:alignment vertical="top" wrapText="1"/>
    </x:xf>
    <x:xf numFmtId="0" fontId="6" fillId="0" borderId="0" xfId="1" applyFont="1" applyAlignment="1">
      <x:alignment vertical="top" wrapText="1"/>
    </x:xf>
    <x:xf numFmtId="0" fontId="7" fillId="3" borderId="0" xfId="1" applyFont="1" applyFill="1" applyAlignment="1">
      <x:alignment horizontal="center" vertical="center" wrapText="1"/>
    </x:xf>
    <x:xf numFmtId="0" fontId="7" fillId="0" borderId="0" xfId="1" applyFont="1" applyAlignment="1">
      <x:alignment vertical="top" wrapText="1"/>
    </x:xf>
    <x:xf numFmtId="0" fontId="8" fillId="3" borderId="0" xfId="1" applyFont="1" applyFill="1" applyAlignment="1">
      <x:alignment horizontal="center" vertical="center" wrapText="1"/>
    </x:xf>
    <x:xf numFmtId="0" fontId="8" fillId="0" borderId="0" xfId="1" applyFont="1" applyAlignment="1">
      <x:alignment vertical="top" wrapText="1"/>
    </x:xf>
    <x:xf numFmtId="176" fontId="7" fillId="0" borderId="0" xfId="1" applyNumberFormat="1" applyFont="1" applyAlignment="1">
      <x:alignment vertical="top" wrapText="1"/>
    </x:xf>
    <x:xf numFmtId="0" fontId="11" fillId="6" borderId="0" xfId="1" applyFont="1" applyFill="1" applyAlignment="1">
      <x:alignment vertical="top" wrapText="1"/>
    </x:xf>
    <x:xf numFmtId="0" fontId="0" fillId="0" borderId="0" xfId="0" applyAlignment="1">
      <x:alignment wrapText="1"/>
    </x:xf>
    <x:xf numFmtId="0" fontId="0" fillId="0" borderId="1" xfId="0" applyBorder="1" applyAlignment="1">
      <x:alignment wrapText="1"/>
    </x:xf>
    <x:xf numFmtId="0" fontId="0" fillId="0" borderId="2" xfId="0" applyBorder="1" applyAlignment="1">
      <x:alignment wrapText="1"/>
    </x:xf>
    <x:xf numFmtId="0" fontId="0" fillId="0" borderId="3" xfId="0" applyBorder="1" applyAlignment="1">
      <x:alignment wrapText="1"/>
    </x:xf>
    <x:xf numFmtId="0" fontId="0" fillId="0" borderId="4" xfId="0" applyBorder="1" applyAlignment="1">
      <x:alignment wrapText="1"/>
    </x:xf>
    <x:xf numFmtId="0" fontId="0" fillId="0" borderId="5" xfId="0" applyBorder="1" applyAlignment="1">
      <x:alignment wrapText="1"/>
    </x:xf>
    <x:xf numFmtId="0" fontId="0" fillId="0" borderId="6" xfId="0" applyBorder="1" applyAlignment="1">
      <x:alignment wrapText="1"/>
    </x:xf>
    <x:xf numFmtId="0" fontId="0" fillId="7" borderId="2" xfId="0" applyFill="1" applyBorder="1" applyAlignment="1">
      <x:alignment wrapText="1"/>
    </x:xf>
    <x:xf numFmtId="0" fontId="0" fillId="7" borderId="5" xfId="0" applyFill="1" applyBorder="1" applyAlignment="1">
      <x:alignment wrapText="1"/>
    </x:xf>
    <x:xf numFmtId="0" fontId="0" fillId="8" borderId="2" xfId="0" applyFill="1" applyBorder="1" applyAlignment="1">
      <x:alignment wrapText="1"/>
    </x:xf>
    <x:xf numFmtId="0" fontId="0" fillId="8" borderId="5" xfId="0" applyFill="1" applyBorder="1" applyAlignment="1">
      <x:alignment wrapText="1"/>
    </x:xf>
    <x:xf numFmtId="0" fontId="2" fillId="10" borderId="1" xfId="0" applyFont="1" applyFill="1" applyBorder="1" applyAlignment="1">
      <x:alignment horizontal="center" vertical="center" wrapText="1"/>
    </x:xf>
    <x:xf numFmtId="0" fontId="2" fillId="10" borderId="2" xfId="0" applyFont="1" applyFill="1" applyBorder="1" applyAlignment="1">
      <x:alignment horizontal="center" vertical="center" wrapText="1"/>
    </x:xf>
    <x:xf numFmtId="0" fontId="2" fillId="10" borderId="3" xfId="0" applyFont="1" applyFill="1" applyBorder="1" applyAlignment="1">
      <x:alignment horizontal="center" vertical="center" wrapText="1"/>
    </x:xf>
    <x:xf numFmtId="0" fontId="0" fillId="0" borderId="8" xfId="0" applyBorder="1" applyAlignment="1">
      <x:alignment wrapText="1"/>
    </x:xf>
    <x:xf numFmtId="0" fontId="13" fillId="0" borderId="7" xfId="0" applyFont="1" applyBorder="1" applyAlignment="1">
      <x:alignment wrapText="1"/>
    </x:xf>
    <x:xf numFmtId="0" fontId="13" fillId="0" borderId="4" xfId="0" applyFont="1" applyBorder="1" applyAlignment="1">
      <x:alignment wrapText="1"/>
    </x:xf>
    <x:xf numFmtId="0" fontId="0" fillId="0" borderId="0" xfId="0" applyAlignment="1">
      <x:alignment horizontal="center" wrapText="1"/>
    </x:xf>
    <x:xf numFmtId="0" fontId="0" fillId="0" borderId="5" xfId="0" applyBorder="1" applyAlignment="1">
      <x:alignment horizontal="center" wrapText="1"/>
    </x:xf>
    <x:xf numFmtId="0" fontId="1" fillId="2" borderId="0" xfId="1" applyFont="1" applyFill="1"/>
    <x:xf numFmtId="0" fontId="4" fillId="2" borderId="0" xfId="1" applyFont="1" applyFill="1" applyAlignment="1">
      <x:alignment horizontal="left" vertical="center"/>
    </x:xf>
    <x:xf numFmtId="0" fontId="5" fillId="5" borderId="0" xfId="1" applyFont="1" applyFill="1" applyAlignment="1">
      <x:alignment vertical="center" wrapText="1"/>
    </x:xf>
    <x:xf numFmtId="0" fontId="12" fillId="9" borderId="0" xfId="0" applyFont="1" applyFill="1" applyAlignment="1">
      <x:alignment horizontal="center" vertical="center"/>
    </x:xf>
  </x:cellXfs>
  <x:cellStyles count="2">
    <x:cellStyle name="Normal" xfId="1"/>
    <x:cellStyle name="常规" xfId="0"/>
  </x:cellStyles>
  <x:dxfs count="35">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
      <x:font>
        <x:color rgb="FF9C0006"/>
      </x:font>
      <x:fill>
        <x:patternFill>
          <x:bgColor rgb="FFFFC7CE"/>
        </x:patternFill>
      </x:fill>
    </x:dxf>
    <x:dxf>
      <x:font>
        <x:color rgb="FF006100"/>
      </x:font>
      <x:fill>
        <x:patternFill>
          <x:bgColor rgb="FFC6EFCE"/>
        </x:patternFill>
      </x:fill>
    </x:dxf>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
      <x:fill>
        <x:patternFill>
          <x:bgColor rgb="FFD9EAD3"/>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d59123afb84c20" /><Relationship Type="http://schemas.openxmlformats.org/officeDocument/2006/relationships/theme" Target="/xl/theme/theme1.xml" Id="Rc040942d7b174955" /><Relationship Type="http://schemas.openxmlformats.org/officeDocument/2006/relationships/sharedStrings" Target="/xl/sharedStrings.xml" Id="R4c132ac31cb3418e" /><Relationship Type="http://schemas.openxmlformats.org/officeDocument/2006/relationships/worksheet" Target="/xl/worksheets/sheet1.xml" Id="R10241502e8ba4af5" /><Relationship Type="http://schemas.openxmlformats.org/officeDocument/2006/relationships/worksheet" Target="/xl/worksheets/sheet2.xml" Id="Rb49f3f1ec02c4782" /><Relationship Type="http://schemas.openxmlformats.org/officeDocument/2006/relationships/worksheet" Target="/xl/worksheets/sheet3.xml" Id="Rb9602d193c7f4cd6" /><Relationship Type="http://schemas.openxmlformats.org/officeDocument/2006/relationships/worksheet" Target="/xl/worksheets/sheet4.xml" Id="Ra673f0b7578046eb" /><Relationship Type="http://schemas.openxmlformats.org/officeDocument/2006/relationships/worksheet" Target="/xl/worksheets/sheet5.xml" Id="R2f989ab096104193" /><Relationship Type="http://schemas.openxmlformats.org/officeDocument/2006/relationships/worksheet" Target="/xl/worksheets/sheet6.xml" Id="R78f3327a84294c0e" /><Relationship Type="http://schemas.openxmlformats.org/officeDocument/2006/relationships/worksheet" Target="/xl/worksheets/sheet7.xml" Id="R3662e16cc3394b0f" /><Relationship Type="http://schemas.openxmlformats.org/officeDocument/2006/relationships/worksheet" Target="/xl/worksheets/sheet8.xml" Id="R27f98e0e57d147c2" /><Relationship Type="http://schemas.openxmlformats.org/officeDocument/2006/relationships/worksheet" Target="/xl/worksheets/sheet9.xml" Id="Rd6c3549f9d2c4dce" /><Relationship Type="http://schemas.openxmlformats.org/officeDocument/2006/relationships/worksheet" Target="/xl/worksheets/sheet10.xml" Id="R334920ccf0664d05" /><Relationship Type="http://schemas.openxmlformats.org/officeDocument/2006/relationships/worksheet" Target="/xl/worksheets/sheet11.xml" Id="Rdde16992c03b4a94" /><Relationship Type="http://schemas.openxmlformats.org/officeDocument/2006/relationships/worksheet" Target="/xl/worksheets/sheet12.xml" Id="R220572a0bce14f3c" /><Relationship Type="http://schemas.openxmlformats.org/officeDocument/2006/relationships/worksheet" Target="/xl/worksheets/sheet13.xml" Id="R1537b5c5fef0463e" /></Relationships>
</file>

<file path=xl/tables/table1.xml><?xml version="1.0" encoding="utf-8"?>
<x:table xmlns:x="http://schemas.openxmlformats.org/spreadsheetml/2006/main" id="1" name="S6PartyTable" displayName="S6PartyTable" ref="A3:K39">
  <x:tableColumns count="11">
    <x:tableColumn id="1" name="party_id"/>
    <x:tableColumn id="2" name="original_name"/>
    <x:tableColumn id="3" name="standardized_name"/>
    <x:tableColumn id="4" name="name_variants"/>
    <x:tableColumn id="5" name="disclosed_entity_type"/>
    <x:tableColumn id="6" name="first_event_id"/>
    <x:tableColumn id="7" name="last_event_id"/>
    <x:tableColumn id="8" name="standardization_basis"/>
    <x:tableColumn id="9" name="evidence_ids"/>
    <x:tableColumn id="10" name="manual_judgment"/>
    <x:tableColumn id="11" name="review_status"/>
  </x:tableColumns>
  <x:tableStyleInfo name="TableStyleMedium2" showRowStripes="1"/>
</x:table>
</file>

<file path=xl/tables/table2.xml><?xml version="1.0" encoding="utf-8"?>
<x:table xmlns:x="http://schemas.openxmlformats.org/spreadsheetml/2006/main" id="2" name="S6IncreaseEventTable" displayName="S6IncreaseEventTable" ref="A3:Z12">
  <x:tableColumns count="26">
    <x:tableColumn id="1" name="increase_id"/>
    <x:tableColumn id="2" name="timeline_id"/>
    <x:tableColumn id="3" name="event_id"/>
    <x:tableColumn id="4" name="parent_event_id"/>
    <x:tableColumn id="5" name="increase_type"/>
    <x:tableColumn id="6" name="original_date_text"/>
    <x:tableColumn id="7" name="standardized_date"/>
    <x:tableColumn id="8" name="date_precision"/>
    <x:tableColumn id="9" name="company_form_before"/>
    <x:tableColumn id="10" name="company_form_after"/>
    <x:tableColumn id="11" name="capital_before_original"/>
    <x:tableColumn id="12" name="capital_change_original"/>
    <x:tableColumn id="13" name="capital_after_original"/>
    <x:tableColumn id="14" name="original_unit"/>
    <x:tableColumn id="15" name="capital_before_calculated"/>
    <x:tableColumn id="16" name="capital_change_calculated"/>
    <x:tableColumn id="17" name="capital_after_calculated"/>
    <x:tableColumn id="18" name="calculation_ids"/>
    <x:tableColumn id="19" name="original_value_ids"/>
    <x:tableColumn id="20" name="evidence_ids"/>
    <x:tableColumn id="21" name="pdf_pages"/>
    <x:tableColumn id="22" name="printed_pages"/>
    <x:tableColumn id="23" name="core_original_excerpt"/>
    <x:tableColumn id="24" name="undisclosed_items"/>
    <x:tableColumn id="25" name="manual_judgment"/>
    <x:tableColumn id="26" name="review_status"/>
  </x:tableColumns>
  <x:tableStyleInfo name="TableStyleMedium2" showRowStripes="1"/>
</x:table>
</file>

<file path=xl/tables/table3.xml><?xml version="1.0" encoding="utf-8"?>
<x:table xmlns:x="http://schemas.openxmlformats.org/spreadsheetml/2006/main" id="3" name="S6SubscriptionTable" displayName="S6SubscriptionTable" ref="A3:AD31">
  <x:tableColumns count="30">
    <x:tableColumn id="1" name="subscription_id"/>
    <x:tableColumn id="2" name="increase_id"/>
    <x:tableColumn id="3" name="event_id"/>
    <x:tableColumn id="4" name="party_id"/>
    <x:tableColumn id="5" name="original_party_name"/>
    <x:tableColumn id="6" name="standardized_party_name"/>
    <x:tableColumn id="7" name="party_status_before"/>
    <x:tableColumn id="8" name="entry_or_increase_direction"/>
    <x:tableColumn id="9" name="cash_contribution_original"/>
    <x:tableColumn id="10" name="cash_unit"/>
    <x:tableColumn id="11" name="subscribed_capital_original"/>
    <x:tableColumn id="12" name="capital_unit"/>
    <x:tableColumn id="13" name="shares_acquired_original"/>
    <x:tableColumn id="14" name="shares_unit"/>
    <x:tableColumn id="15" name="price_original"/>
    <x:tableColumn id="16" name="price_unit"/>
    <x:tableColumn id="17" name="post_money_valuation_original"/>
    <x:tableColumn id="18" name="valuation_unit"/>
    <x:tableColumn id="19" name="original_value_ids"/>
    <x:tableColumn id="20" name="allocated_amount_calculated"/>
    <x:tableColumn id="21" name="shares_calculated"/>
    <x:tableColumn id="22" name="holding_after_calculated"/>
    <x:tableColumn id="23" name="holding_percentage_calculated"/>
    <x:tableColumn id="24" name="calculation_ids"/>
    <x:tableColumn id="25" name="evidence_ids"/>
    <x:tableColumn id="26" name="pdf_pages"/>
    <x:tableColumn id="27" name="printed_pages"/>
    <x:tableColumn id="28" name="undisclosed_items"/>
    <x:tableColumn id="29" name="manual_judgment"/>
    <x:tableColumn id="30" name="review_status"/>
  </x:tableColumns>
  <x:tableStyleInfo name="TableStyleMedium2" showRowStripes="1"/>
</x:table>
</file>

<file path=xl/tables/table4.xml><?xml version="1.0" encoding="utf-8"?>
<x:table xmlns:x="http://schemas.openxmlformats.org/spreadsheetml/2006/main" id="4" name="S6TransferEventTable" displayName="S6TransferEventTable" ref="A3:AD9">
  <x:tableColumns count="30">
    <x:tableColumn id="1" name="transfer_event_id"/>
    <x:tableColumn id="2" name="timeline_id"/>
    <x:tableColumn id="3" name="event_id"/>
    <x:tableColumn id="4" name="parent_event_id"/>
    <x:tableColumn id="5" name="standard_event_name"/>
    <x:tableColumn id="6" name="original_date_text"/>
    <x:tableColumn id="7" name="standardized_date"/>
    <x:tableColumn id="8" name="date_precision"/>
    <x:tableColumn id="9" name="company_form_before"/>
    <x:tableColumn id="10" name="company_form_after"/>
    <x:tableColumn id="11" name="transfer_instrument"/>
    <x:tableColumn id="12" name="total_transferred_original"/>
    <x:tableColumn id="13" name="total_transferred_unit"/>
    <x:tableColumn id="14" name="total_consideration_original"/>
    <x:tableColumn id="15" name="consideration_unit"/>
    <x:tableColumn id="16" name="total_transferred_calculated"/>
    <x:tableColumn id="17" name="calculated_transfer_unit"/>
    <x:tableColumn id="18" name="total_consideration_calculated"/>
    <x:tableColumn id="19" name="calculated_consideration_unit"/>
    <x:tableColumn id="20" name="registered_capital_unchanged"/>
    <x:tableColumn id="21" name="internal_order_status"/>
    <x:tableColumn id="22" name="calculation_ids"/>
    <x:tableColumn id="23" name="original_value_ids"/>
    <x:tableColumn id="24" name="evidence_ids"/>
    <x:tableColumn id="25" name="pdf_pages"/>
    <x:tableColumn id="26" name="printed_pages"/>
    <x:tableColumn id="27" name="core_original_excerpt"/>
    <x:tableColumn id="28" name="undisclosed_items"/>
    <x:tableColumn id="29" name="manual_judgment"/>
    <x:tableColumn id="30" name="review_status"/>
  </x:tableColumns>
  <x:tableStyleInfo name="TableStyleMedium2" showRowStripes="1"/>
</x:table>
</file>

<file path=xl/tables/table5.xml><?xml version="1.0" encoding="utf-8"?>
<x:table xmlns:x="http://schemas.openxmlformats.org/spreadsheetml/2006/main" id="5" name="S6TransferLotTable" displayName="S6TransferLotTable" ref="A3:AA23">
  <x:tableColumns count="27">
    <x:tableColumn id="1" name="transfer_lot_id"/>
    <x:tableColumn id="2" name="transfer_event_id"/>
    <x:tableColumn id="3" name="event_id"/>
    <x:tableColumn id="4" name="transferor_party_id"/>
    <x:tableColumn id="5" name="transferee_party_id"/>
    <x:tableColumn id="6" name="transferor_original_name"/>
    <x:tableColumn id="7" name="transferee_original_name"/>
    <x:tableColumn id="8" name="transferred_amount_original"/>
    <x:tableColumn id="9" name="transferred_percentage_original"/>
    <x:tableColumn id="10" name="transferred_shares_original"/>
    <x:tableColumn id="11" name="consideration_original"/>
    <x:tableColumn id="12" name="consideration_unit"/>
    <x:tableColumn id="13" name="original_value_ids"/>
    <x:tableColumn id="14" name="unit_price_calculated"/>
    <x:tableColumn id="15" name="unit_price_unit"/>
    <x:tableColumn id="16" name="transferor_holding_after_calculated"/>
    <x:tableColumn id="17" name="transferee_holding_after_calculated"/>
    <x:tableColumn id="18" name="calculation_ids"/>
    <x:tableColumn id="19" name="transferor_change_direction"/>
    <x:tableColumn id="20" name="transferee_change_direction"/>
    <x:tableColumn id="21" name="evidence_ids"/>
    <x:tableColumn id="22" name="pdf_pages"/>
    <x:tableColumn id="23" name="printed_pages"/>
    <x:tableColumn id="24" name="core_original_excerpt"/>
    <x:tableColumn id="25" name="undisclosed_items"/>
    <x:tableColumn id="26" name="manual_judgment"/>
    <x:tableColumn id="27" name="review_status"/>
  </x:tableColumns>
  <x:tableStyleInfo name="TableStyleMedium2" showRowStripes="1"/>
</x:table>
</file>

<file path=xl/tables/table6.xml><?xml version="1.0" encoding="utf-8"?>
<x:table xmlns:x="http://schemas.openxmlformats.org/spreadsheetml/2006/main" id="6" name="S6SnapshotTable" displayName="S6SnapshotTable" ref="A3:U18">
  <x:tableColumns count="21">
    <x:tableColumn id="1" name="snapshot_id"/>
    <x:tableColumn id="2" name="trigger_timeline_id"/>
    <x:tableColumn id="3" name="trigger_event_id"/>
    <x:tableColumn id="4" name="snapshot_date_original"/>
    <x:tableColumn id="5" name="snapshot_date_standardized"/>
    <x:tableColumn id="6" name="date_precision"/>
    <x:tableColumn id="7" name="snapshot_timing"/>
    <x:tableColumn id="8" name="company_form"/>
    <x:tableColumn id="9" name="capital_total_original"/>
    <x:tableColumn id="10" name="capital_unit"/>
    <x:tableColumn id="11" name="capital_total_calculated"/>
    <x:tableColumn id="12" name="calculation_ids"/>
    <x:tableColumn id="13" name="snapshot_basis_type"/>
    <x:tableColumn id="14" name="completeness_status"/>
    <x:tableColumn id="15" name="previous_snapshot_id"/>
    <x:tableColumn id="16" name="evidence_ids"/>
    <x:tableColumn id="17" name="pdf_pages"/>
    <x:tableColumn id="18" name="printed_pages"/>
    <x:tableColumn id="19" name="ordering_caveat"/>
    <x:tableColumn id="20" name="manual_judgment"/>
    <x:tableColumn id="21" name="review_status"/>
  </x:tableColumns>
  <x:tableStyleInfo name="TableStyleMedium2" showRowStripes="1"/>
</x:table>
</file>

<file path=xl/tables/table7.xml><?xml version="1.0" encoding="utf-8"?>
<x:table xmlns:x="http://schemas.openxmlformats.org/spreadsheetml/2006/main" id="7" name="S6HoldingTable" displayName="S6HoldingTable" ref="A3:Y204">
  <x:tableColumns count="25">
    <x:tableColumn id="1" name="snapshot_holding_id"/>
    <x:tableColumn id="2" name="snapshot_id"/>
    <x:tableColumn id="3" name="party_id"/>
    <x:tableColumn id="4" name="original_party_name"/>
    <x:tableColumn id="5" name="standardized_party_name"/>
    <x:tableColumn id="6" name="holding_amount_original"/>
    <x:tableColumn id="7" name="holding_shares_original"/>
    <x:tableColumn id="8" name="holding_percentage_original"/>
    <x:tableColumn id="9" name="original_unit"/>
    <x:tableColumn id="10" name="original_value_ids"/>
    <x:tableColumn id="11" name="holding_before_calculated"/>
    <x:tableColumn id="12" name="increase_calculated"/>
    <x:tableColumn id="13" name="transfer_in_calculated"/>
    <x:tableColumn id="14" name="transfer_out_calculated"/>
    <x:tableColumn id="15" name="holding_after_calculated"/>
    <x:tableColumn id="16" name="snapshot_total_calculated"/>
    <x:tableColumn id="17" name="holding_percentage_calculated"/>
    <x:tableColumn id="18" name="calculation_ids"/>
    <x:tableColumn id="19" name="entry_exit_status"/>
    <x:tableColumn id="20" name="evidence_ids"/>
    <x:tableColumn id="21" name="pdf_pages"/>
    <x:tableColumn id="22" name="printed_pages"/>
    <x:tableColumn id="23" name="value_source_type"/>
    <x:tableColumn id="24" name="manual_judgment"/>
    <x:tableColumn id="25" name="review_status"/>
  </x:tableColumns>
  <x:tableStyleInfo name="TableStyleMedium2" showRowStripes="1"/>
</x:table>
</file>

<file path=xl/tables/table8.xml><?xml version="1.0" encoding="utf-8"?>
<x:table xmlns:x="http://schemas.openxmlformats.org/spreadsheetml/2006/main" id="8" name="S6CalculationTable" displayName="S6CalculationTable" ref="A3:N24">
  <x:tableColumns count="14">
    <x:tableColumn id="1" name="calculation_id"/>
    <x:tableColumn id="2" name="category"/>
    <x:tableColumn id="3" name="related_event_id"/>
    <x:tableColumn id="4" name="related_snapshot_id"/>
    <x:tableColumn id="5" name="description"/>
    <x:tableColumn id="6" name="input_values"/>
    <x:tableColumn id="7" name="formula"/>
    <x:tableColumn id="8" name="unrounded_result"/>
    <x:tableColumn id="9" name="display_result"/>
    <x:tableColumn id="10" name="unit"/>
    <x:tableColumn id="11" name="rounding_rule"/>
    <x:tableColumn id="12" name="source_ids"/>
    <x:tableColumn id="13" name="status"/>
    <x:tableColumn id="14" name="review_note"/>
  </x:tableColumns>
  <x:tableStyleInfo name="TableStyleMedium2" showRowStripes="1"/>
</x:table>
</file>

<file path=xl/tables/table9.xml><?xml version="1.0" encoding="utf-8"?>
<x:table xmlns:x="http://schemas.openxmlformats.org/spreadsheetml/2006/main" id="9" name="S6EvidenceReviewTable" displayName="S6EvidenceReviewTable" ref="A3:L41">
  <x:tableColumns count="12">
    <x:tableColumn id="1" name="record_id"/>
    <x:tableColumn id="2" name="record_type"/>
    <x:tableColumn id="3" name="event_or_snapshot_id"/>
    <x:tableColumn id="4" name="evidence_ids"/>
    <x:tableColumn id="5" name="pdf_pages"/>
    <x:tableColumn id="6" name="printed_pages"/>
    <x:tableColumn id="7" name="original_evidence_or_issue"/>
    <x:tableColumn id="8" name="supported_fields_or_review_point"/>
    <x:tableColumn id="9" name="source_level"/>
    <x:tableColumn id="10" name="manual_judgment"/>
    <x:tableColumn id="11" name="review_status"/>
    <x:tableColumn id="12" name="review_note"/>
  </x:tableColumns>
  <x:tableStyleInfo name="TableStyleMedium2" showRowStripes="1"/>
</x:table>
</file>

<file path=xl/tables/table10.xml><?xml version="1.0" encoding="utf-8"?>
<x:table xmlns:x="http://schemas.openxmlformats.org/spreadsheetml/2006/main" id="10" name="S6AcceptanceTable" displayName="S6AcceptanceTable" ref="A3:I13">
  <x:tableColumns count="9">
    <x:tableColumn id="1" name="check_id"/>
    <x:tableColumn id="2" name="check_category"/>
    <x:tableColumn id="3" name="check_description"/>
    <x:tableColumn id="4" name="expected_value"/>
    <x:tableColumn id="5" name="actual_value"/>
    <x:tableColumn id="6" name="check_result"/>
    <x:tableColumn id="7" name="related_records"/>
    <x:tableColumn id="8" name="review_status"/>
    <x:tableColumn id="9" name="review_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9588fad42a4cc3" /></Relationships>
</file>

<file path=xl/worksheets/_rels/sheet3.xml.rels>&#65279;<?xml version="1.0" encoding="utf-8"?><Relationships xmlns="http://schemas.openxmlformats.org/package/2006/relationships"><Relationship Type="http://schemas.openxmlformats.org/officeDocument/2006/relationships/table" Target="/xl/tables/table2.xml" Id="R62958049df2047dc" /></Relationships>
</file>

<file path=xl/worksheets/_rels/sheet4.xml.rels>&#65279;<?xml version="1.0" encoding="utf-8"?><Relationships xmlns="http://schemas.openxmlformats.org/package/2006/relationships"><Relationship Type="http://schemas.openxmlformats.org/officeDocument/2006/relationships/table" Target="/xl/tables/table3.xml" Id="Rc1dcc063c8c444f1" /></Relationships>
</file>

<file path=xl/worksheets/_rels/sheet5.xml.rels>&#65279;<?xml version="1.0" encoding="utf-8"?><Relationships xmlns="http://schemas.openxmlformats.org/package/2006/relationships"><Relationship Type="http://schemas.openxmlformats.org/officeDocument/2006/relationships/table" Target="/xl/tables/table4.xml" Id="Rf5d42c5add22468d" /></Relationships>
</file>

<file path=xl/worksheets/_rels/sheet6.xml.rels>&#65279;<?xml version="1.0" encoding="utf-8"?><Relationships xmlns="http://schemas.openxmlformats.org/package/2006/relationships"><Relationship Type="http://schemas.openxmlformats.org/officeDocument/2006/relationships/table" Target="/xl/tables/table5.xml" Id="Rc76c3db728194f48" /></Relationships>
</file>

<file path=xl/worksheets/_rels/sheet7.xml.rels>&#65279;<?xml version="1.0" encoding="utf-8"?><Relationships xmlns="http://schemas.openxmlformats.org/package/2006/relationships"><Relationship Type="http://schemas.openxmlformats.org/officeDocument/2006/relationships/table" Target="/xl/tables/table6.xml" Id="Rb18599efbd254330" /></Relationships>
</file>

<file path=xl/worksheets/_rels/sheet8.xml.rels>&#65279;<?xml version="1.0" encoding="utf-8"?><Relationships xmlns="http://schemas.openxmlformats.org/package/2006/relationships"><Relationship Type="http://schemas.openxmlformats.org/officeDocument/2006/relationships/table" Target="/xl/tables/table7.xml" Id="Rf12900d7d0fd4be5" /></Relationships>
</file>

<file path=xl/worksheets/_rels/sheet9.xml.rels>&#65279;<?xml version="1.0" encoding="utf-8"?><Relationships xmlns="http://schemas.openxmlformats.org/package/2006/relationships"><Relationship Type="http://schemas.openxmlformats.org/officeDocument/2006/relationships/table" Target="/xl/tables/table8.xml" Id="Rd83f2c8d03244d75" /></Relationships>
</file>

<file path=xl/worksheets/_rels/sheet10.xml.rels>&#65279;<?xml version="1.0" encoding="utf-8"?><Relationships xmlns="http://schemas.openxmlformats.org/package/2006/relationships"><Relationship Type="http://schemas.openxmlformats.org/officeDocument/2006/relationships/table" Target="/xl/tables/table9.xml" Id="R738a4830f5a945d3" /></Relationships>
</file>

<file path=xl/worksheets/_rels/sheet11.xml.rels>&#65279;<?xml version="1.0" encoding="utf-8"?><Relationships xmlns="http://schemas.openxmlformats.org/package/2006/relationships"><Relationship Type="http://schemas.openxmlformats.org/officeDocument/2006/relationships/table" Target="/xl/tables/table10.xml" Id="R9a51fffa2d5d4816" /></Relationships>
</file>

<file path=xl/worksheets/sheet1.xml><?xml version="1.0" encoding="utf-8"?>
<x:worksheet xmlns:x="http://schemas.openxmlformats.org/spreadsheetml/2006/main">
  <x:sheetFormatPr defaultRowHeight="14"/>
  <x:cols>
    <x:col min="1" max="1" width="18" customWidth="1"/>
    <x:col min="2" max="2" width="42" customWidth="1"/>
    <x:col min="3" max="3" width="18" customWidth="1"/>
    <x:col min="4" max="4" width="38" customWidth="1"/>
    <x:col min="5" max="5" width="4" customWidth="1"/>
    <x:col min="6" max="6" width="20" customWidth="1"/>
    <x:col min="7" max="7" width="12" customWidth="1"/>
    <x:col min="8" max="8" width="28" customWidth="1"/>
  </x:cols>
  <x:sheetData>
    <x:row r="1" ht="8.899999618530273" customHeight="1">
      <x:c r="A1" s="35" t="str">
        <x:v>阶段六：增资、股权转让和股权结构快照（最终验收版）</x:v>
      </x:c>
      <x:c r="B1" s="35"/>
      <x:c r="C1" s="35"/>
      <x:c r="D1" s="35"/>
      <x:c r="E1" s="35"/>
      <x:c r="F1" s="35"/>
      <x:c r="G1" s="35"/>
      <x:c r="H1" s="35"/>
    </x:row>
    <x:row r="3" ht="8.899999618530273" customHeight="1">
      <x:c r="A3" s="1" t="s">
        <x:v>0</x:v>
      </x:c>
      <x:c r="B3" s="1" t="s">
        <x:v>1</x:v>
      </x:c>
      <x:c r="C3" s="1" t="s">
        <x:v>2</x:v>
      </x:c>
      <x:c r="D3" s="1" t="str">
        <x:v>final_approved</x:v>
      </x:c>
      <x:c r="E3" s="1"/>
      <x:c r="F3" s="4" t="s">
        <x:v>3</x:v>
      </x:c>
      <x:c r="G3" s="4" t="s">
        <x:v>4</x:v>
      </x:c>
      <x:c r="H3" s="4" t="s">
        <x:v>5</x:v>
      </x:c>
    </x:row>
    <x:row r="4">
      <x:c r="A4" s="3" t="s">
        <x:v>6</x:v>
      </x:c>
      <x:c r="B4" s="3" t="s">
        <x:v>7</x:v>
      </x:c>
      <x:c r="C4" s="3" t="s">
        <x:v>8</x:v>
      </x:c>
      <x:c r="D4" s="3" t="s">
        <x:v>9</x:v>
      </x:c>
      <x:c r="E4" s="3"/>
      <x:c r="F4" s="5" t="s">
        <x:v>10</x:v>
      </x:c>
      <x:c r="G4" s="6" t="n">
        <x:f>COUNTA('02_增资事件'!A4:A1000)</x:f>
        <x:v>9</x:v>
      </x:c>
      <x:c r="H4" s="5" t="s">
        <x:v>11</x:v>
      </x:c>
    </x:row>
    <x:row r="5" ht="28">
      <x:c r="A5" s="3" t="s">
        <x:v>12</x:v>
      </x:c>
      <x:c r="B5" s="3" t="s">
        <x:v>13</x:v>
      </x:c>
      <x:c r="C5" s="3" t="s">
        <x:v>14</x:v>
      </x:c>
      <x:c r="D5" s="3" t="s">
        <x:v>15</x:v>
      </x:c>
      <x:c r="E5" s="3"/>
      <x:c r="F5" s="5" t="s">
        <x:v>16</x:v>
      </x:c>
      <x:c r="G5" s="6" t="n">
        <x:f>COUNTA('03_增资参与方明细'!A4:A1000)</x:f>
        <x:v>28</x:v>
      </x:c>
      <x:c r="H5" s="5" t="s">
        <x:v>17</x:v>
      </x:c>
    </x:row>
    <x:row r="6">
      <x:c r="A6" s="3" t="s">
        <x:v>18</x:v>
      </x:c>
      <x:c r="B6" s="3" t="str">
        <x:v>经人工复核与工程化校验完成的最终验收工作簿</x:v>
      </x:c>
      <x:c r="C6" s="3" t="s">
        <x:v>19</x:v>
      </x:c>
      <x:c r="D6" s="3" t="str">
        <x:v>核心表、主体主数据及快照级勾稽均已验收</x:v>
      </x:c>
      <x:c r="E6" s="3"/>
      <x:c r="F6" s="5" t="s">
        <x:v>20</x:v>
      </x:c>
      <x:c r="G6" s="6" t="n">
        <x:f>COUNTA('04_股权转让事件'!A4:A1000)</x:f>
        <x:v>6</x:v>
      </x:c>
      <x:c r="H6" s="5" t="s">
        <x:v>21</x:v>
      </x:c>
    </x:row>
    <x:row r="7" ht="28">
      <x:c r="A7" s="3" t="s">
        <x:v>22</x:v>
      </x:c>
      <x:c r="B7" s="3" t="s">
        <x:v>23</x:v>
      </x:c>
      <x:c r="C7" s="3" t="s">
        <x:v>24</x:v>
      </x:c>
      <x:c r="D7" s="3" t="s">
        <x:v>25</x:v>
      </x:c>
      <x:c r="E7" s="3"/>
      <x:c r="F7" s="5" t="s">
        <x:v>26</x:v>
      </x:c>
      <x:c r="G7" s="6" t="n">
        <x:f>COUNTA('05_股权转让明细'!A4:A1000)</x:f>
        <x:v>20</x:v>
      </x:c>
      <x:c r="H7" s="5" t="s">
        <x:v>27</x:v>
      </x:c>
    </x:row>
    <x:row r="8" ht="28">
      <x:c r="A8" s="3" t="s">
        <x:v>28</x:v>
      </x:c>
      <x:c r="B8" s="3" t="s">
        <x:v>29</x:v>
      </x:c>
      <x:c r="C8" s="3" t="s">
        <x:v>30</x:v>
      </x:c>
      <x:c r="D8" s="3" t="s">
        <x:v>31</x:v>
      </x:c>
      <x:c r="E8" s="3"/>
      <x:c r="F8" s="5" t="s">
        <x:v>32</x:v>
      </x:c>
      <x:c r="G8" s="6" t="n">
        <x:f>COUNTA('06_股权结构快照'!A4:A1000)</x:f>
        <x:v>15</x:v>
      </x:c>
      <x:c r="H8" s="5" t="s">
        <x:v>33</x:v>
      </x:c>
    </x:row>
    <x:row r="9" ht="28">
      <x:c r="A9" s="3" t="s">
        <x:v>34</x:v>
      </x:c>
      <x:c r="B9" s="3" t="str">
        <x:v>最终Excel＋JSON/CSV/Schema/脚本/测试/校验报告</x:v>
      </x:c>
      <x:c r="C9" s="3" t="s">
        <x:v>35</x:v>
      </x:c>
      <x:c r="D9" s="3" t="str">
        <x:v>阶段六结项；CE-005差异转入阶段七数值校验</x:v>
      </x:c>
      <x:c r="E9" s="3"/>
      <x:c r="F9" s="5" t="s">
        <x:v>36</x:v>
      </x:c>
      <x:c r="G9" s="6" t="n">
        <x:f>COUNTA('07_快照持股明细'!A4:A2000)</x:f>
        <x:v>201</x:v>
      </x:c>
      <x:c r="H9" s="5" t="s">
        <x:v>37</x:v>
      </x:c>
    </x:row>
    <x:row r="10">
      <x:c r="A10" s="3"/>
      <x:c r="B10" s="3"/>
      <x:c r="C10" s="3"/>
      <x:c r="D10" s="3"/>
      <x:c r="E10" s="3"/>
      <x:c r="F10" s="5" t="str">
        <x:v>阶段六未完成项</x:v>
      </x:c>
      <x:c r="G10" s="6" t="n">
        <x:v>0</x:v>
      </x:c>
      <x:c r="H10" s="5" t="str">
        <x:v>无；未披露事项仍按原边界保留</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4"/>
  <x:cols>
    <x:col min="1" max="1" width="18" customWidth="1"/>
    <x:col min="2" max="5" width="22" customWidth="1"/>
    <x:col min="6" max="7" width="18" customWidth="1"/>
    <x:col min="8" max="8" width="34" customWidth="1"/>
    <x:col min="9" max="9" width="18" customWidth="1"/>
    <x:col min="10" max="10" width="34" customWidth="1"/>
    <x:col min="11" max="11" width="22" customWidth="1"/>
  </x:cols>
  <x:sheetData>
    <x:row r="1" ht="7.75" customHeight="1">
      <x:c r="A1" s="36" t="s">
        <x:v>38</x:v>
      </x:c>
      <x:c r="B1" s="36"/>
      <x:c r="C1" s="36"/>
      <x:c r="D1" s="36"/>
      <x:c r="E1" s="36"/>
      <x:c r="F1" s="36"/>
      <x:c r="G1" s="36"/>
      <x:c r="H1" s="36"/>
      <x:c r="I1" s="36"/>
      <x:c r="J1" s="36"/>
      <x:c r="K1" s="36"/>
    </x:row>
    <x:row r="2" ht="9.5" customHeight="1">
      <x:c r="A2" s="37" t="s">
        <x:v>39</x:v>
      </x:c>
      <x:c r="B2" s="37"/>
      <x:c r="C2" s="37"/>
      <x:c r="D2" s="37"/>
      <x:c r="E2" s="37"/>
      <x:c r="F2" s="37"/>
      <x:c r="G2" s="37"/>
      <x:c r="H2" s="37"/>
      <x:c r="I2" s="37"/>
      <x:c r="J2" s="37"/>
      <x:c r="K2" s="37"/>
    </x:row>
    <x:row r="3" ht="10.649999618530273" customHeight="1">
      <x:c r="A3" s="7" t="s">
        <x:v>40</x:v>
      </x:c>
      <x:c r="B3" s="7" t="s">
        <x:v>41</x:v>
      </x:c>
      <x:c r="C3" s="7" t="s">
        <x:v>42</x:v>
      </x:c>
      <x:c r="D3" s="7" t="s">
        <x:v>43</x:v>
      </x:c>
      <x:c r="E3" s="7" t="s">
        <x:v>44</x:v>
      </x:c>
      <x:c r="F3" s="7" t="s">
        <x:v>45</x:v>
      </x:c>
      <x:c r="G3" s="7" t="s">
        <x:v>46</x:v>
      </x:c>
      <x:c r="H3" s="7" t="s">
        <x:v>47</x:v>
      </x:c>
      <x:c r="I3" s="7" t="s">
        <x:v>48</x:v>
      </x:c>
      <x:c r="J3" s="7" t="s">
        <x:v>49</x:v>
      </x:c>
      <x:c r="K3" s="7" t="s">
        <x:v>50</x:v>
      </x:c>
    </x:row>
    <x:row r="4" ht="42">
      <x:c r="A4" s="3" t="s">
        <x:v>51</x:v>
      </x:c>
      <x:c r="B4" s="3" t="s">
        <x:v>52</x:v>
      </x:c>
      <x:c r="C4" s="3" t="s">
        <x:v>53</x:v>
      </x:c>
      <x:c r="D4" s="3" t="s">
        <x:v>54</x:v>
      </x:c>
      <x:c r="E4" s="3" t="s">
        <x:v>55</x:v>
      </x:c>
      <x:c r="F4" s="3" t="s">
        <x:v>56</x:v>
      </x:c>
      <x:c r="G4" s="3" t="s">
        <x:v>57</x:v>
      </x:c>
      <x:c r="H4" s="3" t="s">
        <x:v>58</x:v>
      </x:c>
      <x:c r="I4" s="3" t="s">
        <x:v>59</x:v>
      </x:c>
      <x:c r="J4" s="3" t="s">
        <x:v>60</x:v>
      </x:c>
      <x:c r="K4" s="8" t="s">
        <x:v>61</x:v>
      </x:c>
    </x:row>
    <x:row r="5" ht="28">
      <x:c r="A5" s="3" t="s">
        <x:v>62</x:v>
      </x:c>
      <x:c r="B5" s="3" t="s">
        <x:v>63</x:v>
      </x:c>
      <x:c r="C5" s="3" t="s">
        <x:v>63</x:v>
      </x:c>
      <x:c r="D5" s="3" t="s">
        <x:v>63</x:v>
      </x:c>
      <x:c r="E5" s="3" t="s">
        <x:v>64</x:v>
      </x:c>
      <x:c r="F5" s="3" t="s">
        <x:v>56</x:v>
      </x:c>
      <x:c r="G5" s="3" t="s">
        <x:v>65</x:v>
      </x:c>
      <x:c r="H5" s="3" t="s">
        <x:v>58</x:v>
      </x:c>
      <x:c r="I5" s="3" t="s">
        <x:v>66</x:v>
      </x:c>
      <x:c r="J5" s="3" t="s">
        <x:v>60</x:v>
      </x:c>
      <x:c r="K5" s="8" t="s">
        <x:v>61</x:v>
      </x:c>
    </x:row>
    <x:row r="6" ht="28">
      <x:c r="A6" s="3" t="s">
        <x:v>67</x:v>
      </x:c>
      <x:c r="B6" s="3" t="s">
        <x:v>68</x:v>
      </x:c>
      <x:c r="C6" s="3" t="s">
        <x:v>68</x:v>
      </x:c>
      <x:c r="D6" s="3" t="s">
        <x:v>68</x:v>
      </x:c>
      <x:c r="E6" s="3" t="s">
        <x:v>64</x:v>
      </x:c>
      <x:c r="F6" s="3" t="s">
        <x:v>57</x:v>
      </x:c>
      <x:c r="G6" s="3" t="s">
        <x:v>65</x:v>
      </x:c>
      <x:c r="H6" s="3" t="s">
        <x:v>58</x:v>
      </x:c>
      <x:c r="I6" s="3" t="s">
        <x:v>69</x:v>
      </x:c>
      <x:c r="J6" s="3" t="s">
        <x:v>60</x:v>
      </x:c>
      <x:c r="K6" s="8" t="s">
        <x:v>61</x:v>
      </x:c>
    </x:row>
    <x:row r="7" ht="28">
      <x:c r="A7" s="3" t="s">
        <x:v>70</x:v>
      </x:c>
      <x:c r="B7" s="3" t="s">
        <x:v>71</x:v>
      </x:c>
      <x:c r="C7" s="3" t="s">
        <x:v>72</x:v>
      </x:c>
      <x:c r="D7" s="3" t="s">
        <x:v>73</x:v>
      </x:c>
      <x:c r="E7" s="3" t="s">
        <x:v>74</x:v>
      </x:c>
      <x:c r="F7" s="3" t="s">
        <x:v>75</x:v>
      </x:c>
      <x:c r="G7" s="3" t="s">
        <x:v>76</x:v>
      </x:c>
      <x:c r="H7" s="3" t="s">
        <x:v>58</x:v>
      </x:c>
      <x:c r="I7" s="3" t="s">
        <x:v>77</x:v>
      </x:c>
      <x:c r="J7" s="3" t="s">
        <x:v>60</x:v>
      </x:c>
      <x:c r="K7" s="8" t="s">
        <x:v>61</x:v>
      </x:c>
    </x:row>
    <x:row r="8" ht="28">
      <x:c r="A8" s="3" t="s">
        <x:v>78</x:v>
      </x:c>
      <x:c r="B8" s="3" t="s">
        <x:v>79</x:v>
      </x:c>
      <x:c r="C8" s="3" t="s">
        <x:v>80</x:v>
      </x:c>
      <x:c r="D8" s="3" t="s">
        <x:v>81</x:v>
      </x:c>
      <x:c r="E8" s="3" t="s">
        <x:v>55</x:v>
      </x:c>
      <x:c r="F8" s="3" t="s">
        <x:v>82</x:v>
      </x:c>
      <x:c r="G8" s="3" t="s">
        <x:v>83</x:v>
      </x:c>
      <x:c r="H8" s="3" t="s">
        <x:v>58</x:v>
      </x:c>
      <x:c r="I8" s="3" t="s">
        <x:v>84</x:v>
      </x:c>
      <x:c r="J8" s="3" t="s">
        <x:v>60</x:v>
      </x:c>
      <x:c r="K8" s="8" t="s">
        <x:v>61</x:v>
      </x:c>
    </x:row>
    <x:row r="9" ht="42">
      <x:c r="A9" s="3" t="s">
        <x:v>85</x:v>
      </x:c>
      <x:c r="B9" s="3" t="s">
        <x:v>86</x:v>
      </x:c>
      <x:c r="C9" s="3" t="s">
        <x:v>87</x:v>
      </x:c>
      <x:c r="D9" s="3" t="s">
        <x:v>88</x:v>
      </x:c>
      <x:c r="E9" s="3" t="s">
        <x:v>74</x:v>
      </x:c>
      <x:c r="F9" s="3" t="s">
        <x:v>82</x:v>
      </x:c>
      <x:c r="G9" s="3" t="s">
        <x:v>83</x:v>
      </x:c>
      <x:c r="H9" s="3" t="s">
        <x:v>58</x:v>
      </x:c>
      <x:c r="I9" s="3" t="s">
        <x:v>84</x:v>
      </x:c>
      <x:c r="J9" s="3" t="s">
        <x:v>60</x:v>
      </x:c>
      <x:c r="K9" s="8" t="s">
        <x:v>61</x:v>
      </x:c>
    </x:row>
    <x:row r="10" ht="42">
      <x:c r="A10" s="3" t="s">
        <x:v>89</x:v>
      </x:c>
      <x:c r="B10" s="3" t="s">
        <x:v>90</x:v>
      </x:c>
      <x:c r="C10" s="3" t="s">
        <x:v>91</x:v>
      </x:c>
      <x:c r="D10" s="3" t="s">
        <x:v>92</x:v>
      </x:c>
      <x:c r="E10" s="3" t="s">
        <x:v>74</x:v>
      </x:c>
      <x:c r="F10" s="3" t="s">
        <x:v>82</x:v>
      </x:c>
      <x:c r="G10" s="3" t="s">
        <x:v>83</x:v>
      </x:c>
      <x:c r="H10" s="3" t="s">
        <x:v>58</x:v>
      </x:c>
      <x:c r="I10" s="3" t="s">
        <x:v>84</x:v>
      </x:c>
      <x:c r="J10" s="3" t="s">
        <x:v>60</x:v>
      </x:c>
      <x:c r="K10" s="8" t="s">
        <x:v>61</x:v>
      </x:c>
    </x:row>
    <x:row r="11" ht="28">
      <x:c r="A11" s="3" t="s">
        <x:v>93</x:v>
      </x:c>
      <x:c r="B11" s="3" t="s">
        <x:v>94</x:v>
      </x:c>
      <x:c r="C11" s="3" t="s">
        <x:v>95</x:v>
      </x:c>
      <x:c r="D11" s="3" t="s">
        <x:v>96</x:v>
      </x:c>
      <x:c r="E11" s="3" t="s">
        <x:v>55</x:v>
      </x:c>
      <x:c r="F11" s="3" t="s">
        <x:v>97</x:v>
      </x:c>
      <x:c r="G11" s="3" t="s">
        <x:v>83</x:v>
      </x:c>
      <x:c r="H11" s="3" t="s">
        <x:v>58</x:v>
      </x:c>
      <x:c r="I11" s="3" t="s">
        <x:v>98</x:v>
      </x:c>
      <x:c r="J11" s="3" t="s">
        <x:v>60</x:v>
      </x:c>
      <x:c r="K11" s="8" t="s">
        <x:v>61</x:v>
      </x:c>
    </x:row>
    <x:row r="12" ht="42">
      <x:c r="A12" s="3" t="s">
        <x:v>99</x:v>
      </x:c>
      <x:c r="B12" s="3" t="s">
        <x:v>100</x:v>
      </x:c>
      <x:c r="C12" s="3" t="s">
        <x:v>101</x:v>
      </x:c>
      <x:c r="D12" s="3" t="s">
        <x:v>102</x:v>
      </x:c>
      <x:c r="E12" s="3" t="s">
        <x:v>55</x:v>
      </x:c>
      <x:c r="F12" s="3" t="s">
        <x:v>97</x:v>
      </x:c>
      <x:c r="G12" s="3" t="s">
        <x:v>103</x:v>
      </x:c>
      <x:c r="H12" s="3" t="s">
        <x:v>58</x:v>
      </x:c>
      <x:c r="I12" s="3" t="s">
        <x:v>104</x:v>
      </x:c>
      <x:c r="J12" s="3" t="s">
        <x:v>60</x:v>
      </x:c>
      <x:c r="K12" s="8" t="s">
        <x:v>61</x:v>
      </x:c>
    </x:row>
    <x:row r="13" ht="28">
      <x:c r="A13" s="3" t="s">
        <x:v>105</x:v>
      </x:c>
      <x:c r="B13" s="3" t="s">
        <x:v>106</x:v>
      </x:c>
      <x:c r="C13" s="3" t="s">
        <x:v>107</x:v>
      </x:c>
      <x:c r="D13" s="3" t="s">
        <x:v>108</x:v>
      </x:c>
      <x:c r="E13" s="3" t="s">
        <x:v>55</x:v>
      </x:c>
      <x:c r="F13" s="3" t="s">
        <x:v>97</x:v>
      </x:c>
      <x:c r="G13" s="3" t="s">
        <x:v>83</x:v>
      </x:c>
      <x:c r="H13" s="3" t="s">
        <x:v>58</x:v>
      </x:c>
      <x:c r="I13" s="3" t="s">
        <x:v>98</x:v>
      </x:c>
      <x:c r="J13" s="3" t="s">
        <x:v>60</x:v>
      </x:c>
      <x:c r="K13" s="8" t="s">
        <x:v>61</x:v>
      </x:c>
    </x:row>
    <x:row r="14" ht="28">
      <x:c r="A14" s="3" t="s">
        <x:v>109</x:v>
      </x:c>
      <x:c r="B14" s="3" t="s">
        <x:v>110</x:v>
      </x:c>
      <x:c r="C14" s="3" t="s">
        <x:v>111</x:v>
      </x:c>
      <x:c r="D14" s="3" t="s">
        <x:v>112</x:v>
      </x:c>
      <x:c r="E14" s="3" t="s">
        <x:v>55</x:v>
      </x:c>
      <x:c r="F14" s="3" t="s">
        <x:v>97</x:v>
      </x:c>
      <x:c r="G14" s="3" t="s">
        <x:v>83</x:v>
      </x:c>
      <x:c r="H14" s="3" t="s">
        <x:v>58</x:v>
      </x:c>
      <x:c r="I14" s="3" t="s">
        <x:v>98</x:v>
      </x:c>
      <x:c r="J14" s="3" t="s">
        <x:v>60</x:v>
      </x:c>
      <x:c r="K14" s="8" t="s">
        <x:v>61</x:v>
      </x:c>
    </x:row>
    <x:row r="15" ht="56">
      <x:c r="A15" s="3" t="s">
        <x:v>113</x:v>
      </x:c>
      <x:c r="B15" s="3" t="s">
        <x:v>114</x:v>
      </x:c>
      <x:c r="C15" s="3" t="s">
        <x:v>115</x:v>
      </x:c>
      <x:c r="D15" s="3" t="s">
        <x:v>116</x:v>
      </x:c>
      <x:c r="E15" s="3" t="s">
        <x:v>74</x:v>
      </x:c>
      <x:c r="F15" s="3" t="s">
        <x:v>97</x:v>
      </x:c>
      <x:c r="G15" s="3" t="s">
        <x:v>83</x:v>
      </x:c>
      <x:c r="H15" s="3" t="s">
        <x:v>58</x:v>
      </x:c>
      <x:c r="I15" s="3" t="s">
        <x:v>98</x:v>
      </x:c>
      <x:c r="J15" s="3" t="s">
        <x:v>60</x:v>
      </x:c>
      <x:c r="K15" s="8" t="s">
        <x:v>61</x:v>
      </x:c>
    </x:row>
    <x:row r="16" ht="42">
      <x:c r="A16" s="3" t="s">
        <x:v>117</x:v>
      </x:c>
      <x:c r="B16" s="3" t="s">
        <x:v>118</x:v>
      </x:c>
      <x:c r="C16" s="3" t="s">
        <x:v>119</x:v>
      </x:c>
      <x:c r="D16" s="3" t="s">
        <x:v>120</x:v>
      </x:c>
      <x:c r="E16" s="3" t="s">
        <x:v>74</x:v>
      </x:c>
      <x:c r="F16" s="3" t="s">
        <x:v>103</x:v>
      </x:c>
      <x:c r="G16" s="3" t="s">
        <x:v>83</x:v>
      </x:c>
      <x:c r="H16" s="3" t="s">
        <x:v>58</x:v>
      </x:c>
      <x:c r="I16" s="3" t="s">
        <x:v>121</x:v>
      </x:c>
      <x:c r="J16" s="3" t="s">
        <x:v>60</x:v>
      </x:c>
      <x:c r="K16" s="8" t="s">
        <x:v>61</x:v>
      </x:c>
    </x:row>
    <x:row r="17" ht="42">
      <x:c r="A17" s="3" t="s">
        <x:v>122</x:v>
      </x:c>
      <x:c r="B17" s="3" t="s">
        <x:v>123</x:v>
      </x:c>
      <x:c r="C17" s="3" t="s">
        <x:v>124</x:v>
      </x:c>
      <x:c r="D17" s="3" t="s">
        <x:v>125</x:v>
      </x:c>
      <x:c r="E17" s="3" t="s">
        <x:v>74</x:v>
      </x:c>
      <x:c r="F17" s="3" t="s">
        <x:v>126</x:v>
      </x:c>
      <x:c r="G17" s="3" t="s">
        <x:v>83</x:v>
      </x:c>
      <x:c r="H17" s="3" t="s">
        <x:v>58</x:v>
      </x:c>
      <x:c r="I17" s="3" t="s">
        <x:v>127</x:v>
      </x:c>
      <x:c r="J17" s="3" t="s">
        <x:v>60</x:v>
      </x:c>
      <x:c r="K17" s="8" t="s">
        <x:v>61</x:v>
      </x:c>
    </x:row>
    <x:row r="18" ht="42">
      <x:c r="A18" s="3" t="s">
        <x:v>128</x:v>
      </x:c>
      <x:c r="B18" s="3" t="s">
        <x:v>129</x:v>
      </x:c>
      <x:c r="C18" s="3" t="s">
        <x:v>130</x:v>
      </x:c>
      <x:c r="D18" s="3" t="s">
        <x:v>131</x:v>
      </x:c>
      <x:c r="E18" s="3" t="s">
        <x:v>74</x:v>
      </x:c>
      <x:c r="F18" s="3" t="s">
        <x:v>126</x:v>
      </x:c>
      <x:c r="G18" s="3" t="s">
        <x:v>83</x:v>
      </x:c>
      <x:c r="H18" s="3" t="s">
        <x:v>58</x:v>
      </x:c>
      <x:c r="I18" s="3" t="s">
        <x:v>127</x:v>
      </x:c>
      <x:c r="J18" s="3" t="s">
        <x:v>60</x:v>
      </x:c>
      <x:c r="K18" s="8" t="s">
        <x:v>61</x:v>
      </x:c>
    </x:row>
    <x:row r="19" ht="42">
      <x:c r="A19" s="3" t="s">
        <x:v>132</x:v>
      </x:c>
      <x:c r="B19" s="3" t="s">
        <x:v>133</x:v>
      </x:c>
      <x:c r="C19" s="3" t="s">
        <x:v>134</x:v>
      </x:c>
      <x:c r="D19" s="3" t="s">
        <x:v>135</x:v>
      </x:c>
      <x:c r="E19" s="3" t="s">
        <x:v>74</x:v>
      </x:c>
      <x:c r="F19" s="3" t="s">
        <x:v>126</x:v>
      </x:c>
      <x:c r="G19" s="3" t="s">
        <x:v>83</x:v>
      </x:c>
      <x:c r="H19" s="3" t="s">
        <x:v>58</x:v>
      </x:c>
      <x:c r="I19" s="3" t="s">
        <x:v>127</x:v>
      </x:c>
      <x:c r="J19" s="3" t="s">
        <x:v>60</x:v>
      </x:c>
      <x:c r="K19" s="8" t="s">
        <x:v>61</x:v>
      </x:c>
    </x:row>
    <x:row r="20" ht="28">
      <x:c r="A20" s="3" t="s">
        <x:v>136</x:v>
      </x:c>
      <x:c r="B20" s="3" t="s">
        <x:v>137</x:v>
      </x:c>
      <x:c r="C20" s="3" t="s">
        <x:v>137</x:v>
      </x:c>
      <x:c r="D20" s="3" t="s">
        <x:v>137</x:v>
      </x:c>
      <x:c r="E20" s="3" t="s">
        <x:v>64</x:v>
      </x:c>
      <x:c r="F20" s="3" t="s">
        <x:v>126</x:v>
      </x:c>
      <x:c r="G20" s="3" t="s">
        <x:v>83</x:v>
      </x:c>
      <x:c r="H20" s="3" t="s">
        <x:v>58</x:v>
      </x:c>
      <x:c r="I20" s="3" t="s">
        <x:v>127</x:v>
      </x:c>
      <x:c r="J20" s="3" t="s">
        <x:v>60</x:v>
      </x:c>
      <x:c r="K20" s="8" t="s">
        <x:v>61</x:v>
      </x:c>
    </x:row>
    <x:row r="21" ht="42">
      <x:c r="A21" s="3" t="s">
        <x:v>138</x:v>
      </x:c>
      <x:c r="B21" s="3" t="s">
        <x:v>139</x:v>
      </x:c>
      <x:c r="C21" s="3" t="s">
        <x:v>140</x:v>
      </x:c>
      <x:c r="D21" s="3" t="s">
        <x:v>141</x:v>
      </x:c>
      <x:c r="E21" s="3" t="s">
        <x:v>74</x:v>
      </x:c>
      <x:c r="F21" s="3" t="s">
        <x:v>126</x:v>
      </x:c>
      <x:c r="G21" s="3" t="s">
        <x:v>83</x:v>
      </x:c>
      <x:c r="H21" s="3" t="s">
        <x:v>58</x:v>
      </x:c>
      <x:c r="I21" s="3" t="s">
        <x:v>127</x:v>
      </x:c>
      <x:c r="J21" s="3" t="s">
        <x:v>60</x:v>
      </x:c>
      <x:c r="K21" s="8" t="s">
        <x:v>61</x:v>
      </x:c>
    </x:row>
    <x:row r="22" ht="42">
      <x:c r="A22" s="3" t="s">
        <x:v>142</x:v>
      </x:c>
      <x:c r="B22" s="3" t="s">
        <x:v>143</x:v>
      </x:c>
      <x:c r="C22" s="3" t="s">
        <x:v>144</x:v>
      </x:c>
      <x:c r="D22" s="3" t="s">
        <x:v>145</x:v>
      </x:c>
      <x:c r="E22" s="3" t="s">
        <x:v>74</x:v>
      </x:c>
      <x:c r="F22" s="3" t="s">
        <x:v>126</x:v>
      </x:c>
      <x:c r="G22" s="3" t="s">
        <x:v>83</x:v>
      </x:c>
      <x:c r="H22" s="3" t="s">
        <x:v>58</x:v>
      </x:c>
      <x:c r="I22" s="3" t="s">
        <x:v>127</x:v>
      </x:c>
      <x:c r="J22" s="3" t="s">
        <x:v>60</x:v>
      </x:c>
      <x:c r="K22" s="8" t="s">
        <x:v>61</x:v>
      </x:c>
    </x:row>
    <x:row r="23" ht="28">
      <x:c r="A23" s="3" t="s">
        <x:v>146</x:v>
      </x:c>
      <x:c r="B23" s="3" t="s">
        <x:v>147</x:v>
      </x:c>
      <x:c r="C23" s="3" t="s">
        <x:v>147</x:v>
      </x:c>
      <x:c r="D23" s="3" t="s">
        <x:v>147</x:v>
      </x:c>
      <x:c r="E23" s="3" t="s">
        <x:v>64</x:v>
      </x:c>
      <x:c r="F23" s="3" t="s">
        <x:v>148</x:v>
      </x:c>
      <x:c r="G23" s="3" t="s">
        <x:v>65</x:v>
      </x:c>
      <x:c r="H23" s="3" t="s">
        <x:v>58</x:v>
      </x:c>
      <x:c r="I23" s="3" t="s">
        <x:v>149</x:v>
      </x:c>
      <x:c r="J23" s="3" t="s">
        <x:v>60</x:v>
      </x:c>
      <x:c r="K23" s="8" t="s">
        <x:v>61</x:v>
      </x:c>
    </x:row>
    <x:row r="24" ht="28">
      <x:c r="A24" s="3" t="s">
        <x:v>150</x:v>
      </x:c>
      <x:c r="B24" s="3" t="s">
        <x:v>151</x:v>
      </x:c>
      <x:c r="C24" s="3" t="s">
        <x:v>151</x:v>
      </x:c>
      <x:c r="D24" s="3" t="s">
        <x:v>151</x:v>
      </x:c>
      <x:c r="E24" s="3" t="s">
        <x:v>64</x:v>
      </x:c>
      <x:c r="F24" s="3" t="s">
        <x:v>148</x:v>
      </x:c>
      <x:c r="G24" s="3" t="s">
        <x:v>65</x:v>
      </x:c>
      <x:c r="H24" s="3" t="s">
        <x:v>58</x:v>
      </x:c>
      <x:c r="I24" s="3" t="s">
        <x:v>149</x:v>
      </x:c>
      <x:c r="J24" s="3" t="s">
        <x:v>60</x:v>
      </x:c>
      <x:c r="K24" s="8" t="s">
        <x:v>61</x:v>
      </x:c>
    </x:row>
    <x:row r="25" ht="28">
      <x:c r="A25" s="3" t="s">
        <x:v>152</x:v>
      </x:c>
      <x:c r="B25" s="3" t="s">
        <x:v>153</x:v>
      </x:c>
      <x:c r="C25" s="3" t="s">
        <x:v>153</x:v>
      </x:c>
      <x:c r="D25" s="3" t="s">
        <x:v>153</x:v>
      </x:c>
      <x:c r="E25" s="3" t="s">
        <x:v>64</x:v>
      </x:c>
      <x:c r="F25" s="3" t="s">
        <x:v>148</x:v>
      </x:c>
      <x:c r="G25" s="3" t="s">
        <x:v>83</x:v>
      </x:c>
      <x:c r="H25" s="3" t="s">
        <x:v>58</x:v>
      </x:c>
      <x:c r="I25" s="3" t="s">
        <x:v>154</x:v>
      </x:c>
      <x:c r="J25" s="3" t="s">
        <x:v>60</x:v>
      </x:c>
      <x:c r="K25" s="8" t="s">
        <x:v>61</x:v>
      </x:c>
    </x:row>
    <x:row r="26" ht="28">
      <x:c r="A26" s="3" t="s">
        <x:v>155</x:v>
      </x:c>
      <x:c r="B26" s="3" t="s">
        <x:v>156</x:v>
      </x:c>
      <x:c r="C26" s="3" t="s">
        <x:v>156</x:v>
      </x:c>
      <x:c r="D26" s="3" t="s">
        <x:v>156</x:v>
      </x:c>
      <x:c r="E26" s="3" t="s">
        <x:v>64</x:v>
      </x:c>
      <x:c r="F26" s="3" t="s">
        <x:v>148</x:v>
      </x:c>
      <x:c r="G26" s="3" t="s">
        <x:v>83</x:v>
      </x:c>
      <x:c r="H26" s="3" t="s">
        <x:v>58</x:v>
      </x:c>
      <x:c r="I26" s="3" t="s">
        <x:v>154</x:v>
      </x:c>
      <x:c r="J26" s="3" t="s">
        <x:v>60</x:v>
      </x:c>
      <x:c r="K26" s="8" t="s">
        <x:v>61</x:v>
      </x:c>
    </x:row>
    <x:row r="27" ht="42">
      <x:c r="A27" s="3" t="s">
        <x:v>157</x:v>
      </x:c>
      <x:c r="B27" s="3" t="s">
        <x:v>158</x:v>
      </x:c>
      <x:c r="C27" s="3" t="s">
        <x:v>159</x:v>
      </x:c>
      <x:c r="D27" s="3" t="s">
        <x:v>160</x:v>
      </x:c>
      <x:c r="E27" s="3" t="s">
        <x:v>74</x:v>
      </x:c>
      <x:c r="F27" s="3" t="s">
        <x:v>161</x:v>
      </x:c>
      <x:c r="G27" s="3" t="s">
        <x:v>83</x:v>
      </x:c>
      <x:c r="H27" s="3" t="s">
        <x:v>58</x:v>
      </x:c>
      <x:c r="I27" s="3" t="s">
        <x:v>127</x:v>
      </x:c>
      <x:c r="J27" s="3" t="s">
        <x:v>60</x:v>
      </x:c>
      <x:c r="K27" s="8" t="s">
        <x:v>61</x:v>
      </x:c>
    </x:row>
    <x:row r="28" ht="42">
      <x:c r="A28" s="3" t="s">
        <x:v>162</x:v>
      </x:c>
      <x:c r="B28" s="3" t="s">
        <x:v>163</x:v>
      </x:c>
      <x:c r="C28" s="3" t="s">
        <x:v>164</x:v>
      </x:c>
      <x:c r="D28" s="3" t="s">
        <x:v>165</x:v>
      </x:c>
      <x:c r="E28" s="3" t="s">
        <x:v>74</x:v>
      </x:c>
      <x:c r="F28" s="3" t="s">
        <x:v>161</x:v>
      </x:c>
      <x:c r="G28" s="3" t="s">
        <x:v>83</x:v>
      </x:c>
      <x:c r="H28" s="3" t="s">
        <x:v>58</x:v>
      </x:c>
      <x:c r="I28" s="3" t="s">
        <x:v>127</x:v>
      </x:c>
      <x:c r="J28" s="3" t="s">
        <x:v>60</x:v>
      </x:c>
      <x:c r="K28" s="8" t="s">
        <x:v>61</x:v>
      </x:c>
    </x:row>
    <x:row r="29" ht="28">
      <x:c r="A29" s="3" t="s">
        <x:v>166</x:v>
      </x:c>
      <x:c r="B29" s="3" t="s">
        <x:v>167</x:v>
      </x:c>
      <x:c r="C29" s="3" t="s">
        <x:v>168</x:v>
      </x:c>
      <x:c r="D29" s="3" t="s">
        <x:v>169</x:v>
      </x:c>
      <x:c r="E29" s="3" t="s">
        <x:v>55</x:v>
      </x:c>
      <x:c r="F29" s="3" t="s">
        <x:v>161</x:v>
      </x:c>
      <x:c r="G29" s="3" t="s">
        <x:v>65</x:v>
      </x:c>
      <x:c r="H29" s="3" t="s">
        <x:v>58</x:v>
      </x:c>
      <x:c r="I29" s="3" t="s">
        <x:v>170</x:v>
      </x:c>
      <x:c r="J29" s="3" t="s">
        <x:v>60</x:v>
      </x:c>
      <x:c r="K29" s="8" t="s">
        <x:v>61</x:v>
      </x:c>
    </x:row>
    <x:row r="30" ht="28">
      <x:c r="A30" s="3" t="s">
        <x:v>171</x:v>
      </x:c>
      <x:c r="B30" s="3" t="s">
        <x:v>172</x:v>
      </x:c>
      <x:c r="C30" s="3" t="s">
        <x:v>173</x:v>
      </x:c>
      <x:c r="D30" s="3" t="s">
        <x:v>174</x:v>
      </x:c>
      <x:c r="E30" s="3" t="s">
        <x:v>55</x:v>
      </x:c>
      <x:c r="F30" s="3" t="s">
        <x:v>175</x:v>
      </x:c>
      <x:c r="G30" s="3" t="s">
        <x:v>83</x:v>
      </x:c>
      <x:c r="H30" s="3" t="s">
        <x:v>58</x:v>
      </x:c>
      <x:c r="I30" s="3" t="s">
        <x:v>176</x:v>
      </x:c>
      <x:c r="J30" s="3" t="s">
        <x:v>60</x:v>
      </x:c>
      <x:c r="K30" s="8" t="s">
        <x:v>61</x:v>
      </x:c>
    </x:row>
    <x:row r="31" ht="42">
      <x:c r="A31" s="3" t="s">
        <x:v>177</x:v>
      </x:c>
      <x:c r="B31" s="3" t="s">
        <x:v>178</x:v>
      </x:c>
      <x:c r="C31" s="3" t="s">
        <x:v>179</x:v>
      </x:c>
      <x:c r="D31" s="3" t="s">
        <x:v>180</x:v>
      </x:c>
      <x:c r="E31" s="3" t="s">
        <x:v>74</x:v>
      </x:c>
      <x:c r="F31" s="3" t="s">
        <x:v>181</x:v>
      </x:c>
      <x:c r="G31" s="3" t="s">
        <x:v>83</x:v>
      </x:c>
      <x:c r="H31" s="3" t="s">
        <x:v>58</x:v>
      </x:c>
      <x:c r="I31" s="3" t="s">
        <x:v>182</x:v>
      </x:c>
      <x:c r="J31" s="3" t="s">
        <x:v>60</x:v>
      </x:c>
      <x:c r="K31" s="8" t="s">
        <x:v>61</x:v>
      </x:c>
    </x:row>
    <x:row r="32" ht="42">
      <x:c r="A32" s="3" t="s">
        <x:v>183</x:v>
      </x:c>
      <x:c r="B32" s="3" t="s">
        <x:v>184</x:v>
      </x:c>
      <x:c r="C32" s="3" t="s">
        <x:v>185</x:v>
      </x:c>
      <x:c r="D32" s="3" t="s">
        <x:v>186</x:v>
      </x:c>
      <x:c r="E32" s="3" t="s">
        <x:v>74</x:v>
      </x:c>
      <x:c r="F32" s="3" t="s">
        <x:v>181</x:v>
      </x:c>
      <x:c r="G32" s="3" t="s">
        <x:v>83</x:v>
      </x:c>
      <x:c r="H32" s="3" t="s">
        <x:v>58</x:v>
      </x:c>
      <x:c r="I32" s="3" t="s">
        <x:v>182</x:v>
      </x:c>
      <x:c r="J32" s="3" t="s">
        <x:v>60</x:v>
      </x:c>
      <x:c r="K32" s="8" t="s">
        <x:v>61</x:v>
      </x:c>
    </x:row>
    <x:row r="33" ht="28">
      <x:c r="A33" s="3" t="s">
        <x:v>187</x:v>
      </x:c>
      <x:c r="B33" s="3" t="s">
        <x:v>188</x:v>
      </x:c>
      <x:c r="C33" s="3" t="s">
        <x:v>188</x:v>
      </x:c>
      <x:c r="D33" s="3" t="s">
        <x:v>188</x:v>
      </x:c>
      <x:c r="E33" s="3" t="s">
        <x:v>64</x:v>
      </x:c>
      <x:c r="F33" s="3" t="s">
        <x:v>65</x:v>
      </x:c>
      <x:c r="G33" s="3" t="s">
        <x:v>83</x:v>
      </x:c>
      <x:c r="H33" s="3" t="s">
        <x:v>58</x:v>
      </x:c>
      <x:c r="I33" s="3" t="s">
        <x:v>189</x:v>
      </x:c>
      <x:c r="J33" s="3" t="s">
        <x:v>60</x:v>
      </x:c>
      <x:c r="K33" s="8" t="s">
        <x:v>61</x:v>
      </x:c>
    </x:row>
    <x:row r="34" ht="28">
      <x:c r="A34" s="3" t="s">
        <x:v>190</x:v>
      </x:c>
      <x:c r="B34" s="3" t="s">
        <x:v>191</x:v>
      </x:c>
      <x:c r="C34" s="3" t="s">
        <x:v>192</x:v>
      </x:c>
      <x:c r="D34" s="3" t="s">
        <x:v>193</x:v>
      </x:c>
      <x:c r="E34" s="3" t="s">
        <x:v>55</x:v>
      </x:c>
      <x:c r="F34" s="3" t="s">
        <x:v>65</x:v>
      </x:c>
      <x:c r="G34" s="3" t="s">
        <x:v>83</x:v>
      </x:c>
      <x:c r="H34" s="3" t="s">
        <x:v>58</x:v>
      </x:c>
      <x:c r="I34" s="3" t="s">
        <x:v>189</x:v>
      </x:c>
      <x:c r="J34" s="3" t="s">
        <x:v>60</x:v>
      </x:c>
      <x:c r="K34" s="8" t="s">
        <x:v>61</x:v>
      </x:c>
    </x:row>
    <x:row r="35" ht="28">
      <x:c r="A35" s="3" t="s">
        <x:v>194</x:v>
      </x:c>
      <x:c r="B35" s="3" t="s">
        <x:v>195</x:v>
      </x:c>
      <x:c r="C35" s="3" t="s">
        <x:v>195</x:v>
      </x:c>
      <x:c r="D35" s="3" t="s">
        <x:v>195</x:v>
      </x:c>
      <x:c r="E35" s="3" t="s">
        <x:v>64</x:v>
      </x:c>
      <x:c r="F35" s="3" t="s">
        <x:v>65</x:v>
      </x:c>
      <x:c r="G35" s="3" t="s">
        <x:v>83</x:v>
      </x:c>
      <x:c r="H35" s="3" t="s">
        <x:v>58</x:v>
      </x:c>
      <x:c r="I35" s="3" t="s">
        <x:v>189</x:v>
      </x:c>
      <x:c r="J35" s="3" t="s">
        <x:v>60</x:v>
      </x:c>
      <x:c r="K35" s="8" t="s">
        <x:v>61</x:v>
      </x:c>
    </x:row>
    <x:row r="36" ht="28">
      <x:c r="A36" s="3" t="s">
        <x:v>196</x:v>
      </x:c>
      <x:c r="B36" s="3" t="s">
        <x:v>197</x:v>
      </x:c>
      <x:c r="C36" s="3" t="s">
        <x:v>197</x:v>
      </x:c>
      <x:c r="D36" s="3" t="s">
        <x:v>197</x:v>
      </x:c>
      <x:c r="E36" s="3" t="s">
        <x:v>64</x:v>
      </x:c>
      <x:c r="F36" s="3" t="s">
        <x:v>65</x:v>
      </x:c>
      <x:c r="G36" s="3" t="s">
        <x:v>83</x:v>
      </x:c>
      <x:c r="H36" s="3" t="s">
        <x:v>58</x:v>
      </x:c>
      <x:c r="I36" s="3" t="s">
        <x:v>189</x:v>
      </x:c>
      <x:c r="J36" s="3" t="s">
        <x:v>60</x:v>
      </x:c>
      <x:c r="K36" s="8" t="s">
        <x:v>61</x:v>
      </x:c>
    </x:row>
    <x:row r="37" ht="28">
      <x:c r="A37" s="3" t="s">
        <x:v>198</x:v>
      </x:c>
      <x:c r="B37" s="3" t="s">
        <x:v>199</x:v>
      </x:c>
      <x:c r="C37" s="3" t="s">
        <x:v>199</x:v>
      </x:c>
      <x:c r="D37" s="3" t="s">
        <x:v>199</x:v>
      </x:c>
      <x:c r="E37" s="3" t="s">
        <x:v>64</x:v>
      </x:c>
      <x:c r="F37" s="3" t="s">
        <x:v>65</x:v>
      </x:c>
      <x:c r="G37" s="3" t="s">
        <x:v>83</x:v>
      </x:c>
      <x:c r="H37" s="3" t="s">
        <x:v>58</x:v>
      </x:c>
      <x:c r="I37" s="3" t="s">
        <x:v>189</x:v>
      </x:c>
      <x:c r="J37" s="3" t="s">
        <x:v>60</x:v>
      </x:c>
      <x:c r="K37" s="8" t="s">
        <x:v>61</x:v>
      </x:c>
    </x:row>
    <x:row r="38" ht="28">
      <x:c r="A38" s="3" t="s">
        <x:v>200</x:v>
      </x:c>
      <x:c r="B38" s="3" t="s">
        <x:v>201</x:v>
      </x:c>
      <x:c r="C38" s="3" t="s">
        <x:v>201</x:v>
      </x:c>
      <x:c r="D38" s="3" t="s">
        <x:v>201</x:v>
      </x:c>
      <x:c r="E38" s="3" t="s">
        <x:v>64</x:v>
      </x:c>
      <x:c r="F38" s="3" t="s">
        <x:v>65</x:v>
      </x:c>
      <x:c r="G38" s="3" t="s">
        <x:v>83</x:v>
      </x:c>
      <x:c r="H38" s="3" t="s">
        <x:v>58</x:v>
      </x:c>
      <x:c r="I38" s="3" t="s">
        <x:v>189</x:v>
      </x:c>
      <x:c r="J38" s="3" t="s">
        <x:v>60</x:v>
      </x:c>
      <x:c r="K38" s="8" t="s">
        <x:v>61</x:v>
      </x:c>
    </x:row>
    <x:row r="39" ht="42">
      <x:c r="A39" s="3" t="s">
        <x:v>202</x:v>
      </x:c>
      <x:c r="B39" s="3" t="s">
        <x:v>203</x:v>
      </x:c>
      <x:c r="C39" s="3" t="s">
        <x:v>204</x:v>
      </x:c>
      <x:c r="D39" s="3" t="s">
        <x:v>205</x:v>
      </x:c>
      <x:c r="E39" s="3" t="s">
        <x:v>74</x:v>
      </x:c>
      <x:c r="F39" s="3" t="s">
        <x:v>65</x:v>
      </x:c>
      <x:c r="G39" s="3" t="s">
        <x:v>83</x:v>
      </x:c>
      <x:c r="H39" s="3" t="s">
        <x:v>58</x:v>
      </x:c>
      <x:c r="I39" s="3" t="s">
        <x:v>189</x:v>
      </x:c>
      <x:c r="J39" s="3" t="s">
        <x:v>60</x:v>
      </x:c>
      <x:c r="K39" s="8" t="s">
        <x:v>61</x:v>
      </x:c>
    </x:row>
  </x:sheetData>
  <x:mergeCells>
    <x:mergeCell ref="A1:K1"/>
    <x:mergeCell ref="A2:K2"/>
  </x:mergeCells>
  <x:conditionalFormatting sqref="K4:K39">
    <x:cfRule type="expression" dxfId="34" priority="1">
      <x:formula>K4="待用户复核"</x:formula>
    </x:cfRule>
    <x:cfRule type="expression" dxfId="33" priority="2">
      <x:formula>K4="需修改"</x:formula>
    </x:cfRule>
    <x:cfRule type="expression" dxfId="32" priority="3">
      <x:formula>K4="已验收通过"</x:formula>
    </x:cfRule>
  </x:conditionalFormatting>
  <x:dataValidations count="1">
    <x:dataValidation type="list" sqref="K4:K39">
      <x:formula1>"待用户复核,待人工复核,已验收通过,需修改"</x:formula1>
    </x:dataValidation>
  </x:dataValidations>
  <x:pageMargins left="0.7" right="0.7" top="0.75" bottom="0.75" header="0.3" footer="0.3"/>
  <x:tableParts count="1">
    <x:tablePart xmlns:r="http://schemas.openxmlformats.org/officeDocument/2006/relationships" r:id="Rc89588fad42a4cc3"/>
  </x:tableParts>
</x:worksheet>
</file>

<file path=xl/worksheets/sheet3.xml><?xml version="1.0" encoding="utf-8"?>
<x:worksheet xmlns:x="http://schemas.openxmlformats.org/spreadsheetml/2006/main">
  <x:sheetFormatPr defaultRowHeight="14"/>
  <x:cols>
    <x:col min="1" max="1" width="18" customWidth="1"/>
    <x:col min="2" max="2" width="16" customWidth="1"/>
    <x:col min="3" max="4" width="18" customWidth="1"/>
    <x:col min="5" max="5" width="22" customWidth="1"/>
    <x:col min="6" max="8" width="16" customWidth="1"/>
    <x:col min="9" max="10" width="14" customWidth="1"/>
    <x:col min="11" max="13" width="15" customWidth="1"/>
    <x:col min="14" max="14" width="14" customWidth="1"/>
    <x:col min="15" max="17" width="15" customWidth="1"/>
    <x:col min="18" max="18" width="18" customWidth="1"/>
    <x:col min="19" max="19" width="15" customWidth="1"/>
    <x:col min="20" max="20" width="18" customWidth="1"/>
    <x:col min="21" max="22" width="16" customWidth="1"/>
    <x:col min="23" max="25" width="34" customWidth="1"/>
    <x:col min="26" max="26" width="22" customWidth="1"/>
  </x:cols>
  <x:sheetData>
    <x:row r="1" ht="7.75" customHeight="1">
      <x:c r="A1" s="36" t="s">
        <x:v>206</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row>
    <x:row r="2" ht="9.5" customHeight="1">
      <x:c r="A2" s="37" t="s">
        <x:v>207</x:v>
      </x:c>
      <x:c r="B2" s="37"/>
      <x:c r="C2" s="37"/>
      <x:c r="D2" s="37"/>
      <x:c r="E2" s="37"/>
      <x:c r="F2" s="37"/>
      <x:c r="G2" s="37"/>
      <x:c r="H2" s="37"/>
      <x:c r="I2" s="37"/>
      <x:c r="J2" s="37"/>
      <x:c r="K2" s="37"/>
      <x:c r="L2" s="37"/>
      <x:c r="M2" s="37"/>
      <x:c r="N2" s="37"/>
      <x:c r="O2" s="37"/>
      <x:c r="P2" s="37"/>
      <x:c r="Q2" s="37"/>
      <x:c r="R2" s="37"/>
      <x:c r="S2" s="37"/>
      <x:c r="T2" s="37"/>
      <x:c r="U2" s="37"/>
      <x:c r="V2" s="37"/>
      <x:c r="W2" s="37"/>
      <x:c r="X2" s="37"/>
      <x:c r="Y2" s="37"/>
      <x:c r="Z2" s="37"/>
    </x:row>
    <x:row r="3" ht="10.649999618530273" customHeight="1">
      <x:c r="A3" s="7" t="s">
        <x:v>208</x:v>
      </x:c>
      <x:c r="B3" s="7" t="s">
        <x:v>209</x:v>
      </x:c>
      <x:c r="C3" s="7" t="s">
        <x:v>210</x:v>
      </x:c>
      <x:c r="D3" s="7" t="s">
        <x:v>211</x:v>
      </x:c>
      <x:c r="E3" s="7" t="s">
        <x:v>212</x:v>
      </x:c>
      <x:c r="F3" s="7" t="s">
        <x:v>213</x:v>
      </x:c>
      <x:c r="G3" s="7" t="s">
        <x:v>214</x:v>
      </x:c>
      <x:c r="H3" s="7" t="s">
        <x:v>215</x:v>
      </x:c>
      <x:c r="I3" s="7" t="s">
        <x:v>216</x:v>
      </x:c>
      <x:c r="J3" s="7" t="s">
        <x:v>217</x:v>
      </x:c>
      <x:c r="K3" s="7" t="s">
        <x:v>218</x:v>
      </x:c>
      <x:c r="L3" s="7" t="s">
        <x:v>219</x:v>
      </x:c>
      <x:c r="M3" s="7" t="s">
        <x:v>220</x:v>
      </x:c>
      <x:c r="N3" s="7" t="s">
        <x:v>221</x:v>
      </x:c>
      <x:c r="O3" s="10" t="s">
        <x:v>222</x:v>
      </x:c>
      <x:c r="P3" s="10" t="s">
        <x:v>223</x:v>
      </x:c>
      <x:c r="Q3" s="10" t="s">
        <x:v>224</x:v>
      </x:c>
      <x:c r="R3" s="12" t="s">
        <x:v>225</x:v>
      </x:c>
      <x:c r="S3" s="7" t="s">
        <x:v>226</x:v>
      </x:c>
      <x:c r="T3" s="7" t="s">
        <x:v>48</x:v>
      </x:c>
      <x:c r="U3" s="7" t="s">
        <x:v>227</x:v>
      </x:c>
      <x:c r="V3" s="7" t="s">
        <x:v>228</x:v>
      </x:c>
      <x:c r="W3" s="7" t="s">
        <x:v>229</x:v>
      </x:c>
      <x:c r="X3" s="7" t="s">
        <x:v>230</x:v>
      </x:c>
      <x:c r="Y3" s="7" t="s">
        <x:v>49</x:v>
      </x:c>
      <x:c r="Z3" s="7" t="s">
        <x:v>50</x:v>
      </x:c>
    </x:row>
    <x:row r="4" ht="56">
      <x:c r="A4" s="3" t="s">
        <x:v>231</x:v>
      </x:c>
      <x:c r="B4" s="3" t="s">
        <x:v>232</x:v>
      </x:c>
      <x:c r="C4" s="3" t="s">
        <x:v>233</x:v>
      </x:c>
      <x:c r="D4" s="3" t="s">
        <x:v>234</x:v>
      </x:c>
      <x:c r="E4" s="3" t="s">
        <x:v>235</x:v>
      </x:c>
      <x:c r="F4" s="9" t="s">
        <x:v>236</x:v>
      </x:c>
      <x:c r="G4" s="3"/>
      <x:c r="H4" s="3" t="s">
        <x:v>237</x:v>
      </x:c>
      <x:c r="I4" s="3" t="s">
        <x:v>238</x:v>
      </x:c>
      <x:c r="J4" s="3" t="s">
        <x:v>238</x:v>
      </x:c>
      <x:c r="K4" s="9"/>
      <x:c r="L4" s="9">
        <x:v>50</x:v>
      </x:c>
      <x:c r="M4" s="9">
        <x:v>100</x:v>
      </x:c>
      <x:c r="N4" s="3" t="s">
        <x:v>239</x:v>
      </x:c>
      <x:c r="O4" s="11"/>
      <x:c r="P4" s="11"/>
      <x:c r="Q4" s="11">
        <x:v>100</x:v>
      </x:c>
      <x:c r="R4" s="13" t="s">
        <x:v>240</x:v>
      </x:c>
      <x:c r="S4" s="9" t="s">
        <x:v>241</x:v>
      </x:c>
      <x:c r="T4" s="3" t="s">
        <x:v>69</x:v>
      </x:c>
      <x:c r="U4" s="3" t="s">
        <x:v>242</x:v>
      </x:c>
      <x:c r="V4" s="3" t="s">
        <x:v>243</x:v>
      </x:c>
      <x:c r="W4" s="9" t="s">
        <x:v>244</x:v>
      </x:c>
      <x:c r="X4" s="3" t="s">
        <x:v>245</x:v>
      </x:c>
      <x:c r="Y4" s="3" t="s">
        <x:v>246</x:v>
      </x:c>
      <x:c r="Z4" s="15" t="s">
        <x:v>61</x:v>
      </x:c>
    </x:row>
    <x:row r="5" ht="56">
      <x:c r="A5" s="3" t="s">
        <x:v>247</x:v>
      </x:c>
      <x:c r="B5" s="3" t="s">
        <x:v>248</x:v>
      </x:c>
      <x:c r="C5" s="3" t="s">
        <x:v>82</x:v>
      </x:c>
      <x:c r="D5" s="3" t="s">
        <x:v>82</x:v>
      </x:c>
      <x:c r="E5" s="3" t="s">
        <x:v>235</x:v>
      </x:c>
      <x:c r="F5" s="9" t="s">
        <x:v>249</x:v>
      </x:c>
      <x:c r="G5" s="3"/>
      <x:c r="H5" s="3" t="s">
        <x:v>237</x:v>
      </x:c>
      <x:c r="I5" s="3" t="s">
        <x:v>238</x:v>
      </x:c>
      <x:c r="J5" s="3" t="s">
        <x:v>238</x:v>
      </x:c>
      <x:c r="K5" s="9"/>
      <x:c r="L5" s="9">
        <x:v>28.204999999999998</x:v>
      </x:c>
      <x:c r="M5" s="9">
        <x:v>128.20500000000001</x:v>
      </x:c>
      <x:c r="N5" s="3" t="s">
        <x:v>239</x:v>
      </x:c>
      <x:c r="O5" s="11"/>
      <x:c r="P5" s="11"/>
      <x:c r="Q5" s="11"/>
      <x:c r="R5" s="13"/>
      <x:c r="S5" s="9" t="s">
        <x:v>250</x:v>
      </x:c>
      <x:c r="T5" s="3" t="s">
        <x:v>251</x:v>
      </x:c>
      <x:c r="U5" s="3" t="s">
        <x:v>242</x:v>
      </x:c>
      <x:c r="V5" s="3" t="s">
        <x:v>243</x:v>
      </x:c>
      <x:c r="W5" s="9" t="s">
        <x:v>252</x:v>
      </x:c>
      <x:c r="X5" s="3" t="s">
        <x:v>253</x:v>
      </x:c>
      <x:c r="Y5" s="3" t="s">
        <x:v>254</x:v>
      </x:c>
      <x:c r="Z5" s="15" t="s">
        <x:v>61</x:v>
      </x:c>
    </x:row>
    <x:row r="6" ht="56">
      <x:c r="A6" s="3" t="s">
        <x:v>255</x:v>
      </x:c>
      <x:c r="B6" s="3" t="s">
        <x:v>256</x:v>
      </x:c>
      <x:c r="C6" s="3" t="s">
        <x:v>257</x:v>
      </x:c>
      <x:c r="D6" s="3" t="s">
        <x:v>257</x:v>
      </x:c>
      <x:c r="E6" s="3" t="s">
        <x:v>235</x:v>
      </x:c>
      <x:c r="F6" s="9" t="s">
        <x:v>258</x:v>
      </x:c>
      <x:c r="G6" s="3"/>
      <x:c r="H6" s="3" t="s">
        <x:v>237</x:v>
      </x:c>
      <x:c r="I6" s="3" t="s">
        <x:v>238</x:v>
      </x:c>
      <x:c r="J6" s="3" t="s">
        <x:v>238</x:v>
      </x:c>
      <x:c r="K6" s="9"/>
      <x:c r="L6" s="9">
        <x:v>8.7871400000000008</x:v>
      </x:c>
      <x:c r="M6" s="9">
        <x:v>136.9864</x:v>
      </x:c>
      <x:c r="N6" s="3" t="s">
        <x:v>239</x:v>
      </x:c>
      <x:c r="O6" s="11"/>
      <x:c r="P6" s="11"/>
      <x:c r="Q6" s="11">
        <x:v>136.99214000000001</x:v>
      </x:c>
      <x:c r="R6" s="13" t="s">
        <x:v>259</x:v>
      </x:c>
      <x:c r="S6" s="9" t="s">
        <x:v>260</x:v>
      </x:c>
      <x:c r="T6" s="3" t="s">
        <x:v>261</x:v>
      </x:c>
      <x:c r="U6" s="3" t="s">
        <x:v>242</x:v>
      </x:c>
      <x:c r="V6" s="3" t="s">
        <x:v>243</x:v>
      </x:c>
      <x:c r="W6" s="9" t="s">
        <x:v>262</x:v>
      </x:c>
      <x:c r="X6" s="3" t="s">
        <x:v>263</x:v>
      </x:c>
      <x:c r="Y6" s="3" t="s">
        <x:v>264</x:v>
      </x:c>
      <x:c r="Z6" s="15" t="s">
        <x:v>61</x:v>
      </x:c>
    </x:row>
    <x:row r="7" ht="56">
      <x:c r="A7" s="3" t="s">
        <x:v>265</x:v>
      </x:c>
      <x:c r="B7" s="3" t="s">
        <x:v>266</x:v>
      </x:c>
      <x:c r="C7" s="3" t="s">
        <x:v>267</x:v>
      </x:c>
      <x:c r="D7" s="3" t="s">
        <x:v>267</x:v>
      </x:c>
      <x:c r="E7" s="3" t="s">
        <x:v>268</x:v>
      </x:c>
      <x:c r="F7" s="9" t="s">
        <x:v>269</x:v>
      </x:c>
      <x:c r="G7" s="3"/>
      <x:c r="H7" s="3" t="s">
        <x:v>237</x:v>
      </x:c>
      <x:c r="I7" s="3" t="s">
        <x:v>238</x:v>
      </x:c>
      <x:c r="J7" s="3" t="s">
        <x:v>238</x:v>
      </x:c>
      <x:c r="K7" s="9"/>
      <x:c r="L7" s="9"/>
      <x:c r="M7" s="9">
        <x:v>2000</x:v>
      </x:c>
      <x:c r="N7" s="3" t="s">
        <x:v>239</x:v>
      </x:c>
      <x:c r="O7" s="11"/>
      <x:c r="P7" s="11">
        <x:v>1863.0136</x:v>
      </x:c>
      <x:c r="Q7" s="11"/>
      <x:c r="R7" s="13" t="s">
        <x:v>270</x:v>
      </x:c>
      <x:c r="S7" s="9" t="s">
        <x:v>271</x:v>
      </x:c>
      <x:c r="T7" s="3" t="s">
        <x:v>272</x:v>
      </x:c>
      <x:c r="U7" s="3" t="s">
        <x:v>242</x:v>
      </x:c>
      <x:c r="V7" s="3" t="s">
        <x:v>243</x:v>
      </x:c>
      <x:c r="W7" s="9" t="s">
        <x:v>273</x:v>
      </x:c>
      <x:c r="X7" s="3" t="s">
        <x:v>274</x:v>
      </x:c>
      <x:c r="Y7" s="3" t="s">
        <x:v>275</x:v>
      </x:c>
      <x:c r="Z7" s="15" t="s">
        <x:v>61</x:v>
      </x:c>
    </x:row>
    <x:row r="8" ht="56">
      <x:c r="A8" s="3" t="s">
        <x:v>276</x:v>
      </x:c>
      <x:c r="B8" s="3" t="s">
        <x:v>277</x:v>
      </x:c>
      <x:c r="C8" s="3" t="s">
        <x:v>97</x:v>
      </x:c>
      <x:c r="D8" s="3" t="s">
        <x:v>97</x:v>
      </x:c>
      <x:c r="E8" s="3" t="s">
        <x:v>235</x:v>
      </x:c>
      <x:c r="F8" s="9" t="s">
        <x:v>278</x:v>
      </x:c>
      <x:c r="G8" s="3"/>
      <x:c r="H8" s="3" t="s">
        <x:v>237</x:v>
      </x:c>
      <x:c r="I8" s="3" t="s">
        <x:v>238</x:v>
      </x:c>
      <x:c r="J8" s="3" t="s">
        <x:v>238</x:v>
      </x:c>
      <x:c r="K8" s="9"/>
      <x:c r="L8" s="9">
        <x:v>158.27330000000001</x:v>
      </x:c>
      <x:c r="M8" s="9">
        <x:v>2158.2732999999998</x:v>
      </x:c>
      <x:c r="N8" s="3" t="s">
        <x:v>239</x:v>
      </x:c>
      <x:c r="O8" s="11"/>
      <x:c r="P8" s="11"/>
      <x:c r="Q8" s="11"/>
      <x:c r="R8" s="13"/>
      <x:c r="S8" s="9" t="s">
        <x:v>279</x:v>
      </x:c>
      <x:c r="T8" s="3" t="s">
        <x:v>280</x:v>
      </x:c>
      <x:c r="U8" s="3" t="s">
        <x:v>281</x:v>
      </x:c>
      <x:c r="V8" s="3" t="s">
        <x:v>242</x:v>
      </x:c>
      <x:c r="W8" s="9" t="s">
        <x:v>282</x:v>
      </x:c>
      <x:c r="X8" s="3" t="s">
        <x:v>283</x:v>
      </x:c>
      <x:c r="Y8" s="3" t="s">
        <x:v>284</x:v>
      </x:c>
      <x:c r="Z8" s="15" t="s">
        <x:v>61</x:v>
      </x:c>
    </x:row>
    <x:row r="9" ht="112">
      <x:c r="A9" s="3" t="s">
        <x:v>285</x:v>
      </x:c>
      <x:c r="B9" s="3" t="s">
        <x:v>286</x:v>
      </x:c>
      <x:c r="C9" s="3" t="s">
        <x:v>126</x:v>
      </x:c>
      <x:c r="D9" s="3" t="s">
        <x:v>287</x:v>
      </x:c>
      <x:c r="E9" s="3" t="s">
        <x:v>235</x:v>
      </x:c>
      <x:c r="F9" s="9" t="s">
        <x:v>288</x:v>
      </x:c>
      <x:c r="G9" s="3" t="s">
        <x:v>289</x:v>
      </x:c>
      <x:c r="H9" s="3" t="s">
        <x:v>290</x:v>
      </x:c>
      <x:c r="I9" s="3" t="s">
        <x:v>291</x:v>
      </x:c>
      <x:c r="J9" s="3" t="s">
        <x:v>291</x:v>
      </x:c>
      <x:c r="K9" s="9">
        <x:v>4000</x:v>
      </x:c>
      <x:c r="L9" s="9"/>
      <x:c r="M9" s="9"/>
      <x:c r="N9" s="3" t="s">
        <x:v>239</x:v>
      </x:c>
      <x:c r="O9" s="11"/>
      <x:c r="P9" s="11">
        <x:v>515</x:v>
      </x:c>
      <x:c r="Q9" s="11"/>
      <x:c r="R9" s="13" t="s">
        <x:v>292</x:v>
      </x:c>
      <x:c r="S9" s="9" t="s">
        <x:v>293</x:v>
      </x:c>
      <x:c r="T9" s="3" t="s">
        <x:v>294</x:v>
      </x:c>
      <x:c r="U9" s="3" t="s">
        <x:v>295</x:v>
      </x:c>
      <x:c r="V9" s="3" t="s">
        <x:v>296</x:v>
      </x:c>
      <x:c r="W9" s="9" t="s">
        <x:v>297</x:v>
      </x:c>
      <x:c r="X9" s="3" t="s">
        <x:v>298</x:v>
      </x:c>
      <x:c r="Y9" s="3" t="s">
        <x:v>299</x:v>
      </x:c>
      <x:c r="Z9" s="15" t="s">
        <x:v>61</x:v>
      </x:c>
    </x:row>
    <x:row r="10" ht="84">
      <x:c r="A10" s="3" t="s">
        <x:v>300</x:v>
      </x:c>
      <x:c r="B10" s="3" t="s">
        <x:v>301</x:v>
      </x:c>
      <x:c r="C10" s="3" t="s">
        <x:v>148</x:v>
      </x:c>
      <x:c r="D10" s="3" t="s">
        <x:v>287</x:v>
      </x:c>
      <x:c r="E10" s="3" t="s">
        <x:v>302</x:v>
      </x:c>
      <x:c r="F10" s="9" t="s">
        <x:v>303</x:v>
      </x:c>
      <x:c r="G10" s="3" t="s">
        <x:v>304</x:v>
      </x:c>
      <x:c r="H10" s="3" t="s">
        <x:v>290</x:v>
      </x:c>
      <x:c r="I10" s="3" t="s">
        <x:v>291</x:v>
      </x:c>
      <x:c r="J10" s="3" t="s">
        <x:v>291</x:v>
      </x:c>
      <x:c r="K10" s="9"/>
      <x:c r="L10" s="9">
        <x:v>120</x:v>
      </x:c>
      <x:c r="M10" s="9"/>
      <x:c r="N10" s="3" t="s">
        <x:v>239</x:v>
      </x:c>
      <x:c r="O10" s="11"/>
      <x:c r="P10" s="11">
        <x:v>120</x:v>
      </x:c>
      <x:c r="Q10" s="11"/>
      <x:c r="R10" s="13" t="s">
        <x:v>305</x:v>
      </x:c>
      <x:c r="S10" s="9" t="s">
        <x:v>306</x:v>
      </x:c>
      <x:c r="T10" s="3" t="s">
        <x:v>307</x:v>
      </x:c>
      <x:c r="U10" s="3" t="s">
        <x:v>308</x:v>
      </x:c>
      <x:c r="V10" s="3" t="s">
        <x:v>309</x:v>
      </x:c>
      <x:c r="W10" s="9" t="s">
        <x:v>310</x:v>
      </x:c>
      <x:c r="X10" s="3" t="s">
        <x:v>311</x:v>
      </x:c>
      <x:c r="Y10" s="3" t="s">
        <x:v>312</x:v>
      </x:c>
      <x:c r="Z10" s="15" t="s">
        <x:v>61</x:v>
      </x:c>
    </x:row>
    <x:row r="11" ht="70">
      <x:c r="A11" s="3" t="s">
        <x:v>313</x:v>
      </x:c>
      <x:c r="B11" s="3" t="s">
        <x:v>314</x:v>
      </x:c>
      <x:c r="C11" s="3" t="s">
        <x:v>175</x:v>
      </x:c>
      <x:c r="D11" s="3" t="s">
        <x:v>175</x:v>
      </x:c>
      <x:c r="E11" s="3" t="s">
        <x:v>235</x:v>
      </x:c>
      <x:c r="F11" s="9" t="s">
        <x:v>315</x:v>
      </x:c>
      <x:c r="G11" s="3" t="s">
        <x:v>316</x:v>
      </x:c>
      <x:c r="H11" s="3" t="s">
        <x:v>290</x:v>
      </x:c>
      <x:c r="I11" s="3" t="s">
        <x:v>291</x:v>
      </x:c>
      <x:c r="J11" s="3" t="s">
        <x:v>291</x:v>
      </x:c>
      <x:c r="K11" s="9">
        <x:v>4635</x:v>
      </x:c>
      <x:c r="L11" s="9"/>
      <x:c r="M11" s="9">
        <x:v>4748.0487999999996</x:v>
      </x:c>
      <x:c r="N11" s="3" t="s">
        <x:v>239</x:v>
      </x:c>
      <x:c r="O11" s="11"/>
      <x:c r="P11" s="11">
        <x:v>113.0488</x:v>
      </x:c>
      <x:c r="Q11" s="11">
        <x:v>4748.0487999999996</x:v>
      </x:c>
      <x:c r="R11" s="13" t="s">
        <x:v>317</x:v>
      </x:c>
      <x:c r="S11" s="9" t="s">
        <x:v>318</x:v>
      </x:c>
      <x:c r="T11" s="3" t="s">
        <x:v>319</x:v>
      </x:c>
      <x:c r="U11" s="3" t="s">
        <x:v>320</x:v>
      </x:c>
      <x:c r="V11" s="3" t="s">
        <x:v>321</x:v>
      </x:c>
      <x:c r="W11" s="9" t="s">
        <x:v>322</x:v>
      </x:c>
      <x:c r="X11" s="3" t="s">
        <x:v>323</x:v>
      </x:c>
      <x:c r="Y11" s="3" t="s">
        <x:v>324</x:v>
      </x:c>
      <x:c r="Z11" s="15" t="s">
        <x:v>61</x:v>
      </x:c>
    </x:row>
    <x:row r="12" ht="84">
      <x:c r="A12" s="3" t="s">
        <x:v>325</x:v>
      </x:c>
      <x:c r="B12" s="3" t="s">
        <x:v>326</x:v>
      </x:c>
      <x:c r="C12" s="3" t="s">
        <x:v>181</x:v>
      </x:c>
      <x:c r="D12" s="3" t="s">
        <x:v>83</x:v>
      </x:c>
      <x:c r="E12" s="3" t="s">
        <x:v>235</x:v>
      </x:c>
      <x:c r="F12" s="9" t="s">
        <x:v>327</x:v>
      </x:c>
      <x:c r="G12" s="3" t="s">
        <x:v>328</x:v>
      </x:c>
      <x:c r="H12" s="3" t="s">
        <x:v>290</x:v>
      </x:c>
      <x:c r="I12" s="3" t="s">
        <x:v>291</x:v>
      </x:c>
      <x:c r="J12" s="3" t="s">
        <x:v>291</x:v>
      </x:c>
      <x:c r="K12" s="9">
        <x:v>4748.0487999999996</x:v>
      </x:c>
      <x:c r="L12" s="9"/>
      <x:c r="M12" s="9">
        <x:v>4883.7074000000002</x:v>
      </x:c>
      <x:c r="N12" s="3" t="s">
        <x:v>239</x:v>
      </x:c>
      <x:c r="O12" s="11"/>
      <x:c r="P12" s="11">
        <x:v>135.65860000000001</x:v>
      </x:c>
      <x:c r="Q12" s="11">
        <x:v>4883.7074000000002</x:v>
      </x:c>
      <x:c r="R12" s="13" t="s">
        <x:v>329</x:v>
      </x:c>
      <x:c r="S12" s="9" t="s">
        <x:v>330</x:v>
      </x:c>
      <x:c r="T12" s="3" t="s">
        <x:v>331</x:v>
      </x:c>
      <x:c r="U12" s="3" t="s">
        <x:v>332</x:v>
      </x:c>
      <x:c r="V12" s="3" t="s">
        <x:v>333</x:v>
      </x:c>
      <x:c r="W12" s="9" t="s">
        <x:v>334</x:v>
      </x:c>
      <x:c r="X12" s="3" t="s">
        <x:v>335</x:v>
      </x:c>
      <x:c r="Y12" s="3" t="s">
        <x:v>336</x:v>
      </x:c>
      <x:c r="Z12" s="15" t="s">
        <x:v>61</x:v>
      </x:c>
    </x:row>
  </x:sheetData>
  <x:mergeCells>
    <x:mergeCell ref="A1:Z1"/>
    <x:mergeCell ref="A2:Z2"/>
  </x:mergeCells>
  <x:conditionalFormatting sqref="Z4:Z12">
    <x:cfRule type="expression" dxfId="31" priority="1">
      <x:formula>Z4="待用户复核"</x:formula>
    </x:cfRule>
    <x:cfRule type="expression" dxfId="30" priority="2">
      <x:formula>Z4="需修改"</x:formula>
    </x:cfRule>
    <x:cfRule type="expression" dxfId="29" priority="3">
      <x:formula>Z4="已验收通过"</x:formula>
    </x:cfRule>
  </x:conditionalFormatting>
  <x:dataValidations count="3">
    <x:dataValidation type="list" sqref="Z4:Z12">
      <x:formula1>"待用户复核,待人工复核,已验收通过,需修改"</x:formula1>
    </x:dataValidation>
    <x:dataValidation type="list" sqref="E4:E12">
      <x:formula1>"现金增资,股权激励增资,资本公积转增,其他"</x:formula1>
    </x:dataValidation>
    <x:dataValidation type="list" sqref="H4:H12">
      <x:formula1>"日,月,年,日期区间,多个节点,时点"</x:formula1>
    </x:dataValidation>
  </x:dataValidations>
  <x:pageMargins left="0.7" right="0.7" top="0.75" bottom="0.75" header="0.3" footer="0.3"/>
  <x:tableParts count="1">
    <x:tablePart xmlns:r="http://schemas.openxmlformats.org/officeDocument/2006/relationships" r:id="R62958049df2047dc"/>
  </x:tableParts>
</x:worksheet>
</file>

<file path=xl/worksheets/sheet4.xml><?xml version="1.0" encoding="utf-8"?>
<x:worksheet xmlns:x="http://schemas.openxmlformats.org/spreadsheetml/2006/main">
  <x:sheetFormatPr defaultRowHeight="14"/>
  <x:cols>
    <x:col min="1" max="4" width="18" customWidth="1"/>
    <x:col min="5" max="7" width="22" customWidth="1"/>
    <x:col min="8" max="10" width="14" customWidth="1"/>
    <x:col min="11" max="23" width="15" customWidth="1"/>
    <x:col min="24" max="25" width="18" customWidth="1"/>
    <x:col min="26" max="27" width="16" customWidth="1"/>
    <x:col min="28" max="29" width="34" customWidth="1"/>
    <x:col min="30" max="30" width="22" customWidth="1"/>
  </x:cols>
  <x:sheetData>
    <x:row r="1" ht="7.75" customHeight="1">
      <x:c r="A1" s="36" t="s">
        <x:v>16</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c r="AB1" s="36"/>
      <x:c r="AC1" s="36"/>
      <x:c r="AD1" s="36"/>
    </x:row>
    <x:row r="2" ht="9.5" customHeight="1">
      <x:c r="A2" s="37" t="s">
        <x:v>337</x:v>
      </x:c>
      <x:c r="B2" s="37"/>
      <x:c r="C2" s="37"/>
      <x:c r="D2" s="37"/>
      <x:c r="E2" s="37"/>
      <x:c r="F2" s="37"/>
      <x:c r="G2" s="37"/>
      <x:c r="H2" s="37"/>
      <x:c r="I2" s="37"/>
      <x:c r="J2" s="37"/>
      <x:c r="K2" s="37"/>
      <x:c r="L2" s="37"/>
      <x:c r="M2" s="37"/>
      <x:c r="N2" s="37"/>
      <x:c r="O2" s="37"/>
      <x:c r="P2" s="37"/>
      <x:c r="Q2" s="37"/>
      <x:c r="R2" s="37"/>
      <x:c r="S2" s="37"/>
      <x:c r="T2" s="37"/>
      <x:c r="U2" s="37"/>
      <x:c r="V2" s="37"/>
      <x:c r="W2" s="37"/>
      <x:c r="X2" s="37"/>
      <x:c r="Y2" s="37"/>
      <x:c r="Z2" s="37"/>
      <x:c r="AA2" s="37"/>
      <x:c r="AB2" s="37"/>
      <x:c r="AC2" s="37"/>
      <x:c r="AD2" s="37"/>
    </x:row>
    <x:row r="3" ht="10.649999618530273" customHeight="1">
      <x:c r="A3" s="7" t="s">
        <x:v>338</x:v>
      </x:c>
      <x:c r="B3" s="7" t="s">
        <x:v>208</x:v>
      </x:c>
      <x:c r="C3" s="7" t="s">
        <x:v>210</x:v>
      </x:c>
      <x:c r="D3" s="7" t="s">
        <x:v>40</x:v>
      </x:c>
      <x:c r="E3" s="7" t="s">
        <x:v>339</x:v>
      </x:c>
      <x:c r="F3" s="7" t="s">
        <x:v>340</x:v>
      </x:c>
      <x:c r="G3" s="7" t="s">
        <x:v>341</x:v>
      </x:c>
      <x:c r="H3" s="7" t="s">
        <x:v>342</x:v>
      </x:c>
      <x:c r="I3" s="7" t="s">
        <x:v>343</x:v>
      </x:c>
      <x:c r="J3" s="7" t="s">
        <x:v>344</x:v>
      </x:c>
      <x:c r="K3" s="7" t="s">
        <x:v>345</x:v>
      </x:c>
      <x:c r="L3" s="7" t="s">
        <x:v>346</x:v>
      </x:c>
      <x:c r="M3" s="7" t="s">
        <x:v>347</x:v>
      </x:c>
      <x:c r="N3" s="7" t="s">
        <x:v>348</x:v>
      </x:c>
      <x:c r="O3" s="7" t="s">
        <x:v>349</x:v>
      </x:c>
      <x:c r="P3" s="7" t="s">
        <x:v>350</x:v>
      </x:c>
      <x:c r="Q3" s="7" t="s">
        <x:v>351</x:v>
      </x:c>
      <x:c r="R3" s="7" t="s">
        <x:v>352</x:v>
      </x:c>
      <x:c r="S3" s="7" t="s">
        <x:v>226</x:v>
      </x:c>
      <x:c r="T3" s="10" t="s">
        <x:v>353</x:v>
      </x:c>
      <x:c r="U3" s="10" t="s">
        <x:v>354</x:v>
      </x:c>
      <x:c r="V3" s="10" t="s">
        <x:v>355</x:v>
      </x:c>
      <x:c r="W3" s="10" t="s">
        <x:v>356</x:v>
      </x:c>
      <x:c r="X3" s="12" t="s">
        <x:v>225</x:v>
      </x:c>
      <x:c r="Y3" s="7" t="s">
        <x:v>48</x:v>
      </x:c>
      <x:c r="Z3" s="7" t="s">
        <x:v>227</x:v>
      </x:c>
      <x:c r="AA3" s="7" t="s">
        <x:v>228</x:v>
      </x:c>
      <x:c r="AB3" s="7" t="s">
        <x:v>230</x:v>
      </x:c>
      <x:c r="AC3" s="7" t="s">
        <x:v>49</x:v>
      </x:c>
      <x:c r="AD3" s="7" t="s">
        <x:v>50</x:v>
      </x:c>
    </x:row>
    <x:row r="4" ht="28">
      <x:c r="A4" s="3" t="s">
        <x:v>357</x:v>
      </x:c>
      <x:c r="B4" s="3" t="s">
        <x:v>231</x:v>
      </x:c>
      <x:c r="C4" s="3" t="s">
        <x:v>233</x:v>
      </x:c>
      <x:c r="D4" s="3" t="s">
        <x:v>67</x:v>
      </x:c>
      <x:c r="E4" s="3" t="s">
        <x:v>68</x:v>
      </x:c>
      <x:c r="F4" s="3" t="s">
        <x:v>68</x:v>
      </x:c>
      <x:c r="G4" s="3" t="s">
        <x:v>358</x:v>
      </x:c>
      <x:c r="H4" s="3" t="s">
        <x:v>359</x:v>
      </x:c>
      <x:c r="I4" s="9"/>
      <x:c r="J4" s="3"/>
      <x:c r="K4" s="9"/>
      <x:c r="L4" s="3"/>
      <x:c r="M4" s="9"/>
      <x:c r="N4" s="3"/>
      <x:c r="O4" s="9"/>
      <x:c r="P4" s="3"/>
      <x:c r="Q4" s="9"/>
      <x:c r="R4" s="3"/>
      <x:c r="S4" s="9" t="s">
        <x:v>360</x:v>
      </x:c>
      <x:c r="T4" s="11">
        <x:v>25</x:v>
      </x:c>
      <x:c r="U4" s="11"/>
      <x:c r="V4" s="11">
        <x:v>50</x:v>
      </x:c>
      <x:c r="W4" s="11">
        <x:v>50</x:v>
      </x:c>
      <x:c r="X4" s="13" t="s">
        <x:v>240</x:v>
      </x:c>
      <x:c r="Y4" s="3" t="s">
        <x:v>69</x:v>
      </x:c>
      <x:c r="Z4" s="3" t="s">
        <x:v>242</x:v>
      </x:c>
      <x:c r="AA4" s="3" t="s">
        <x:v>243</x:v>
      </x:c>
      <x:c r="AB4" s="3" t="s">
        <x:v>361</x:v>
      </x:c>
      <x:c r="AC4" s="3" t="s">
        <x:v>362</x:v>
      </x:c>
      <x:c r="AD4" s="15" t="s">
        <x:v>61</x:v>
      </x:c>
    </x:row>
    <x:row r="5" ht="28">
      <x:c r="A5" s="3" t="s">
        <x:v>363</x:v>
      </x:c>
      <x:c r="B5" s="3" t="s">
        <x:v>231</x:v>
      </x:c>
      <x:c r="C5" s="3" t="s">
        <x:v>233</x:v>
      </x:c>
      <x:c r="D5" s="3" t="s">
        <x:v>62</x:v>
      </x:c>
      <x:c r="E5" s="3" t="s">
        <x:v>63</x:v>
      </x:c>
      <x:c r="F5" s="3" t="s">
        <x:v>63</x:v>
      </x:c>
      <x:c r="G5" s="3" t="s">
        <x:v>364</x:v>
      </x:c>
      <x:c r="H5" s="3" t="s">
        <x:v>359</x:v>
      </x:c>
      <x:c r="I5" s="9"/>
      <x:c r="J5" s="3"/>
      <x:c r="K5" s="9"/>
      <x:c r="L5" s="3"/>
      <x:c r="M5" s="9"/>
      <x:c r="N5" s="3"/>
      <x:c r="O5" s="9"/>
      <x:c r="P5" s="3"/>
      <x:c r="Q5" s="9"/>
      <x:c r="R5" s="3"/>
      <x:c r="S5" s="9" t="s">
        <x:v>360</x:v>
      </x:c>
      <x:c r="T5" s="11">
        <x:v>25</x:v>
      </x:c>
      <x:c r="U5" s="11"/>
      <x:c r="V5" s="11">
        <x:v>50</x:v>
      </x:c>
      <x:c r="W5" s="11">
        <x:v>50</x:v>
      </x:c>
      <x:c r="X5" s="13" t="s">
        <x:v>240</x:v>
      </x:c>
      <x:c r="Y5" s="3" t="s">
        <x:v>69</x:v>
      </x:c>
      <x:c r="Z5" s="3" t="s">
        <x:v>242</x:v>
      </x:c>
      <x:c r="AA5" s="3" t="s">
        <x:v>243</x:v>
      </x:c>
      <x:c r="AB5" s="3" t="s">
        <x:v>361</x:v>
      </x:c>
      <x:c r="AC5" s="3" t="s">
        <x:v>362</x:v>
      </x:c>
      <x:c r="AD5" s="15" t="s">
        <x:v>61</x:v>
      </x:c>
    </x:row>
    <x:row r="6" ht="28">
      <x:c r="A6" s="3" t="s">
        <x:v>365</x:v>
      </x:c>
      <x:c r="B6" s="3" t="s">
        <x:v>247</x:v>
      </x:c>
      <x:c r="C6" s="3" t="s">
        <x:v>82</x:v>
      </x:c>
      <x:c r="D6" s="3" t="s">
        <x:v>78</x:v>
      </x:c>
      <x:c r="E6" s="3" t="s">
        <x:v>79</x:v>
      </x:c>
      <x:c r="F6" s="3" t="s">
        <x:v>80</x:v>
      </x:c>
      <x:c r="G6" s="3" t="s">
        <x:v>366</x:v>
      </x:c>
      <x:c r="H6" s="3" t="s">
        <x:v>367</x:v>
      </x:c>
      <x:c r="I6" s="9"/>
      <x:c r="J6" s="3"/>
      <x:c r="K6" s="9"/>
      <x:c r="L6" s="3"/>
      <x:c r="M6" s="9"/>
      <x:c r="N6" s="3"/>
      <x:c r="O6" s="9"/>
      <x:c r="P6" s="3"/>
      <x:c r="Q6" s="9"/>
      <x:c r="R6" s="3"/>
      <x:c r="S6" s="9" t="s">
        <x:v>368</x:v>
      </x:c>
      <x:c r="T6" s="11"/>
      <x:c r="U6" s="11"/>
      <x:c r="V6" s="11"/>
      <x:c r="W6" s="11"/>
      <x:c r="X6" s="13"/>
      <x:c r="Y6" s="3" t="s">
        <x:v>84</x:v>
      </x:c>
      <x:c r="Z6" s="3" t="s">
        <x:v>242</x:v>
      </x:c>
      <x:c r="AA6" s="3" t="s">
        <x:v>243</x:v>
      </x:c>
      <x:c r="AB6" s="3" t="s">
        <x:v>369</x:v>
      </x:c>
      <x:c r="AC6" s="3" t="s">
        <x:v>370</x:v>
      </x:c>
      <x:c r="AD6" s="15" t="s">
        <x:v>61</x:v>
      </x:c>
    </x:row>
    <x:row r="7" ht="28">
      <x:c r="A7" s="3" t="s">
        <x:v>371</x:v>
      </x:c>
      <x:c r="B7" s="3" t="s">
        <x:v>247</x:v>
      </x:c>
      <x:c r="C7" s="3" t="s">
        <x:v>82</x:v>
      </x:c>
      <x:c r="D7" s="3" t="s">
        <x:v>85</x:v>
      </x:c>
      <x:c r="E7" s="3" t="s">
        <x:v>86</x:v>
      </x:c>
      <x:c r="F7" s="3" t="s">
        <x:v>87</x:v>
      </x:c>
      <x:c r="G7" s="3" t="s">
        <x:v>366</x:v>
      </x:c>
      <x:c r="H7" s="3" t="s">
        <x:v>367</x:v>
      </x:c>
      <x:c r="I7" s="9"/>
      <x:c r="J7" s="3"/>
      <x:c r="K7" s="9"/>
      <x:c r="L7" s="3"/>
      <x:c r="M7" s="9"/>
      <x:c r="N7" s="3"/>
      <x:c r="O7" s="9"/>
      <x:c r="P7" s="3"/>
      <x:c r="Q7" s="9"/>
      <x:c r="R7" s="3"/>
      <x:c r="S7" s="9" t="s">
        <x:v>368</x:v>
      </x:c>
      <x:c r="T7" s="11"/>
      <x:c r="U7" s="11"/>
      <x:c r="V7" s="11"/>
      <x:c r="W7" s="11"/>
      <x:c r="X7" s="13"/>
      <x:c r="Y7" s="3" t="s">
        <x:v>84</x:v>
      </x:c>
      <x:c r="Z7" s="3" t="s">
        <x:v>242</x:v>
      </x:c>
      <x:c r="AA7" s="3" t="s">
        <x:v>243</x:v>
      </x:c>
      <x:c r="AB7" s="3" t="s">
        <x:v>369</x:v>
      </x:c>
      <x:c r="AC7" s="3" t="s">
        <x:v>370</x:v>
      </x:c>
      <x:c r="AD7" s="15" t="s">
        <x:v>61</x:v>
      </x:c>
    </x:row>
    <x:row r="8" ht="28">
      <x:c r="A8" s="3" t="s">
        <x:v>372</x:v>
      </x:c>
      <x:c r="B8" s="3" t="s">
        <x:v>247</x:v>
      </x:c>
      <x:c r="C8" s="3" t="s">
        <x:v>82</x:v>
      </x:c>
      <x:c r="D8" s="3" t="s">
        <x:v>89</x:v>
      </x:c>
      <x:c r="E8" s="3" t="s">
        <x:v>90</x:v>
      </x:c>
      <x:c r="F8" s="3" t="s">
        <x:v>91</x:v>
      </x:c>
      <x:c r="G8" s="3" t="s">
        <x:v>366</x:v>
      </x:c>
      <x:c r="H8" s="3" t="s">
        <x:v>367</x:v>
      </x:c>
      <x:c r="I8" s="9"/>
      <x:c r="J8" s="3"/>
      <x:c r="K8" s="9"/>
      <x:c r="L8" s="3"/>
      <x:c r="M8" s="9"/>
      <x:c r="N8" s="3"/>
      <x:c r="O8" s="9"/>
      <x:c r="P8" s="3"/>
      <x:c r="Q8" s="9"/>
      <x:c r="R8" s="3"/>
      <x:c r="S8" s="9" t="s">
        <x:v>368</x:v>
      </x:c>
      <x:c r="T8" s="11"/>
      <x:c r="U8" s="11"/>
      <x:c r="V8" s="11"/>
      <x:c r="W8" s="11"/>
      <x:c r="X8" s="13"/>
      <x:c r="Y8" s="3" t="s">
        <x:v>84</x:v>
      </x:c>
      <x:c r="Z8" s="3" t="s">
        <x:v>242</x:v>
      </x:c>
      <x:c r="AA8" s="3" t="s">
        <x:v>243</x:v>
      </x:c>
      <x:c r="AB8" s="3" t="s">
        <x:v>369</x:v>
      </x:c>
      <x:c r="AC8" s="3" t="s">
        <x:v>370</x:v>
      </x:c>
      <x:c r="AD8" s="15" t="s">
        <x:v>61</x:v>
      </x:c>
    </x:row>
    <x:row r="9" ht="28">
      <x:c r="A9" s="3" t="s">
        <x:v>373</x:v>
      </x:c>
      <x:c r="B9" s="3" t="s">
        <x:v>255</x:v>
      </x:c>
      <x:c r="C9" s="3" t="s">
        <x:v>257</x:v>
      </x:c>
      <x:c r="D9" s="3" t="s">
        <x:v>78</x:v>
      </x:c>
      <x:c r="E9" s="3" t="s">
        <x:v>79</x:v>
      </x:c>
      <x:c r="F9" s="3" t="s">
        <x:v>80</x:v>
      </x:c>
      <x:c r="G9" s="3" t="s">
        <x:v>374</x:v>
      </x:c>
      <x:c r="H9" s="3" t="s">
        <x:v>375</x:v>
      </x:c>
      <x:c r="I9" s="9"/>
      <x:c r="J9" s="3"/>
      <x:c r="K9" s="9"/>
      <x:c r="L9" s="3"/>
      <x:c r="M9" s="9"/>
      <x:c r="N9" s="3"/>
      <x:c r="O9" s="9"/>
      <x:c r="P9" s="3"/>
      <x:c r="Q9" s="9"/>
      <x:c r="R9" s="3"/>
      <x:c r="S9" s="9" t="s">
        <x:v>376</x:v>
      </x:c>
      <x:c r="T9" s="11"/>
      <x:c r="U9" s="11"/>
      <x:c r="V9" s="11"/>
      <x:c r="W9" s="11"/>
      <x:c r="X9" s="13"/>
      <x:c r="Y9" s="3" t="s">
        <x:v>377</x:v>
      </x:c>
      <x:c r="Z9" s="3" t="s">
        <x:v>242</x:v>
      </x:c>
      <x:c r="AA9" s="3" t="s">
        <x:v>243</x:v>
      </x:c>
      <x:c r="AB9" s="3" t="s">
        <x:v>369</x:v>
      </x:c>
      <x:c r="AC9" s="3" t="s">
        <x:v>378</x:v>
      </x:c>
      <x:c r="AD9" s="15" t="s">
        <x:v>61</x:v>
      </x:c>
    </x:row>
    <x:row r="10" ht="28">
      <x:c r="A10" s="3" t="s">
        <x:v>379</x:v>
      </x:c>
      <x:c r="B10" s="3" t="s">
        <x:v>255</x:v>
      </x:c>
      <x:c r="C10" s="3" t="s">
        <x:v>257</x:v>
      </x:c>
      <x:c r="D10" s="3" t="s">
        <x:v>85</x:v>
      </x:c>
      <x:c r="E10" s="3" t="s">
        <x:v>86</x:v>
      </x:c>
      <x:c r="F10" s="3" t="s">
        <x:v>87</x:v>
      </x:c>
      <x:c r="G10" s="3" t="s">
        <x:v>374</x:v>
      </x:c>
      <x:c r="H10" s="3" t="s">
        <x:v>375</x:v>
      </x:c>
      <x:c r="I10" s="9"/>
      <x:c r="J10" s="3"/>
      <x:c r="K10" s="9"/>
      <x:c r="L10" s="3"/>
      <x:c r="M10" s="9"/>
      <x:c r="N10" s="3"/>
      <x:c r="O10" s="9"/>
      <x:c r="P10" s="3"/>
      <x:c r="Q10" s="9"/>
      <x:c r="R10" s="3"/>
      <x:c r="S10" s="9" t="s">
        <x:v>376</x:v>
      </x:c>
      <x:c r="T10" s="11"/>
      <x:c r="U10" s="11"/>
      <x:c r="V10" s="11"/>
      <x:c r="W10" s="11"/>
      <x:c r="X10" s="13"/>
      <x:c r="Y10" s="3" t="s">
        <x:v>377</x:v>
      </x:c>
      <x:c r="Z10" s="3" t="s">
        <x:v>242</x:v>
      </x:c>
      <x:c r="AA10" s="3" t="s">
        <x:v>243</x:v>
      </x:c>
      <x:c r="AB10" s="3" t="s">
        <x:v>369</x:v>
      </x:c>
      <x:c r="AC10" s="3" t="s">
        <x:v>378</x:v>
      </x:c>
      <x:c r="AD10" s="15" t="s">
        <x:v>61</x:v>
      </x:c>
    </x:row>
    <x:row r="11" ht="28">
      <x:c r="A11" s="3" t="s">
        <x:v>380</x:v>
      </x:c>
      <x:c r="B11" s="3" t="s">
        <x:v>255</x:v>
      </x:c>
      <x:c r="C11" s="3" t="s">
        <x:v>257</x:v>
      </x:c>
      <x:c r="D11" s="3" t="s">
        <x:v>89</x:v>
      </x:c>
      <x:c r="E11" s="3" t="s">
        <x:v>90</x:v>
      </x:c>
      <x:c r="F11" s="3" t="s">
        <x:v>91</x:v>
      </x:c>
      <x:c r="G11" s="3" t="s">
        <x:v>374</x:v>
      </x:c>
      <x:c r="H11" s="3" t="s">
        <x:v>375</x:v>
      </x:c>
      <x:c r="I11" s="9"/>
      <x:c r="J11" s="3"/>
      <x:c r="K11" s="9"/>
      <x:c r="L11" s="3"/>
      <x:c r="M11" s="9"/>
      <x:c r="N11" s="3"/>
      <x:c r="O11" s="9"/>
      <x:c r="P11" s="3"/>
      <x:c r="Q11" s="9"/>
      <x:c r="R11" s="3"/>
      <x:c r="S11" s="9" t="s">
        <x:v>376</x:v>
      </x:c>
      <x:c r="T11" s="11"/>
      <x:c r="U11" s="11"/>
      <x:c r="V11" s="11"/>
      <x:c r="W11" s="11"/>
      <x:c r="X11" s="13"/>
      <x:c r="Y11" s="3" t="s">
        <x:v>377</x:v>
      </x:c>
      <x:c r="Z11" s="3" t="s">
        <x:v>242</x:v>
      </x:c>
      <x:c r="AA11" s="3" t="s">
        <x:v>243</x:v>
      </x:c>
      <x:c r="AB11" s="3" t="s">
        <x:v>369</x:v>
      </x:c>
      <x:c r="AC11" s="3" t="s">
        <x:v>378</x:v>
      </x:c>
      <x:c r="AD11" s="15" t="s">
        <x:v>61</x:v>
      </x:c>
    </x:row>
    <x:row r="12" ht="28">
      <x:c r="A12" s="3" t="s">
        <x:v>381</x:v>
      </x:c>
      <x:c r="B12" s="3" t="s">
        <x:v>265</x:v>
      </x:c>
      <x:c r="C12" s="3" t="s">
        <x:v>267</x:v>
      </x:c>
      <x:c r="D12" s="3"/>
      <x:c r="E12" s="3" t="s">
        <x:v>382</x:v>
      </x:c>
      <x:c r="F12" s="3" t="s">
        <x:v>382</x:v>
      </x:c>
      <x:c r="G12" s="3" t="s">
        <x:v>383</x:v>
      </x:c>
      <x:c r="H12" s="3" t="s">
        <x:v>384</x:v>
      </x:c>
      <x:c r="I12" s="9"/>
      <x:c r="J12" s="3"/>
      <x:c r="K12" s="9"/>
      <x:c r="L12" s="3"/>
      <x:c r="M12" s="9"/>
      <x:c r="N12" s="3"/>
      <x:c r="O12" s="9"/>
      <x:c r="P12" s="3"/>
      <x:c r="Q12" s="9"/>
      <x:c r="R12" s="3"/>
      <x:c r="S12" s="9" t="s">
        <x:v>271</x:v>
      </x:c>
      <x:c r="T12" s="11"/>
      <x:c r="U12" s="11"/>
      <x:c r="V12" s="11"/>
      <x:c r="W12" s="11"/>
      <x:c r="X12" s="13"/>
      <x:c r="Y12" s="3" t="s">
        <x:v>385</x:v>
      </x:c>
      <x:c r="Z12" s="3" t="s">
        <x:v>242</x:v>
      </x:c>
      <x:c r="AA12" s="3" t="s">
        <x:v>243</x:v>
      </x:c>
      <x:c r="AB12" s="3" t="s">
        <x:v>386</x:v>
      </x:c>
      <x:c r="AC12" s="3" t="s">
        <x:v>387</x:v>
      </x:c>
      <x:c r="AD12" s="15" t="s">
        <x:v>61</x:v>
      </x:c>
    </x:row>
    <x:row r="13" ht="28">
      <x:c r="A13" s="3" t="s">
        <x:v>388</x:v>
      </x:c>
      <x:c r="B13" s="3" t="s">
        <x:v>276</x:v>
      </x:c>
      <x:c r="C13" s="3" t="s">
        <x:v>97</x:v>
      </x:c>
      <x:c r="D13" s="3" t="s">
        <x:v>93</x:v>
      </x:c>
      <x:c r="E13" s="3" t="s">
        <x:v>94</x:v>
      </x:c>
      <x:c r="F13" s="3" t="s">
        <x:v>95</x:v>
      </x:c>
      <x:c r="G13" s="3" t="s">
        <x:v>366</x:v>
      </x:c>
      <x:c r="H13" s="3" t="s">
        <x:v>367</x:v>
      </x:c>
      <x:c r="I13" s="9"/>
      <x:c r="J13" s="3"/>
      <x:c r="K13" s="9"/>
      <x:c r="L13" s="3"/>
      <x:c r="M13" s="9"/>
      <x:c r="N13" s="3"/>
      <x:c r="O13" s="9"/>
      <x:c r="P13" s="3"/>
      <x:c r="Q13" s="9"/>
      <x:c r="R13" s="3"/>
      <x:c r="S13" s="9" t="s">
        <x:v>389</x:v>
      </x:c>
      <x:c r="T13" s="11"/>
      <x:c r="U13" s="11"/>
      <x:c r="V13" s="11"/>
      <x:c r="W13" s="11"/>
      <x:c r="X13" s="13"/>
      <x:c r="Y13" s="3" t="s">
        <x:v>98</x:v>
      </x:c>
      <x:c r="Z13" s="3" t="s">
        <x:v>281</x:v>
      </x:c>
      <x:c r="AA13" s="3" t="s">
        <x:v>242</x:v>
      </x:c>
      <x:c r="AB13" s="3" t="s">
        <x:v>369</x:v>
      </x:c>
      <x:c r="AC13" s="3" t="s">
        <x:v>390</x:v>
      </x:c>
      <x:c r="AD13" s="15" t="s">
        <x:v>61</x:v>
      </x:c>
    </x:row>
    <x:row r="14" ht="28">
      <x:c r="A14" s="3" t="s">
        <x:v>391</x:v>
      </x:c>
      <x:c r="B14" s="3" t="s">
        <x:v>276</x:v>
      </x:c>
      <x:c r="C14" s="3" t="s">
        <x:v>97</x:v>
      </x:c>
      <x:c r="D14" s="3" t="s">
        <x:v>99</x:v>
      </x:c>
      <x:c r="E14" s="3" t="s">
        <x:v>100</x:v>
      </x:c>
      <x:c r="F14" s="3" t="s">
        <x:v>101</x:v>
      </x:c>
      <x:c r="G14" s="3" t="s">
        <x:v>366</x:v>
      </x:c>
      <x:c r="H14" s="3" t="s">
        <x:v>367</x:v>
      </x:c>
      <x:c r="I14" s="9"/>
      <x:c r="J14" s="3"/>
      <x:c r="K14" s="9"/>
      <x:c r="L14" s="3"/>
      <x:c r="M14" s="9"/>
      <x:c r="N14" s="3"/>
      <x:c r="O14" s="9"/>
      <x:c r="P14" s="3"/>
      <x:c r="Q14" s="9"/>
      <x:c r="R14" s="3"/>
      <x:c r="S14" s="9" t="s">
        <x:v>389</x:v>
      </x:c>
      <x:c r="T14" s="11"/>
      <x:c r="U14" s="11"/>
      <x:c r="V14" s="11"/>
      <x:c r="W14" s="11"/>
      <x:c r="X14" s="13"/>
      <x:c r="Y14" s="3" t="s">
        <x:v>98</x:v>
      </x:c>
      <x:c r="Z14" s="3" t="s">
        <x:v>281</x:v>
      </x:c>
      <x:c r="AA14" s="3" t="s">
        <x:v>242</x:v>
      </x:c>
      <x:c r="AB14" s="3" t="s">
        <x:v>369</x:v>
      </x:c>
      <x:c r="AC14" s="3" t="s">
        <x:v>390</x:v>
      </x:c>
      <x:c r="AD14" s="15" t="s">
        <x:v>61</x:v>
      </x:c>
    </x:row>
    <x:row r="15" ht="28">
      <x:c r="A15" s="3" t="s">
        <x:v>392</x:v>
      </x:c>
      <x:c r="B15" s="3" t="s">
        <x:v>276</x:v>
      </x:c>
      <x:c r="C15" s="3" t="s">
        <x:v>97</x:v>
      </x:c>
      <x:c r="D15" s="3" t="s">
        <x:v>105</x:v>
      </x:c>
      <x:c r="E15" s="3" t="s">
        <x:v>106</x:v>
      </x:c>
      <x:c r="F15" s="3" t="s">
        <x:v>107</x:v>
      </x:c>
      <x:c r="G15" s="3" t="s">
        <x:v>366</x:v>
      </x:c>
      <x:c r="H15" s="3" t="s">
        <x:v>367</x:v>
      </x:c>
      <x:c r="I15" s="9"/>
      <x:c r="J15" s="3"/>
      <x:c r="K15" s="9"/>
      <x:c r="L15" s="3"/>
      <x:c r="M15" s="9"/>
      <x:c r="N15" s="3"/>
      <x:c r="O15" s="9"/>
      <x:c r="P15" s="3"/>
      <x:c r="Q15" s="9"/>
      <x:c r="R15" s="3"/>
      <x:c r="S15" s="9" t="s">
        <x:v>389</x:v>
      </x:c>
      <x:c r="T15" s="11"/>
      <x:c r="U15" s="11"/>
      <x:c r="V15" s="11"/>
      <x:c r="W15" s="11"/>
      <x:c r="X15" s="13"/>
      <x:c r="Y15" s="3" t="s">
        <x:v>98</x:v>
      </x:c>
      <x:c r="Z15" s="3" t="s">
        <x:v>281</x:v>
      </x:c>
      <x:c r="AA15" s="3" t="s">
        <x:v>242</x:v>
      </x:c>
      <x:c r="AB15" s="3" t="s">
        <x:v>369</x:v>
      </x:c>
      <x:c r="AC15" s="3" t="s">
        <x:v>390</x:v>
      </x:c>
      <x:c r="AD15" s="15" t="s">
        <x:v>61</x:v>
      </x:c>
    </x:row>
    <x:row r="16" ht="28">
      <x:c r="A16" s="3" t="s">
        <x:v>393</x:v>
      </x:c>
      <x:c r="B16" s="3" t="s">
        <x:v>276</x:v>
      </x:c>
      <x:c r="C16" s="3" t="s">
        <x:v>97</x:v>
      </x:c>
      <x:c r="D16" s="3" t="s">
        <x:v>109</x:v>
      </x:c>
      <x:c r="E16" s="3" t="s">
        <x:v>110</x:v>
      </x:c>
      <x:c r="F16" s="3" t="s">
        <x:v>111</x:v>
      </x:c>
      <x:c r="G16" s="3" t="s">
        <x:v>366</x:v>
      </x:c>
      <x:c r="H16" s="3" t="s">
        <x:v>367</x:v>
      </x:c>
      <x:c r="I16" s="9"/>
      <x:c r="J16" s="3"/>
      <x:c r="K16" s="9"/>
      <x:c r="L16" s="3"/>
      <x:c r="M16" s="9"/>
      <x:c r="N16" s="3"/>
      <x:c r="O16" s="9"/>
      <x:c r="P16" s="3"/>
      <x:c r="Q16" s="9"/>
      <x:c r="R16" s="3"/>
      <x:c r="S16" s="9" t="s">
        <x:v>389</x:v>
      </x:c>
      <x:c r="T16" s="11"/>
      <x:c r="U16" s="11"/>
      <x:c r="V16" s="11"/>
      <x:c r="W16" s="11"/>
      <x:c r="X16" s="13"/>
      <x:c r="Y16" s="3" t="s">
        <x:v>98</x:v>
      </x:c>
      <x:c r="Z16" s="3" t="s">
        <x:v>281</x:v>
      </x:c>
      <x:c r="AA16" s="3" t="s">
        <x:v>242</x:v>
      </x:c>
      <x:c r="AB16" s="3" t="s">
        <x:v>369</x:v>
      </x:c>
      <x:c r="AC16" s="3" t="s">
        <x:v>390</x:v>
      </x:c>
      <x:c r="AD16" s="15" t="s">
        <x:v>61</x:v>
      </x:c>
    </x:row>
    <x:row r="17" ht="42">
      <x:c r="A17" s="3" t="s">
        <x:v>394</x:v>
      </x:c>
      <x:c r="B17" s="3" t="s">
        <x:v>276</x:v>
      </x:c>
      <x:c r="C17" s="3" t="s">
        <x:v>97</x:v>
      </x:c>
      <x:c r="D17" s="3" t="s">
        <x:v>113</x:v>
      </x:c>
      <x:c r="E17" s="3" t="s">
        <x:v>114</x:v>
      </x:c>
      <x:c r="F17" s="3" t="s">
        <x:v>115</x:v>
      </x:c>
      <x:c r="G17" s="3" t="s">
        <x:v>366</x:v>
      </x:c>
      <x:c r="H17" s="3" t="s">
        <x:v>367</x:v>
      </x:c>
      <x:c r="I17" s="9"/>
      <x:c r="J17" s="3"/>
      <x:c r="K17" s="9"/>
      <x:c r="L17" s="3"/>
      <x:c r="M17" s="9"/>
      <x:c r="N17" s="3"/>
      <x:c r="O17" s="9"/>
      <x:c r="P17" s="3"/>
      <x:c r="Q17" s="9"/>
      <x:c r="R17" s="3"/>
      <x:c r="S17" s="9" t="s">
        <x:v>389</x:v>
      </x:c>
      <x:c r="T17" s="11"/>
      <x:c r="U17" s="11"/>
      <x:c r="V17" s="11"/>
      <x:c r="W17" s="11"/>
      <x:c r="X17" s="13"/>
      <x:c r="Y17" s="3" t="s">
        <x:v>98</x:v>
      </x:c>
      <x:c r="Z17" s="3" t="s">
        <x:v>281</x:v>
      </x:c>
      <x:c r="AA17" s="3" t="s">
        <x:v>242</x:v>
      </x:c>
      <x:c r="AB17" s="3" t="s">
        <x:v>369</x:v>
      </x:c>
      <x:c r="AC17" s="3" t="s">
        <x:v>390</x:v>
      </x:c>
      <x:c r="AD17" s="15" t="s">
        <x:v>61</x:v>
      </x:c>
    </x:row>
    <x:row r="18" ht="28">
      <x:c r="A18" s="3" t="s">
        <x:v>395</x:v>
      </x:c>
      <x:c r="B18" s="3" t="s">
        <x:v>276</x:v>
      </x:c>
      <x:c r="C18" s="3" t="s">
        <x:v>97</x:v>
      </x:c>
      <x:c r="D18" s="3" t="s">
        <x:v>89</x:v>
      </x:c>
      <x:c r="E18" s="3" t="s">
        <x:v>90</x:v>
      </x:c>
      <x:c r="F18" s="3" t="s">
        <x:v>91</x:v>
      </x:c>
      <x:c r="G18" s="3" t="s">
        <x:v>374</x:v>
      </x:c>
      <x:c r="H18" s="3" t="s">
        <x:v>375</x:v>
      </x:c>
      <x:c r="I18" s="9"/>
      <x:c r="J18" s="3"/>
      <x:c r="K18" s="9"/>
      <x:c r="L18" s="3"/>
      <x:c r="M18" s="9"/>
      <x:c r="N18" s="3"/>
      <x:c r="O18" s="9"/>
      <x:c r="P18" s="3"/>
      <x:c r="Q18" s="9"/>
      <x:c r="R18" s="3"/>
      <x:c r="S18" s="9" t="s">
        <x:v>389</x:v>
      </x:c>
      <x:c r="T18" s="11"/>
      <x:c r="U18" s="11"/>
      <x:c r="V18" s="11"/>
      <x:c r="W18" s="11"/>
      <x:c r="X18" s="13"/>
      <x:c r="Y18" s="3" t="s">
        <x:v>98</x:v>
      </x:c>
      <x:c r="Z18" s="3" t="s">
        <x:v>281</x:v>
      </x:c>
      <x:c r="AA18" s="3" t="s">
        <x:v>242</x:v>
      </x:c>
      <x:c r="AB18" s="3" t="s">
        <x:v>369</x:v>
      </x:c>
      <x:c r="AC18" s="3" t="s">
        <x:v>396</x:v>
      </x:c>
      <x:c r="AD18" s="15" t="s">
        <x:v>61</x:v>
      </x:c>
    </x:row>
    <x:row r="19" ht="56">
      <x:c r="A19" s="3" t="s">
        <x:v>397</x:v>
      </x:c>
      <x:c r="B19" s="3" t="s">
        <x:v>285</x:v>
      </x:c>
      <x:c r="C19" s="3" t="s">
        <x:v>126</x:v>
      </x:c>
      <x:c r="D19" s="3" t="s">
        <x:v>122</x:v>
      </x:c>
      <x:c r="E19" s="3" t="s">
        <x:v>123</x:v>
      </x:c>
      <x:c r="F19" s="3" t="s">
        <x:v>124</x:v>
      </x:c>
      <x:c r="G19" s="3" t="s">
        <x:v>366</x:v>
      </x:c>
      <x:c r="H19" s="3" t="s">
        <x:v>367</x:v>
      </x:c>
      <x:c r="I19" s="9">
        <x:v>7412</x:v>
      </x:c>
      <x:c r="J19" s="3" t="s">
        <x:v>239</x:v>
      </x:c>
      <x:c r="K19" s="9">
        <x:v>254.4787</x:v>
      </x:c>
      <x:c r="L19" s="3" t="s">
        <x:v>239</x:v>
      </x:c>
      <x:c r="M19" s="9"/>
      <x:c r="N19" s="3"/>
      <x:c r="O19" s="9">
        <x:v>29.13</x:v>
      </x:c>
      <x:c r="P19" s="3" t="s">
        <x:v>398</x:v>
      </x:c>
      <x:c r="Q19" s="9">
        <x:v>13.5</x:v>
      </x:c>
      <x:c r="R19" s="3" t="s">
        <x:v>399</x:v>
      </x:c>
      <x:c r="S19" s="9" t="s">
        <x:v>400</x:v>
      </x:c>
      <x:c r="T19" s="11"/>
      <x:c r="U19" s="11">
        <x:v>2544787</x:v>
      </x:c>
      <x:c r="V19" s="11"/>
      <x:c r="W19" s="11"/>
      <x:c r="X19" s="13" t="s">
        <x:v>292</x:v>
      </x:c>
      <x:c r="Y19" s="3" t="s">
        <x:v>401</x:v>
      </x:c>
      <x:c r="Z19" s="3" t="s">
        <x:v>402</x:v>
      </x:c>
      <x:c r="AA19" s="3" t="s">
        <x:v>403</x:v>
      </x:c>
      <x:c r="AB19" s="3" t="s">
        <x:v>404</x:v>
      </x:c>
      <x:c r="AC19" s="3" t="s">
        <x:v>405</x:v>
      </x:c>
      <x:c r="AD19" s="15" t="s">
        <x:v>61</x:v>
      </x:c>
    </x:row>
    <x:row r="20" ht="56">
      <x:c r="A20" s="3" t="s">
        <x:v>406</x:v>
      </x:c>
      <x:c r="B20" s="3" t="s">
        <x:v>285</x:v>
      </x:c>
      <x:c r="C20" s="3" t="s">
        <x:v>126</x:v>
      </x:c>
      <x:c r="D20" s="3" t="s">
        <x:v>128</x:v>
      </x:c>
      <x:c r="E20" s="3" t="s">
        <x:v>129</x:v>
      </x:c>
      <x:c r="F20" s="3" t="s">
        <x:v>130</x:v>
      </x:c>
      <x:c r="G20" s="3" t="s">
        <x:v>366</x:v>
      </x:c>
      <x:c r="H20" s="3" t="s">
        <x:v>367</x:v>
      </x:c>
      <x:c r="I20" s="9">
        <x:v>1800</x:v>
      </x:c>
      <x:c r="J20" s="3" t="s">
        <x:v>407</x:v>
      </x:c>
      <x:c r="K20" s="9">
        <x:v>61.8</x:v>
      </x:c>
      <x:c r="L20" s="3" t="s">
        <x:v>239</x:v>
      </x:c>
      <x:c r="M20" s="9"/>
      <x:c r="N20" s="3"/>
      <x:c r="O20" s="9">
        <x:v>29.13</x:v>
      </x:c>
      <x:c r="P20" s="3" t="s">
        <x:v>398</x:v>
      </x:c>
      <x:c r="Q20" s="9">
        <x:v>13.5</x:v>
      </x:c>
      <x:c r="R20" s="3" t="s">
        <x:v>399</x:v>
      </x:c>
      <x:c r="S20" s="9" t="s">
        <x:v>408</x:v>
      </x:c>
      <x:c r="T20" s="11"/>
      <x:c r="U20" s="11">
        <x:v>618000</x:v>
      </x:c>
      <x:c r="V20" s="11"/>
      <x:c r="W20" s="11"/>
      <x:c r="X20" s="13" t="s">
        <x:v>292</x:v>
      </x:c>
      <x:c r="Y20" s="3" t="s">
        <x:v>401</x:v>
      </x:c>
      <x:c r="Z20" s="3" t="s">
        <x:v>402</x:v>
      </x:c>
      <x:c r="AA20" s="3" t="s">
        <x:v>403</x:v>
      </x:c>
      <x:c r="AB20" s="3" t="s">
        <x:v>404</x:v>
      </x:c>
      <x:c r="AC20" s="3" t="s">
        <x:v>405</x:v>
      </x:c>
      <x:c r="AD20" s="15" t="s">
        <x:v>61</x:v>
      </x:c>
    </x:row>
    <x:row r="21" ht="56">
      <x:c r="A21" s="3" t="s">
        <x:v>409</x:v>
      </x:c>
      <x:c r="B21" s="3" t="s">
        <x:v>285</x:v>
      </x:c>
      <x:c r="C21" s="3" t="s">
        <x:v>126</x:v>
      </x:c>
      <x:c r="D21" s="3" t="s">
        <x:v>132</x:v>
      </x:c>
      <x:c r="E21" s="3" t="s">
        <x:v>133</x:v>
      </x:c>
      <x:c r="F21" s="3" t="s">
        <x:v>134</x:v>
      </x:c>
      <x:c r="G21" s="3" t="s">
        <x:v>366</x:v>
      </x:c>
      <x:c r="H21" s="3" t="s">
        <x:v>367</x:v>
      </x:c>
      <x:c r="I21" s="9">
        <x:v>1584</x:v>
      </x:c>
      <x:c r="J21" s="3" t="s">
        <x:v>239</x:v>
      </x:c>
      <x:c r="K21" s="9">
        <x:v>54.384</x:v>
      </x:c>
      <x:c r="L21" s="3" t="s">
        <x:v>239</x:v>
      </x:c>
      <x:c r="M21" s="9"/>
      <x:c r="N21" s="3"/>
      <x:c r="O21" s="9">
        <x:v>29.13</x:v>
      </x:c>
      <x:c r="P21" s="3" t="s">
        <x:v>398</x:v>
      </x:c>
      <x:c r="Q21" s="9">
        <x:v>13.5</x:v>
      </x:c>
      <x:c r="R21" s="3" t="s">
        <x:v>399</x:v>
      </x:c>
      <x:c r="S21" s="9" t="s">
        <x:v>410</x:v>
      </x:c>
      <x:c r="T21" s="11"/>
      <x:c r="U21" s="11">
        <x:v>543840</x:v>
      </x:c>
      <x:c r="V21" s="11"/>
      <x:c r="W21" s="11"/>
      <x:c r="X21" s="13" t="s">
        <x:v>292</x:v>
      </x:c>
      <x:c r="Y21" s="3" t="s">
        <x:v>401</x:v>
      </x:c>
      <x:c r="Z21" s="3" t="s">
        <x:v>402</x:v>
      </x:c>
      <x:c r="AA21" s="3" t="s">
        <x:v>403</x:v>
      </x:c>
      <x:c r="AB21" s="3" t="s">
        <x:v>404</x:v>
      </x:c>
      <x:c r="AC21" s="3" t="s">
        <x:v>405</x:v>
      </x:c>
      <x:c r="AD21" s="15" t="s">
        <x:v>61</x:v>
      </x:c>
    </x:row>
    <x:row r="22" ht="56">
      <x:c r="A22" s="3" t="s">
        <x:v>411</x:v>
      </x:c>
      <x:c r="B22" s="3" t="s">
        <x:v>285</x:v>
      </x:c>
      <x:c r="C22" s="3" t="s">
        <x:v>126</x:v>
      </x:c>
      <x:c r="D22" s="3" t="s">
        <x:v>136</x:v>
      </x:c>
      <x:c r="E22" s="3" t="s">
        <x:v>137</x:v>
      </x:c>
      <x:c r="F22" s="3" t="s">
        <x:v>137</x:v>
      </x:c>
      <x:c r="G22" s="3" t="s">
        <x:v>366</x:v>
      </x:c>
      <x:c r="H22" s="3" t="s">
        <x:v>367</x:v>
      </x:c>
      <x:c r="I22" s="9">
        <x:v>204</x:v>
      </x:c>
      <x:c r="J22" s="3" t="s">
        <x:v>239</x:v>
      </x:c>
      <x:c r="K22" s="9">
        <x:v>7.0039999999999996</x:v>
      </x:c>
      <x:c r="L22" s="3" t="s">
        <x:v>239</x:v>
      </x:c>
      <x:c r="M22" s="9"/>
      <x:c r="N22" s="3"/>
      <x:c r="O22" s="9">
        <x:v>29.13</x:v>
      </x:c>
      <x:c r="P22" s="3" t="s">
        <x:v>398</x:v>
      </x:c>
      <x:c r="Q22" s="9">
        <x:v>13.5</x:v>
      </x:c>
      <x:c r="R22" s="3" t="s">
        <x:v>399</x:v>
      </x:c>
      <x:c r="S22" s="9" t="s">
        <x:v>412</x:v>
      </x:c>
      <x:c r="T22" s="11"/>
      <x:c r="U22" s="11">
        <x:v>70040</x:v>
      </x:c>
      <x:c r="V22" s="11"/>
      <x:c r="W22" s="11"/>
      <x:c r="X22" s="13" t="s">
        <x:v>292</x:v>
      </x:c>
      <x:c r="Y22" s="3" t="s">
        <x:v>401</x:v>
      </x:c>
      <x:c r="Z22" s="3" t="s">
        <x:v>402</x:v>
      </x:c>
      <x:c r="AA22" s="3" t="s">
        <x:v>403</x:v>
      </x:c>
      <x:c r="AB22" s="3" t="s">
        <x:v>404</x:v>
      </x:c>
      <x:c r="AC22" s="3" t="s">
        <x:v>405</x:v>
      </x:c>
      <x:c r="AD22" s="15" t="s">
        <x:v>61</x:v>
      </x:c>
    </x:row>
    <x:row r="23" ht="56">
      <x:c r="A23" s="3" t="s">
        <x:v>413</x:v>
      </x:c>
      <x:c r="B23" s="3" t="s">
        <x:v>285</x:v>
      </x:c>
      <x:c r="C23" s="3" t="s">
        <x:v>126</x:v>
      </x:c>
      <x:c r="D23" s="3" t="s">
        <x:v>138</x:v>
      </x:c>
      <x:c r="E23" s="3" t="s">
        <x:v>139</x:v>
      </x:c>
      <x:c r="F23" s="3" t="s">
        <x:v>140</x:v>
      </x:c>
      <x:c r="G23" s="3" t="s">
        <x:v>366</x:v>
      </x:c>
      <x:c r="H23" s="3" t="s">
        <x:v>367</x:v>
      </x:c>
      <x:c r="I23" s="9">
        <x:v>3000</x:v>
      </x:c>
      <x:c r="J23" s="3" t="s">
        <x:v>239</x:v>
      </x:c>
      <x:c r="K23" s="9">
        <x:v>103</x:v>
      </x:c>
      <x:c r="L23" s="3" t="s">
        <x:v>239</x:v>
      </x:c>
      <x:c r="M23" s="9"/>
      <x:c r="N23" s="3"/>
      <x:c r="O23" s="9">
        <x:v>29.13</x:v>
      </x:c>
      <x:c r="P23" s="3" t="s">
        <x:v>398</x:v>
      </x:c>
      <x:c r="Q23" s="9">
        <x:v>13.5</x:v>
      </x:c>
      <x:c r="R23" s="3" t="s">
        <x:v>399</x:v>
      </x:c>
      <x:c r="S23" s="9" t="s">
        <x:v>414</x:v>
      </x:c>
      <x:c r="T23" s="11"/>
      <x:c r="U23" s="11">
        <x:v>1030000</x:v>
      </x:c>
      <x:c r="V23" s="11"/>
      <x:c r="W23" s="11"/>
      <x:c r="X23" s="13" t="s">
        <x:v>292</x:v>
      </x:c>
      <x:c r="Y23" s="3" t="s">
        <x:v>401</x:v>
      </x:c>
      <x:c r="Z23" s="3" t="s">
        <x:v>402</x:v>
      </x:c>
      <x:c r="AA23" s="3" t="s">
        <x:v>403</x:v>
      </x:c>
      <x:c r="AB23" s="3" t="s">
        <x:v>404</x:v>
      </x:c>
      <x:c r="AC23" s="3" t="s">
        <x:v>405</x:v>
      </x:c>
      <x:c r="AD23" s="15" t="s">
        <x:v>61</x:v>
      </x:c>
    </x:row>
    <x:row r="24" ht="56">
      <x:c r="A24" s="3" t="s">
        <x:v>415</x:v>
      </x:c>
      <x:c r="B24" s="3" t="s">
        <x:v>285</x:v>
      </x:c>
      <x:c r="C24" s="3" t="s">
        <x:v>126</x:v>
      </x:c>
      <x:c r="D24" s="3" t="s">
        <x:v>142</x:v>
      </x:c>
      <x:c r="E24" s="3" t="s">
        <x:v>143</x:v>
      </x:c>
      <x:c r="F24" s="3" t="s">
        <x:v>144</x:v>
      </x:c>
      <x:c r="G24" s="3" t="s">
        <x:v>366</x:v>
      </x:c>
      <x:c r="H24" s="3" t="s">
        <x:v>367</x:v>
      </x:c>
      <x:c r="I24" s="9">
        <x:v>1000</x:v>
      </x:c>
      <x:c r="J24" s="3" t="s">
        <x:v>239</x:v>
      </x:c>
      <x:c r="K24" s="9">
        <x:v>34.333300000000001</x:v>
      </x:c>
      <x:c r="L24" s="3" t="s">
        <x:v>239</x:v>
      </x:c>
      <x:c r="M24" s="9"/>
      <x:c r="N24" s="3"/>
      <x:c r="O24" s="9">
        <x:v>29.13</x:v>
      </x:c>
      <x:c r="P24" s="3" t="s">
        <x:v>398</x:v>
      </x:c>
      <x:c r="Q24" s="9">
        <x:v>13.5</x:v>
      </x:c>
      <x:c r="R24" s="3" t="s">
        <x:v>399</x:v>
      </x:c>
      <x:c r="S24" s="9" t="s">
        <x:v>416</x:v>
      </x:c>
      <x:c r="T24" s="11"/>
      <x:c r="U24" s="11">
        <x:v>343333</x:v>
      </x:c>
      <x:c r="V24" s="11"/>
      <x:c r="W24" s="11"/>
      <x:c r="X24" s="13" t="s">
        <x:v>292</x:v>
      </x:c>
      <x:c r="Y24" s="3" t="s">
        <x:v>401</x:v>
      </x:c>
      <x:c r="Z24" s="3" t="s">
        <x:v>402</x:v>
      </x:c>
      <x:c r="AA24" s="3" t="s">
        <x:v>403</x:v>
      </x:c>
      <x:c r="AB24" s="3" t="s">
        <x:v>404</x:v>
      </x:c>
      <x:c r="AC24" s="3" t="s">
        <x:v>405</x:v>
      </x:c>
      <x:c r="AD24" s="15" t="s">
        <x:v>61</x:v>
      </x:c>
    </x:row>
    <x:row r="25" ht="28">
      <x:c r="A25" s="3" t="s">
        <x:v>417</x:v>
      </x:c>
      <x:c r="B25" s="3" t="s">
        <x:v>300</x:v>
      </x:c>
      <x:c r="C25" s="3" t="s">
        <x:v>148</x:v>
      </x:c>
      <x:c r="D25" s="3" t="s">
        <x:v>146</x:v>
      </x:c>
      <x:c r="E25" s="3" t="s">
        <x:v>147</x:v>
      </x:c>
      <x:c r="F25" s="3" t="s">
        <x:v>147</x:v>
      </x:c>
      <x:c r="G25" s="3" t="s">
        <x:v>418</x:v>
      </x:c>
      <x:c r="H25" s="3" t="s">
        <x:v>419</x:v>
      </x:c>
      <x:c r="I25" s="9">
        <x:v>20</x:v>
      </x:c>
      <x:c r="J25" s="3" t="s">
        <x:v>239</x:v>
      </x:c>
      <x:c r="K25" s="9">
        <x:v>20</x:v>
      </x:c>
      <x:c r="L25" s="3" t="s">
        <x:v>239</x:v>
      </x:c>
      <x:c r="M25" s="9"/>
      <x:c r="N25" s="3"/>
      <x:c r="O25" s="9">
        <x:v>1</x:v>
      </x:c>
      <x:c r="P25" s="3" t="s">
        <x:v>398</x:v>
      </x:c>
      <x:c r="Q25" s="9"/>
      <x:c r="R25" s="3"/>
      <x:c r="S25" s="9" t="s">
        <x:v>420</x:v>
      </x:c>
      <x:c r="T25" s="11"/>
      <x:c r="U25" s="11">
        <x:v>200000</x:v>
      </x:c>
      <x:c r="V25" s="11"/>
      <x:c r="W25" s="11"/>
      <x:c r="X25" s="13" t="s">
        <x:v>305</x:v>
      </x:c>
      <x:c r="Y25" s="3" t="s">
        <x:v>421</x:v>
      </x:c>
      <x:c r="Z25" s="3" t="s">
        <x:v>308</x:v>
      </x:c>
      <x:c r="AA25" s="3" t="s">
        <x:v>309</x:v>
      </x:c>
      <x:c r="AB25" s="3" t="s">
        <x:v>422</x:v>
      </x:c>
      <x:c r="AC25" s="3" t="s">
        <x:v>423</x:v>
      </x:c>
      <x:c r="AD25" s="15" t="s">
        <x:v>61</x:v>
      </x:c>
    </x:row>
    <x:row r="26" ht="28">
      <x:c r="A26" s="3" t="s">
        <x:v>424</x:v>
      </x:c>
      <x:c r="B26" s="3" t="s">
        <x:v>300</x:v>
      </x:c>
      <x:c r="C26" s="3" t="s">
        <x:v>148</x:v>
      </x:c>
      <x:c r="D26" s="3" t="s">
        <x:v>150</x:v>
      </x:c>
      <x:c r="E26" s="3" t="s">
        <x:v>151</x:v>
      </x:c>
      <x:c r="F26" s="3" t="s">
        <x:v>151</x:v>
      </x:c>
      <x:c r="G26" s="3" t="s">
        <x:v>418</x:v>
      </x:c>
      <x:c r="H26" s="3" t="s">
        <x:v>419</x:v>
      </x:c>
      <x:c r="I26" s="9">
        <x:v>20</x:v>
      </x:c>
      <x:c r="J26" s="3" t="s">
        <x:v>239</x:v>
      </x:c>
      <x:c r="K26" s="9">
        <x:v>20</x:v>
      </x:c>
      <x:c r="L26" s="3" t="s">
        <x:v>239</x:v>
      </x:c>
      <x:c r="M26" s="9"/>
      <x:c r="N26" s="3"/>
      <x:c r="O26" s="9">
        <x:v>1</x:v>
      </x:c>
      <x:c r="P26" s="3" t="s">
        <x:v>398</x:v>
      </x:c>
      <x:c r="Q26" s="9"/>
      <x:c r="R26" s="3"/>
      <x:c r="S26" s="9" t="s">
        <x:v>425</x:v>
      </x:c>
      <x:c r="T26" s="11"/>
      <x:c r="U26" s="11">
        <x:v>200000</x:v>
      </x:c>
      <x:c r="V26" s="11"/>
      <x:c r="W26" s="11"/>
      <x:c r="X26" s="13" t="s">
        <x:v>305</x:v>
      </x:c>
      <x:c r="Y26" s="3" t="s">
        <x:v>421</x:v>
      </x:c>
      <x:c r="Z26" s="3" t="s">
        <x:v>308</x:v>
      </x:c>
      <x:c r="AA26" s="3" t="s">
        <x:v>309</x:v>
      </x:c>
      <x:c r="AB26" s="3" t="s">
        <x:v>422</x:v>
      </x:c>
      <x:c r="AC26" s="3" t="s">
        <x:v>423</x:v>
      </x:c>
      <x:c r="AD26" s="15" t="s">
        <x:v>61</x:v>
      </x:c>
    </x:row>
    <x:row r="27" ht="28">
      <x:c r="A27" s="3" t="s">
        <x:v>426</x:v>
      </x:c>
      <x:c r="B27" s="3" t="s">
        <x:v>300</x:v>
      </x:c>
      <x:c r="C27" s="3" t="s">
        <x:v>148</x:v>
      </x:c>
      <x:c r="D27" s="3" t="s">
        <x:v>152</x:v>
      </x:c>
      <x:c r="E27" s="3" t="s">
        <x:v>153</x:v>
      </x:c>
      <x:c r="F27" s="3" t="s">
        <x:v>153</x:v>
      </x:c>
      <x:c r="G27" s="3" t="s">
        <x:v>418</x:v>
      </x:c>
      <x:c r="H27" s="3" t="s">
        <x:v>419</x:v>
      </x:c>
      <x:c r="I27" s="9">
        <x:v>20</x:v>
      </x:c>
      <x:c r="J27" s="3" t="s">
        <x:v>239</x:v>
      </x:c>
      <x:c r="K27" s="9">
        <x:v>20</x:v>
      </x:c>
      <x:c r="L27" s="3" t="s">
        <x:v>239</x:v>
      </x:c>
      <x:c r="M27" s="9"/>
      <x:c r="N27" s="3"/>
      <x:c r="O27" s="9">
        <x:v>1</x:v>
      </x:c>
      <x:c r="P27" s="3" t="s">
        <x:v>398</x:v>
      </x:c>
      <x:c r="Q27" s="9"/>
      <x:c r="R27" s="3"/>
      <x:c r="S27" s="9" t="s">
        <x:v>427</x:v>
      </x:c>
      <x:c r="T27" s="11"/>
      <x:c r="U27" s="11">
        <x:v>200000</x:v>
      </x:c>
      <x:c r="V27" s="11"/>
      <x:c r="W27" s="11"/>
      <x:c r="X27" s="13" t="s">
        <x:v>305</x:v>
      </x:c>
      <x:c r="Y27" s="3" t="s">
        <x:v>421</x:v>
      </x:c>
      <x:c r="Z27" s="3" t="s">
        <x:v>308</x:v>
      </x:c>
      <x:c r="AA27" s="3" t="s">
        <x:v>309</x:v>
      </x:c>
      <x:c r="AB27" s="3" t="s">
        <x:v>422</x:v>
      </x:c>
      <x:c r="AC27" s="3" t="s">
        <x:v>423</x:v>
      </x:c>
      <x:c r="AD27" s="15" t="s">
        <x:v>61</x:v>
      </x:c>
    </x:row>
    <x:row r="28" ht="28">
      <x:c r="A28" s="3" t="s">
        <x:v>428</x:v>
      </x:c>
      <x:c r="B28" s="3" t="s">
        <x:v>300</x:v>
      </x:c>
      <x:c r="C28" s="3" t="s">
        <x:v>148</x:v>
      </x:c>
      <x:c r="D28" s="3" t="s">
        <x:v>155</x:v>
      </x:c>
      <x:c r="E28" s="3" t="s">
        <x:v>156</x:v>
      </x:c>
      <x:c r="F28" s="3" t="s">
        <x:v>156</x:v>
      </x:c>
      <x:c r="G28" s="3" t="s">
        <x:v>418</x:v>
      </x:c>
      <x:c r="H28" s="3" t="s">
        <x:v>419</x:v>
      </x:c>
      <x:c r="I28" s="9">
        <x:v>60</x:v>
      </x:c>
      <x:c r="J28" s="3" t="s">
        <x:v>239</x:v>
      </x:c>
      <x:c r="K28" s="9">
        <x:v>60</x:v>
      </x:c>
      <x:c r="L28" s="3" t="s">
        <x:v>239</x:v>
      </x:c>
      <x:c r="M28" s="9"/>
      <x:c r="N28" s="3"/>
      <x:c r="O28" s="9">
        <x:v>1</x:v>
      </x:c>
      <x:c r="P28" s="3" t="s">
        <x:v>398</x:v>
      </x:c>
      <x:c r="Q28" s="9"/>
      <x:c r="R28" s="3"/>
      <x:c r="S28" s="9" t="s">
        <x:v>429</x:v>
      </x:c>
      <x:c r="T28" s="11"/>
      <x:c r="U28" s="11">
        <x:v>600000</x:v>
      </x:c>
      <x:c r="V28" s="11"/>
      <x:c r="W28" s="11"/>
      <x:c r="X28" s="13" t="s">
        <x:v>305</x:v>
      </x:c>
      <x:c r="Y28" s="3" t="s">
        <x:v>421</x:v>
      </x:c>
      <x:c r="Z28" s="3" t="s">
        <x:v>308</x:v>
      </x:c>
      <x:c r="AA28" s="3" t="s">
        <x:v>309</x:v>
      </x:c>
      <x:c r="AB28" s="3" t="s">
        <x:v>422</x:v>
      </x:c>
      <x:c r="AC28" s="3" t="s">
        <x:v>423</x:v>
      </x:c>
      <x:c r="AD28" s="15" t="s">
        <x:v>61</x:v>
      </x:c>
    </x:row>
    <x:row r="29" ht="56">
      <x:c r="A29" s="3" t="s">
        <x:v>430</x:v>
      </x:c>
      <x:c r="B29" s="3" t="s">
        <x:v>313</x:v>
      </x:c>
      <x:c r="C29" s="3" t="s">
        <x:v>175</x:v>
      </x:c>
      <x:c r="D29" s="3" t="s">
        <x:v>171</x:v>
      </x:c>
      <x:c r="E29" s="3" t="s">
        <x:v>172</x:v>
      </x:c>
      <x:c r="F29" s="3" t="s">
        <x:v>173</x:v>
      </x:c>
      <x:c r="G29" s="3" t="s">
        <x:v>366</x:v>
      </x:c>
      <x:c r="H29" s="3" t="s">
        <x:v>367</x:v>
      </x:c>
      <x:c r="I29" s="9">
        <x:v>5000</x:v>
      </x:c>
      <x:c r="J29" s="3" t="s">
        <x:v>239</x:v>
      </x:c>
      <x:c r="K29" s="9"/>
      <x:c r="L29" s="3"/>
      <x:c r="M29" s="9">
        <x:v>1130488</x:v>
      </x:c>
      <x:c r="N29" s="3" t="s">
        <x:v>431</x:v>
      </x:c>
      <x:c r="O29" s="9">
        <x:v>44.23</x:v>
      </x:c>
      <x:c r="P29" s="3" t="s">
        <x:v>398</x:v>
      </x:c>
      <x:c r="Q29" s="9">
        <x:v>21</x:v>
      </x:c>
      <x:c r="R29" s="3" t="s">
        <x:v>399</x:v>
      </x:c>
      <x:c r="S29" s="9" t="s">
        <x:v>432</x:v>
      </x:c>
      <x:c r="T29" s="11"/>
      <x:c r="U29" s="11"/>
      <x:c r="V29" s="11"/>
      <x:c r="W29" s="11"/>
      <x:c r="X29" s="13" t="s">
        <x:v>317</x:v>
      </x:c>
      <x:c r="Y29" s="3" t="s">
        <x:v>433</x:v>
      </x:c>
      <x:c r="Z29" s="3" t="s">
        <x:v>320</x:v>
      </x:c>
      <x:c r="AA29" s="3" t="s">
        <x:v>321</x:v>
      </x:c>
      <x:c r="AB29" s="3" t="s">
        <x:v>434</x:v>
      </x:c>
      <x:c r="AC29" s="3" t="s">
        <x:v>435</x:v>
      </x:c>
      <x:c r="AD29" s="15" t="s">
        <x:v>61</x:v>
      </x:c>
    </x:row>
    <x:row r="30" ht="56">
      <x:c r="A30" s="3" t="s">
        <x:v>436</x:v>
      </x:c>
      <x:c r="B30" s="3" t="s">
        <x:v>325</x:v>
      </x:c>
      <x:c r="C30" s="3" t="s">
        <x:v>181</x:v>
      </x:c>
      <x:c r="D30" s="3" t="s">
        <x:v>177</x:v>
      </x:c>
      <x:c r="E30" s="3" t="s">
        <x:v>178</x:v>
      </x:c>
      <x:c r="F30" s="3" t="s">
        <x:v>179</x:v>
      </x:c>
      <x:c r="G30" s="3" t="s">
        <x:v>366</x:v>
      </x:c>
      <x:c r="H30" s="3" t="s">
        <x:v>367</x:v>
      </x:c>
      <x:c r="I30" s="9">
        <x:v>5000</x:v>
      </x:c>
      <x:c r="J30" s="3" t="s">
        <x:v>239</x:v>
      </x:c>
      <x:c r="K30" s="9"/>
      <x:c r="L30" s="3"/>
      <x:c r="M30" s="9">
        <x:v>968990</x:v>
      </x:c>
      <x:c r="N30" s="3" t="s">
        <x:v>431</x:v>
      </x:c>
      <x:c r="O30" s="9">
        <x:v>51.6</x:v>
      </x:c>
      <x:c r="P30" s="3" t="s">
        <x:v>398</x:v>
      </x:c>
      <x:c r="Q30" s="9">
        <x:v>25.2</x:v>
      </x:c>
      <x:c r="R30" s="3" t="s">
        <x:v>399</x:v>
      </x:c>
      <x:c r="S30" s="9" t="s">
        <x:v>437</x:v>
      </x:c>
      <x:c r="T30" s="11"/>
      <x:c r="U30" s="11"/>
      <x:c r="V30" s="11"/>
      <x:c r="W30" s="11"/>
      <x:c r="X30" s="13" t="s">
        <x:v>329</x:v>
      </x:c>
      <x:c r="Y30" s="3" t="s">
        <x:v>438</x:v>
      </x:c>
      <x:c r="Z30" s="3" t="s">
        <x:v>439</x:v>
      </x:c>
      <x:c r="AA30" s="3" t="s">
        <x:v>440</x:v>
      </x:c>
      <x:c r="AB30" s="3" t="s">
        <x:v>441</x:v>
      </x:c>
      <x:c r="AC30" s="3" t="s">
        <x:v>442</x:v>
      </x:c>
      <x:c r="AD30" s="15" t="s">
        <x:v>61</x:v>
      </x:c>
    </x:row>
    <x:row r="31" ht="56">
      <x:c r="A31" s="3" t="s">
        <x:v>443</x:v>
      </x:c>
      <x:c r="B31" s="3" t="s">
        <x:v>325</x:v>
      </x:c>
      <x:c r="C31" s="3" t="s">
        <x:v>181</x:v>
      </x:c>
      <x:c r="D31" s="3" t="s">
        <x:v>183</x:v>
      </x:c>
      <x:c r="E31" s="3" t="s">
        <x:v>184</x:v>
      </x:c>
      <x:c r="F31" s="3" t="s">
        <x:v>185</x:v>
      </x:c>
      <x:c r="G31" s="3" t="s">
        <x:v>366</x:v>
      </x:c>
      <x:c r="H31" s="3" t="s">
        <x:v>367</x:v>
      </x:c>
      <x:c r="I31" s="9">
        <x:v>2000</x:v>
      </x:c>
      <x:c r="J31" s="3" t="s">
        <x:v>239</x:v>
      </x:c>
      <x:c r="K31" s="9"/>
      <x:c r="L31" s="3"/>
      <x:c r="M31" s="9">
        <x:v>387596</x:v>
      </x:c>
      <x:c r="N31" s="3" t="s">
        <x:v>431</x:v>
      </x:c>
      <x:c r="O31" s="9">
        <x:v>51.6</x:v>
      </x:c>
      <x:c r="P31" s="3" t="s">
        <x:v>398</x:v>
      </x:c>
      <x:c r="Q31" s="9">
        <x:v>25.2</x:v>
      </x:c>
      <x:c r="R31" s="3" t="s">
        <x:v>399</x:v>
      </x:c>
      <x:c r="S31" s="9" t="s">
        <x:v>444</x:v>
      </x:c>
      <x:c r="T31" s="11"/>
      <x:c r="U31" s="11"/>
      <x:c r="V31" s="11"/>
      <x:c r="W31" s="11"/>
      <x:c r="X31" s="13" t="s">
        <x:v>329</x:v>
      </x:c>
      <x:c r="Y31" s="3" t="s">
        <x:v>438</x:v>
      </x:c>
      <x:c r="Z31" s="3" t="s">
        <x:v>439</x:v>
      </x:c>
      <x:c r="AA31" s="3" t="s">
        <x:v>440</x:v>
      </x:c>
      <x:c r="AB31" s="3" t="s">
        <x:v>441</x:v>
      </x:c>
      <x:c r="AC31" s="3" t="s">
        <x:v>442</x:v>
      </x:c>
      <x:c r="AD31" s="15" t="s">
        <x:v>61</x:v>
      </x:c>
    </x:row>
  </x:sheetData>
  <x:mergeCells>
    <x:mergeCell ref="A1:AD1"/>
    <x:mergeCell ref="A2:AD2"/>
  </x:mergeCells>
  <x:conditionalFormatting sqref="AD4:AD31">
    <x:cfRule type="expression" dxfId="28" priority="1">
      <x:formula>AD4="待用户复核"</x:formula>
    </x:cfRule>
    <x:cfRule type="expression" dxfId="27" priority="2">
      <x:formula>AD4="需修改"</x:formula>
    </x:cfRule>
    <x:cfRule type="expression" dxfId="26" priority="3">
      <x:formula>AD4="已验收通过"</x:formula>
    </x:cfRule>
  </x:conditionalFormatting>
  <x:dataValidations count="1">
    <x:dataValidation type="list" sqref="AD4:AD31">
      <x:formula1>"待用户复核,待人工复核,已验收通过,需修改"</x:formula1>
    </x:dataValidation>
  </x:dataValidations>
  <x:pageMargins left="0.7" right="0.7" top="0.75" bottom="0.75" header="0.3" footer="0.3"/>
  <x:tableParts count="1">
    <x:tablePart xmlns:r="http://schemas.openxmlformats.org/officeDocument/2006/relationships" r:id="Rc1dcc063c8c444f1"/>
  </x:tableParts>
</x:worksheet>
</file>

<file path=xl/worksheets/sheet5.xml><?xml version="1.0" encoding="utf-8"?>
<x:worksheet xmlns:x="http://schemas.openxmlformats.org/spreadsheetml/2006/main">
  <x:sheetFormatPr defaultRowHeight="14"/>
  <x:cols>
    <x:col min="1" max="1" width="18" customWidth="1"/>
    <x:col min="2" max="2" width="16" customWidth="1"/>
    <x:col min="3" max="4" width="18" customWidth="1"/>
    <x:col min="5" max="5" width="22" customWidth="1"/>
    <x:col min="6" max="8" width="16" customWidth="1"/>
    <x:col min="9" max="11" width="14" customWidth="1"/>
    <x:col min="12" max="16" width="15" customWidth="1"/>
    <x:col min="17" max="17" width="14" customWidth="1"/>
    <x:col min="18" max="20" width="15" customWidth="1"/>
    <x:col min="21" max="21" width="22" customWidth="1"/>
    <x:col min="22" max="22" width="18" customWidth="1"/>
    <x:col min="23" max="23" width="15" customWidth="1"/>
    <x:col min="24" max="24" width="18" customWidth="1"/>
    <x:col min="25" max="26" width="16" customWidth="1"/>
    <x:col min="27" max="29" width="34" customWidth="1"/>
    <x:col min="30" max="30" width="22" customWidth="1"/>
  </x:cols>
  <x:sheetData>
    <x:row r="1" ht="7.75" customHeight="1">
      <x:c r="A1" s="36" t="s">
        <x:v>445</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c r="AB1" s="36"/>
      <x:c r="AC1" s="36"/>
      <x:c r="AD1" s="36"/>
    </x:row>
    <x:row r="2" ht="9.5" customHeight="1">
      <x:c r="A2" s="37" t="s">
        <x:v>446</x:v>
      </x:c>
      <x:c r="B2" s="37"/>
      <x:c r="C2" s="37"/>
      <x:c r="D2" s="37"/>
      <x:c r="E2" s="37"/>
      <x:c r="F2" s="37"/>
      <x:c r="G2" s="37"/>
      <x:c r="H2" s="37"/>
      <x:c r="I2" s="37"/>
      <x:c r="J2" s="37"/>
      <x:c r="K2" s="37"/>
      <x:c r="L2" s="37"/>
      <x:c r="M2" s="37"/>
      <x:c r="N2" s="37"/>
      <x:c r="O2" s="37"/>
      <x:c r="P2" s="37"/>
      <x:c r="Q2" s="37"/>
      <x:c r="R2" s="37"/>
      <x:c r="S2" s="37"/>
      <x:c r="T2" s="37"/>
      <x:c r="U2" s="37"/>
      <x:c r="V2" s="37"/>
      <x:c r="W2" s="37"/>
      <x:c r="X2" s="37"/>
      <x:c r="Y2" s="37"/>
      <x:c r="Z2" s="37"/>
      <x:c r="AA2" s="37"/>
      <x:c r="AB2" s="37"/>
      <x:c r="AC2" s="37"/>
      <x:c r="AD2" s="37"/>
    </x:row>
    <x:row r="3" ht="10.649999618530273" customHeight="1">
      <x:c r="A3" s="7" t="s">
        <x:v>447</x:v>
      </x:c>
      <x:c r="B3" s="7" t="s">
        <x:v>209</x:v>
      </x:c>
      <x:c r="C3" s="7" t="s">
        <x:v>210</x:v>
      </x:c>
      <x:c r="D3" s="7" t="s">
        <x:v>211</x:v>
      </x:c>
      <x:c r="E3" s="7" t="s">
        <x:v>448</x:v>
      </x:c>
      <x:c r="F3" s="7" t="s">
        <x:v>213</x:v>
      </x:c>
      <x:c r="G3" s="7" t="s">
        <x:v>214</x:v>
      </x:c>
      <x:c r="H3" s="7" t="s">
        <x:v>215</x:v>
      </x:c>
      <x:c r="I3" s="7" t="s">
        <x:v>216</x:v>
      </x:c>
      <x:c r="J3" s="7" t="s">
        <x:v>217</x:v>
      </x:c>
      <x:c r="K3" s="7" t="s">
        <x:v>449</x:v>
      </x:c>
      <x:c r="L3" s="7" t="s">
        <x:v>450</x:v>
      </x:c>
      <x:c r="M3" s="7" t="s">
        <x:v>451</x:v>
      </x:c>
      <x:c r="N3" s="7" t="s">
        <x:v>452</x:v>
      </x:c>
      <x:c r="O3" s="7" t="s">
        <x:v>453</x:v>
      </x:c>
      <x:c r="P3" s="10" t="s">
        <x:v>454</x:v>
      </x:c>
      <x:c r="Q3" s="7" t="s">
        <x:v>455</x:v>
      </x:c>
      <x:c r="R3" s="10" t="s">
        <x:v>456</x:v>
      </x:c>
      <x:c r="S3" s="7" t="s">
        <x:v>457</x:v>
      </x:c>
      <x:c r="T3" s="7" t="s">
        <x:v>458</x:v>
      </x:c>
      <x:c r="U3" s="7" t="s">
        <x:v>459</x:v>
      </x:c>
      <x:c r="V3" s="12" t="s">
        <x:v>225</x:v>
      </x:c>
      <x:c r="W3" s="7" t="s">
        <x:v>226</x:v>
      </x:c>
      <x:c r="X3" s="7" t="s">
        <x:v>48</x:v>
      </x:c>
      <x:c r="Y3" s="7" t="s">
        <x:v>227</x:v>
      </x:c>
      <x:c r="Z3" s="7" t="s">
        <x:v>228</x:v>
      </x:c>
      <x:c r="AA3" s="7" t="s">
        <x:v>229</x:v>
      </x:c>
      <x:c r="AB3" s="7" t="s">
        <x:v>230</x:v>
      </x:c>
      <x:c r="AC3" s="7" t="s">
        <x:v>49</x:v>
      </x:c>
      <x:c r="AD3" s="7" t="s">
        <x:v>50</x:v>
      </x:c>
    </x:row>
    <x:row r="4" ht="56">
      <x:c r="A4" s="3" t="s">
        <x:v>460</x:v>
      </x:c>
      <x:c r="B4" s="3" t="s">
        <x:v>461</x:v>
      </x:c>
      <x:c r="C4" s="3" t="s">
        <x:v>57</x:v>
      </x:c>
      <x:c r="D4" s="3" t="s">
        <x:v>234</x:v>
      </x:c>
      <x:c r="E4" s="3" t="s">
        <x:v>462</x:v>
      </x:c>
      <x:c r="F4" s="9" t="s">
        <x:v>236</x:v>
      </x:c>
      <x:c r="G4" s="3"/>
      <x:c r="H4" s="3" t="s">
        <x:v>237</x:v>
      </x:c>
      <x:c r="I4" s="3" t="s">
        <x:v>238</x:v>
      </x:c>
      <x:c r="J4" s="3" t="s">
        <x:v>238</x:v>
      </x:c>
      <x:c r="K4" s="3" t="s">
        <x:v>463</x:v>
      </x:c>
      <x:c r="L4" s="9" t="s">
        <x:v>464</x:v>
      </x:c>
      <x:c r="M4" s="3" t="s">
        <x:v>465</x:v>
      </x:c>
      <x:c r="N4" s="9"/>
      <x:c r="O4" s="3"/>
      <x:c r="P4" s="11"/>
      <x:c r="Q4" s="3"/>
      <x:c r="R4" s="11"/>
      <x:c r="S4" s="3"/>
      <x:c r="T4" s="3" t="s">
        <x:v>466</x:v>
      </x:c>
      <x:c r="U4" s="3" t="s">
        <x:v>467</x:v>
      </x:c>
      <x:c r="V4" s="13"/>
      <x:c r="W4" s="9" t="s">
        <x:v>468</x:v>
      </x:c>
      <x:c r="X4" s="3" t="s">
        <x:v>69</x:v>
      </x:c>
      <x:c r="Y4" s="3" t="s">
        <x:v>242</x:v>
      </x:c>
      <x:c r="Z4" s="3" t="s">
        <x:v>243</x:v>
      </x:c>
      <x:c r="AA4" s="9" t="s">
        <x:v>244</x:v>
      </x:c>
      <x:c r="AB4" s="3" t="s">
        <x:v>469</x:v>
      </x:c>
      <x:c r="AC4" s="3" t="s">
        <x:v>470</x:v>
      </x:c>
      <x:c r="AD4" s="8" t="s">
        <x:v>61</x:v>
      </x:c>
    </x:row>
    <x:row r="5" ht="56">
      <x:c r="A5" s="3" t="s">
        <x:v>471</x:v>
      </x:c>
      <x:c r="B5" s="3" t="s">
        <x:v>472</x:v>
      </x:c>
      <x:c r="C5" s="3" t="s">
        <x:v>75</x:v>
      </x:c>
      <x:c r="D5" s="3" t="s">
        <x:v>75</x:v>
      </x:c>
      <x:c r="E5" s="3" t="s">
        <x:v>473</x:v>
      </x:c>
      <x:c r="F5" s="9" t="s">
        <x:v>474</x:v>
      </x:c>
      <x:c r="G5" s="3"/>
      <x:c r="H5" s="3" t="s">
        <x:v>237</x:v>
      </x:c>
      <x:c r="I5" s="3" t="s">
        <x:v>238</x:v>
      </x:c>
      <x:c r="J5" s="3" t="s">
        <x:v>238</x:v>
      </x:c>
      <x:c r="K5" s="3" t="s">
        <x:v>463</x:v>
      </x:c>
      <x:c r="L5" s="9"/>
      <x:c r="M5" s="3"/>
      <x:c r="N5" s="9"/>
      <x:c r="O5" s="3"/>
      <x:c r="P5" s="11">
        <x:v>22.6</x:v>
      </x:c>
      <x:c r="Q5" s="3" t="s">
        <x:v>465</x:v>
      </x:c>
      <x:c r="R5" s="11"/>
      <x:c r="S5" s="3"/>
      <x:c r="T5" s="3" t="s">
        <x:v>466</x:v>
      </x:c>
      <x:c r="U5" s="3" t="s">
        <x:v>475</x:v>
      </x:c>
      <x:c r="V5" s="13" t="s">
        <x:v>476</x:v>
      </x:c>
      <x:c r="W5" s="9" t="s">
        <x:v>477</x:v>
      </x:c>
      <x:c r="X5" s="3" t="s">
        <x:v>478</x:v>
      </x:c>
      <x:c r="Y5" s="3" t="s">
        <x:v>242</x:v>
      </x:c>
      <x:c r="Z5" s="3" t="s">
        <x:v>243</x:v>
      </x:c>
      <x:c r="AA5" s="9" t="s">
        <x:v>479</x:v>
      </x:c>
      <x:c r="AB5" s="3" t="s">
        <x:v>480</x:v>
      </x:c>
      <x:c r="AC5" s="3" t="s">
        <x:v>481</x:v>
      </x:c>
      <x:c r="AD5" s="8" t="s">
        <x:v>61</x:v>
      </x:c>
    </x:row>
    <x:row r="6" ht="70">
      <x:c r="A6" s="3" t="s">
        <x:v>482</x:v>
      </x:c>
      <x:c r="B6" s="3" t="s">
        <x:v>483</x:v>
      </x:c>
      <x:c r="C6" s="3" t="s">
        <x:v>103</x:v>
      </x:c>
      <x:c r="D6" s="3" t="s">
        <x:v>103</x:v>
      </x:c>
      <x:c r="E6" s="3" t="s">
        <x:v>484</x:v>
      </x:c>
      <x:c r="F6" s="9" t="s">
        <x:v>485</x:v>
      </x:c>
      <x:c r="G6" s="3" t="s">
        <x:v>486</x:v>
      </x:c>
      <x:c r="H6" s="3" t="s">
        <x:v>290</x:v>
      </x:c>
      <x:c r="I6" s="3" t="s">
        <x:v>291</x:v>
      </x:c>
      <x:c r="J6" s="3" t="s">
        <x:v>291</x:v>
      </x:c>
      <x:c r="K6" s="3" t="s">
        <x:v>487</x:v>
      </x:c>
      <x:c r="L6" s="9">
        <x:v>666680</x:v>
      </x:c>
      <x:c r="M6" s="3" t="s">
        <x:v>431</x:v>
      </x:c>
      <x:c r="N6" s="9">
        <x:v>1000</x:v>
      </x:c>
      <x:c r="O6" s="3" t="s">
        <x:v>239</x:v>
      </x:c>
      <x:c r="P6" s="11"/>
      <x:c r="Q6" s="3"/>
      <x:c r="R6" s="11"/>
      <x:c r="S6" s="3"/>
      <x:c r="T6" s="3" t="s">
        <x:v>466</x:v>
      </x:c>
      <x:c r="U6" s="3" t="s">
        <x:v>475</x:v>
      </x:c>
      <x:c r="V6" s="13"/>
      <x:c r="W6" s="9" t="s">
        <x:v>488</x:v>
      </x:c>
      <x:c r="X6" s="3" t="s">
        <x:v>489</x:v>
      </x:c>
      <x:c r="Y6" s="3" t="s">
        <x:v>490</x:v>
      </x:c>
      <x:c r="Z6" s="3" t="s">
        <x:v>491</x:v>
      </x:c>
      <x:c r="AA6" s="9" t="s">
        <x:v>492</x:v>
      </x:c>
      <x:c r="AB6" s="3" t="s">
        <x:v>493</x:v>
      </x:c>
      <x:c r="AC6" s="3" t="s">
        <x:v>494</x:v>
      </x:c>
      <x:c r="AD6" s="8" t="s">
        <x:v>61</x:v>
      </x:c>
    </x:row>
    <x:row r="7" ht="56">
      <x:c r="A7" s="3" t="s">
        <x:v>495</x:v>
      </x:c>
      <x:c r="B7" s="3" t="s">
        <x:v>496</x:v>
      </x:c>
      <x:c r="C7" s="3" t="s">
        <x:v>161</x:v>
      </x:c>
      <x:c r="D7" s="3" t="s">
        <x:v>287</x:v>
      </x:c>
      <x:c r="E7" s="3" t="s">
        <x:v>497</x:v>
      </x:c>
      <x:c r="F7" s="9" t="s">
        <x:v>288</x:v>
      </x:c>
      <x:c r="G7" s="3" t="s">
        <x:v>498</x:v>
      </x:c>
      <x:c r="H7" s="3" t="s">
        <x:v>290</x:v>
      </x:c>
      <x:c r="I7" s="3" t="s">
        <x:v>291</x:v>
      </x:c>
      <x:c r="J7" s="3" t="s">
        <x:v>291</x:v>
      </x:c>
      <x:c r="K7" s="3" t="s">
        <x:v>499</x:v>
      </x:c>
      <x:c r="L7" s="9"/>
      <x:c r="M7" s="3"/>
      <x:c r="N7" s="9"/>
      <x:c r="O7" s="3"/>
      <x:c r="P7" s="11">
        <x:v>1158750</x:v>
      </x:c>
      <x:c r="Q7" s="3" t="s">
        <x:v>431</x:v>
      </x:c>
      <x:c r="R7" s="11">
        <x:v>3375.0054</x:v>
      </x:c>
      <x:c r="S7" s="3" t="s">
        <x:v>239</x:v>
      </x:c>
      <x:c r="T7" s="3" t="s">
        <x:v>466</x:v>
      </x:c>
      <x:c r="U7" s="3" t="s">
        <x:v>500</x:v>
      </x:c>
      <x:c r="V7" s="13" t="s">
        <x:v>501</x:v>
      </x:c>
      <x:c r="W7" s="9" t="s">
        <x:v>502</x:v>
      </x:c>
      <x:c r="X7" s="3" t="s">
        <x:v>401</x:v>
      </x:c>
      <x:c r="Y7" s="3" t="s">
        <x:v>402</x:v>
      </x:c>
      <x:c r="Z7" s="3" t="s">
        <x:v>403</x:v>
      </x:c>
      <x:c r="AA7" s="9" t="s">
        <x:v>503</x:v>
      </x:c>
      <x:c r="AB7" s="3" t="s">
        <x:v>504</x:v>
      </x:c>
      <x:c r="AC7" s="3" t="s">
        <x:v>505</x:v>
      </x:c>
      <x:c r="AD7" s="8" t="s">
        <x:v>61</x:v>
      </x:c>
    </x:row>
    <x:row r="8" ht="56">
      <x:c r="A8" s="3" t="s">
        <x:v>506</x:v>
      </x:c>
      <x:c r="B8" s="3" t="s">
        <x:v>507</x:v>
      </x:c>
      <x:c r="C8" s="3" t="s">
        <x:v>76</x:v>
      </x:c>
      <x:c r="D8" s="3" t="s">
        <x:v>76</x:v>
      </x:c>
      <x:c r="E8" s="3" t="s">
        <x:v>508</x:v>
      </x:c>
      <x:c r="F8" s="9" t="s">
        <x:v>509</x:v>
      </x:c>
      <x:c r="G8" s="3" t="s">
        <x:v>510</x:v>
      </x:c>
      <x:c r="H8" s="3" t="s">
        <x:v>290</x:v>
      </x:c>
      <x:c r="I8" s="3" t="s">
        <x:v>291</x:v>
      </x:c>
      <x:c r="J8" s="3" t="s">
        <x:v>291</x:v>
      </x:c>
      <x:c r="K8" s="3" t="s">
        <x:v>487</x:v>
      </x:c>
      <x:c r="L8" s="9"/>
      <x:c r="M8" s="3"/>
      <x:c r="N8" s="9"/>
      <x:c r="O8" s="3"/>
      <x:c r="P8" s="11">
        <x:v>800000</x:v>
      </x:c>
      <x:c r="Q8" s="3" t="s">
        <x:v>431</x:v>
      </x:c>
      <x:c r="R8" s="11">
        <x:v>80</x:v>
      </x:c>
      <x:c r="S8" s="3" t="s">
        <x:v>239</x:v>
      </x:c>
      <x:c r="T8" s="3" t="s">
        <x:v>466</x:v>
      </x:c>
      <x:c r="U8" s="3" t="s">
        <x:v>475</x:v>
      </x:c>
      <x:c r="V8" s="13" t="s">
        <x:v>511</x:v>
      </x:c>
      <x:c r="W8" s="9" t="s">
        <x:v>512</x:v>
      </x:c>
      <x:c r="X8" s="3" t="s">
        <x:v>513</x:v>
      </x:c>
      <x:c r="Y8" s="3" t="s">
        <x:v>321</x:v>
      </x:c>
      <x:c r="Z8" s="3" t="s">
        <x:v>308</x:v>
      </x:c>
      <x:c r="AA8" s="9" t="s">
        <x:v>514</x:v>
      </x:c>
      <x:c r="AB8" s="3" t="s">
        <x:v>515</x:v>
      </x:c>
      <x:c r="AC8" s="3" t="s">
        <x:v>516</x:v>
      </x:c>
      <x:c r="AD8" s="8" t="s">
        <x:v>61</x:v>
      </x:c>
    </x:row>
    <x:row r="9" ht="70">
      <x:c r="A9" s="3" t="s">
        <x:v>517</x:v>
      </x:c>
      <x:c r="B9" s="3" t="s">
        <x:v>518</x:v>
      </x:c>
      <x:c r="C9" s="3" t="s">
        <x:v>65</x:v>
      </x:c>
      <x:c r="D9" s="3" t="s">
        <x:v>83</x:v>
      </x:c>
      <x:c r="E9" s="3" t="s">
        <x:v>519</x:v>
      </x:c>
      <x:c r="F9" s="9" t="s">
        <x:v>327</x:v>
      </x:c>
      <x:c r="G9" s="3"/>
      <x:c r="H9" s="3" t="s">
        <x:v>237</x:v>
      </x:c>
      <x:c r="I9" s="3" t="s">
        <x:v>291</x:v>
      </x:c>
      <x:c r="J9" s="3" t="s">
        <x:v>291</x:v>
      </x:c>
      <x:c r="K9" s="3" t="s">
        <x:v>520</x:v>
      </x:c>
      <x:c r="L9" s="9">
        <x:v>1659535</x:v>
      </x:c>
      <x:c r="M9" s="3" t="s">
        <x:v>431</x:v>
      </x:c>
      <x:c r="N9" s="9"/>
      <x:c r="O9" s="3"/>
      <x:c r="P9" s="11">
        <x:v>1659535</x:v>
      </x:c>
      <x:c r="Q9" s="3" t="s">
        <x:v>431</x:v>
      </x:c>
      <x:c r="R9" s="11">
        <x:v>8563.19</x:v>
      </x:c>
      <x:c r="S9" s="3" t="s">
        <x:v>239</x:v>
      </x:c>
      <x:c r="T9" s="3" t="s">
        <x:v>466</x:v>
      </x:c>
      <x:c r="U9" s="3" t="s">
        <x:v>500</x:v>
      </x:c>
      <x:c r="V9" s="13" t="s">
        <x:v>521</x:v>
      </x:c>
      <x:c r="W9" s="9" t="s">
        <x:v>522</x:v>
      </x:c>
      <x:c r="X9" s="3" t="s">
        <x:v>523</x:v>
      </x:c>
      <x:c r="Y9" s="3" t="s">
        <x:v>524</x:v>
      </x:c>
      <x:c r="Z9" s="3" t="s">
        <x:v>525</x:v>
      </x:c>
      <x:c r="AA9" s="9" t="s">
        <x:v>526</x:v>
      </x:c>
      <x:c r="AB9" s="3" t="s">
        <x:v>527</x:v>
      </x:c>
      <x:c r="AC9" s="3" t="s">
        <x:v>528</x:v>
      </x:c>
      <x:c r="AD9" s="8" t="s">
        <x:v>61</x:v>
      </x:c>
    </x:row>
  </x:sheetData>
  <x:mergeCells>
    <x:mergeCell ref="A1:AD1"/>
    <x:mergeCell ref="A2:AD2"/>
  </x:mergeCells>
  <x:conditionalFormatting sqref="AD4:AD9">
    <x:cfRule type="expression" dxfId="25" priority="1">
      <x:formula>AD4="待用户复核"</x:formula>
    </x:cfRule>
    <x:cfRule type="expression" dxfId="24" priority="2">
      <x:formula>AD4="需修改"</x:formula>
    </x:cfRule>
    <x:cfRule type="expression" dxfId="23" priority="3">
      <x:formula>AD4="已验收通过"</x:formula>
    </x:cfRule>
  </x:conditionalFormatting>
  <x:dataValidations count="3">
    <x:dataValidation type="list" sqref="AD4:AD9">
      <x:formula1>"待用户复核,待人工复核,已验收通过,需修改"</x:formula1>
    </x:dataValidation>
    <x:dataValidation type="list" sqref="H4:H9">
      <x:formula1>"日,月,年,日期区间,多个节点,时点"</x:formula1>
    </x:dataValidation>
    <x:dataValidation type="list" sqref="T4:T9">
      <x:formula1>"是,否"</x:formula1>
    </x:dataValidation>
  </x:dataValidations>
  <x:pageMargins left="0.7" right="0.7" top="0.75" bottom="0.75" header="0.3" footer="0.3"/>
  <x:tableParts count="1">
    <x:tablePart xmlns:r="http://schemas.openxmlformats.org/officeDocument/2006/relationships" r:id="Rf5d42c5add22468d"/>
  </x:tableParts>
</x:worksheet>
</file>

<file path=xl/worksheets/sheet6.xml><?xml version="1.0" encoding="utf-8"?>
<x:worksheet xmlns:x="http://schemas.openxmlformats.org/spreadsheetml/2006/main">
  <x:sheetFormatPr defaultRowHeight="14"/>
  <x:cols>
    <x:col min="1" max="5" width="18" customWidth="1"/>
    <x:col min="6" max="7" width="22" customWidth="1"/>
    <x:col min="8" max="17" width="15" customWidth="1"/>
    <x:col min="18" max="18" width="18" customWidth="1"/>
    <x:col min="19" max="20" width="14" customWidth="1"/>
    <x:col min="21" max="21" width="18" customWidth="1"/>
    <x:col min="22" max="23" width="16" customWidth="1"/>
    <x:col min="24" max="26" width="34" customWidth="1"/>
    <x:col min="27" max="27" width="22" customWidth="1"/>
  </x:cols>
  <x:sheetData>
    <x:row r="1" ht="7.75" customHeight="1">
      <x:c r="A1" s="36" t="s">
        <x:v>529</x:v>
      </x:c>
      <x:c r="B1" s="36"/>
      <x:c r="C1" s="36"/>
      <x:c r="D1" s="36"/>
      <x:c r="E1" s="36"/>
      <x:c r="F1" s="36"/>
      <x:c r="G1" s="36"/>
      <x:c r="H1" s="36"/>
      <x:c r="I1" s="36"/>
      <x:c r="J1" s="36"/>
      <x:c r="K1" s="36"/>
      <x:c r="L1" s="36"/>
      <x:c r="M1" s="36"/>
      <x:c r="N1" s="36"/>
      <x:c r="O1" s="36"/>
      <x:c r="P1" s="36"/>
      <x:c r="Q1" s="36"/>
      <x:c r="R1" s="36"/>
      <x:c r="S1" s="36"/>
      <x:c r="T1" s="36"/>
      <x:c r="U1" s="36"/>
      <x:c r="V1" s="36"/>
      <x:c r="W1" s="36"/>
      <x:c r="X1" s="36"/>
      <x:c r="Y1" s="36"/>
      <x:c r="Z1" s="36"/>
      <x:c r="AA1" s="36"/>
    </x:row>
    <x:row r="2" ht="9.5" customHeight="1">
      <x:c r="A2" s="37" t="s">
        <x:v>530</x:v>
      </x:c>
      <x:c r="B2" s="37"/>
      <x:c r="C2" s="37"/>
      <x:c r="D2" s="37"/>
      <x:c r="E2" s="37"/>
      <x:c r="F2" s="37"/>
      <x:c r="G2" s="37"/>
      <x:c r="H2" s="37"/>
      <x:c r="I2" s="37"/>
      <x:c r="J2" s="37"/>
      <x:c r="K2" s="37"/>
      <x:c r="L2" s="37"/>
      <x:c r="M2" s="37"/>
      <x:c r="N2" s="37"/>
      <x:c r="O2" s="37"/>
      <x:c r="P2" s="37"/>
      <x:c r="Q2" s="37"/>
      <x:c r="R2" s="37"/>
      <x:c r="S2" s="37"/>
      <x:c r="T2" s="37"/>
      <x:c r="U2" s="37"/>
      <x:c r="V2" s="37"/>
      <x:c r="W2" s="37"/>
      <x:c r="X2" s="37"/>
      <x:c r="Y2" s="37"/>
      <x:c r="Z2" s="37"/>
      <x:c r="AA2" s="37"/>
    </x:row>
    <x:row r="3" ht="10.649999618530273" customHeight="1">
      <x:c r="A3" s="7" t="s">
        <x:v>531</x:v>
      </x:c>
      <x:c r="B3" s="7" t="s">
        <x:v>447</x:v>
      </x:c>
      <x:c r="C3" s="7" t="s">
        <x:v>210</x:v>
      </x:c>
      <x:c r="D3" s="7" t="s">
        <x:v>532</x:v>
      </x:c>
      <x:c r="E3" s="7" t="s">
        <x:v>533</x:v>
      </x:c>
      <x:c r="F3" s="7" t="s">
        <x:v>534</x:v>
      </x:c>
      <x:c r="G3" s="7" t="s">
        <x:v>535</x:v>
      </x:c>
      <x:c r="H3" s="7" t="s">
        <x:v>536</x:v>
      </x:c>
      <x:c r="I3" s="7" t="s">
        <x:v>537</x:v>
      </x:c>
      <x:c r="J3" s="7" t="s">
        <x:v>538</x:v>
      </x:c>
      <x:c r="K3" s="7" t="s">
        <x:v>539</x:v>
      </x:c>
      <x:c r="L3" s="7" t="s">
        <x:v>453</x:v>
      </x:c>
      <x:c r="M3" s="7" t="s">
        <x:v>226</x:v>
      </x:c>
      <x:c r="N3" s="10" t="s">
        <x:v>540</x:v>
      </x:c>
      <x:c r="O3" s="7" t="s">
        <x:v>541</x:v>
      </x:c>
      <x:c r="P3" s="10" t="s">
        <x:v>542</x:v>
      </x:c>
      <x:c r="Q3" s="10" t="s">
        <x:v>543</x:v>
      </x:c>
      <x:c r="R3" s="12" t="s">
        <x:v>225</x:v>
      </x:c>
      <x:c r="S3" s="7" t="s">
        <x:v>544</x:v>
      </x:c>
      <x:c r="T3" s="7" t="s">
        <x:v>545</x:v>
      </x:c>
      <x:c r="U3" s="7" t="s">
        <x:v>48</x:v>
      </x:c>
      <x:c r="V3" s="7" t="s">
        <x:v>227</x:v>
      </x:c>
      <x:c r="W3" s="7" t="s">
        <x:v>228</x:v>
      </x:c>
      <x:c r="X3" s="7" t="s">
        <x:v>229</x:v>
      </x:c>
      <x:c r="Y3" s="7" t="s">
        <x:v>230</x:v>
      </x:c>
      <x:c r="Z3" s="7" t="s">
        <x:v>49</x:v>
      </x:c>
      <x:c r="AA3" s="7" t="s">
        <x:v>50</x:v>
      </x:c>
    </x:row>
    <x:row r="4" ht="56">
      <x:c r="A4" s="3" t="s">
        <x:v>546</x:v>
      </x:c>
      <x:c r="B4" s="3" t="s">
        <x:v>460</x:v>
      </x:c>
      <x:c r="C4" s="3" t="s">
        <x:v>57</x:v>
      </x:c>
      <x:c r="D4" s="3" t="s">
        <x:v>51</x:v>
      </x:c>
      <x:c r="E4" s="3" t="s">
        <x:v>67</x:v>
      </x:c>
      <x:c r="F4" s="9" t="s">
        <x:v>52</x:v>
      </x:c>
      <x:c r="G4" s="9" t="s">
        <x:v>68</x:v>
      </x:c>
      <x:c r="H4" s="9"/>
      <x:c r="I4" s="9">
        <x:v>50</x:v>
      </x:c>
      <x:c r="J4" s="9"/>
      <x:c r="K4" s="9"/>
      <x:c r="L4" s="3"/>
      <x:c r="M4" s="9" t="s">
        <x:v>468</x:v>
      </x:c>
      <x:c r="N4" s="14" t="str">
        <x:f t="shared" ref="N4:N23" si="0">IF(AND(J4&lt;&gt;"",K4&lt;&gt;""),K4*10000/J4,"")</x:f>
      </x:c>
      <x:c r="O4" s="3" t="s">
        <x:v>398</x:v>
      </x:c>
      <x:c r="P4" s="11"/>
      <x:c r="Q4" s="11"/>
      <x:c r="R4" s="13" t="s">
        <x:v>547</x:v>
      </x:c>
      <x:c r="S4" s="3" t="s">
        <x:v>548</x:v>
      </x:c>
      <x:c r="T4" s="3" t="s">
        <x:v>549</x:v>
      </x:c>
      <x:c r="U4" s="3" t="s">
        <x:v>69</x:v>
      </x:c>
      <x:c r="V4" s="3" t="s">
        <x:v>242</x:v>
      </x:c>
      <x:c r="W4" s="3" t="s">
        <x:v>243</x:v>
      </x:c>
      <x:c r="X4" s="9" t="s">
        <x:v>244</x:v>
      </x:c>
      <x:c r="Y4" s="3" t="s">
        <x:v>550</x:v>
      </x:c>
      <x:c r="Z4" s="3" t="s">
        <x:v>551</x:v>
      </x:c>
      <x:c r="AA4" s="8" t="s">
        <x:v>61</x:v>
      </x:c>
    </x:row>
    <x:row r="5" ht="28">
      <x:c r="A5" s="3" t="s">
        <x:v>552</x:v>
      </x:c>
      <x:c r="B5" s="3" t="s">
        <x:v>471</x:v>
      </x:c>
      <x:c r="C5" s="3" t="s">
        <x:v>75</x:v>
      </x:c>
      <x:c r="D5" s="3" t="s">
        <x:v>62</x:v>
      </x:c>
      <x:c r="E5" s="3" t="s">
        <x:v>67</x:v>
      </x:c>
      <x:c r="F5" s="9" t="s">
        <x:v>63</x:v>
      </x:c>
      <x:c r="G5" s="9" t="s">
        <x:v>68</x:v>
      </x:c>
      <x:c r="H5" s="9"/>
      <x:c r="I5" s="9">
        <x:v>15.75</x:v>
      </x:c>
      <x:c r="J5" s="9"/>
      <x:c r="K5" s="9"/>
      <x:c r="L5" s="3"/>
      <x:c r="M5" s="9" t="s">
        <x:v>553</x:v>
      </x:c>
      <x:c r="N5" s="14" t="str">
        <x:f t="shared" si="0"/>
      </x:c>
      <x:c r="O5" s="3" t="s">
        <x:v>398</x:v>
      </x:c>
      <x:c r="P5" s="11"/>
      <x:c r="Q5" s="11"/>
      <x:c r="R5" s="13" t="s">
        <x:v>476</x:v>
      </x:c>
      <x:c r="S5" s="3" t="s">
        <x:v>548</x:v>
      </x:c>
      <x:c r="T5" s="3" t="s">
        <x:v>549</x:v>
      </x:c>
      <x:c r="U5" s="3" t="s">
        <x:v>77</x:v>
      </x:c>
      <x:c r="V5" s="3" t="s">
        <x:v>242</x:v>
      </x:c>
      <x:c r="W5" s="3" t="s">
        <x:v>243</x:v>
      </x:c>
      <x:c r="X5" s="9" t="s">
        <x:v>554</x:v>
      </x:c>
      <x:c r="Y5" s="3" t="s">
        <x:v>555</x:v>
      </x:c>
      <x:c r="Z5" s="3" t="s">
        <x:v>556</x:v>
      </x:c>
      <x:c r="AA5" s="8" t="s">
        <x:v>61</x:v>
      </x:c>
    </x:row>
    <x:row r="6" ht="28">
      <x:c r="A6" s="3" t="s">
        <x:v>557</x:v>
      </x:c>
      <x:c r="B6" s="3" t="s">
        <x:v>471</x:v>
      </x:c>
      <x:c r="C6" s="3" t="s">
        <x:v>75</x:v>
      </x:c>
      <x:c r="D6" s="3" t="s">
        <x:v>62</x:v>
      </x:c>
      <x:c r="E6" s="3" t="s">
        <x:v>70</x:v>
      </x:c>
      <x:c r="F6" s="9" t="s">
        <x:v>63</x:v>
      </x:c>
      <x:c r="G6" s="9" t="s">
        <x:v>71</x:v>
      </x:c>
      <x:c r="H6" s="9"/>
      <x:c r="I6" s="9">
        <x:v>6.85</x:v>
      </x:c>
      <x:c r="J6" s="9"/>
      <x:c r="K6" s="9"/>
      <x:c r="L6" s="3"/>
      <x:c r="M6" s="9" t="s">
        <x:v>558</x:v>
      </x:c>
      <x:c r="N6" s="14" t="str">
        <x:f t="shared" si="0"/>
      </x:c>
      <x:c r="O6" s="3" t="s">
        <x:v>398</x:v>
      </x:c>
      <x:c r="P6" s="11"/>
      <x:c r="Q6" s="11"/>
      <x:c r="R6" s="13" t="s">
        <x:v>476</x:v>
      </x:c>
      <x:c r="S6" s="3" t="s">
        <x:v>548</x:v>
      </x:c>
      <x:c r="T6" s="3" t="s">
        <x:v>549</x:v>
      </x:c>
      <x:c r="U6" s="3" t="s">
        <x:v>77</x:v>
      </x:c>
      <x:c r="V6" s="3" t="s">
        <x:v>242</x:v>
      </x:c>
      <x:c r="W6" s="3" t="s">
        <x:v>243</x:v>
      </x:c>
      <x:c r="X6" s="9" t="s">
        <x:v>554</x:v>
      </x:c>
      <x:c r="Y6" s="3" t="s">
        <x:v>555</x:v>
      </x:c>
      <x:c r="Z6" s="3" t="s">
        <x:v>559</x:v>
      </x:c>
      <x:c r="AA6" s="8" t="s">
        <x:v>61</x:v>
      </x:c>
    </x:row>
    <x:row r="7" ht="42">
      <x:c r="A7" s="3" t="s">
        <x:v>560</x:v>
      </x:c>
      <x:c r="B7" s="3" t="s">
        <x:v>482</x:v>
      </x:c>
      <x:c r="C7" s="3" t="s">
        <x:v>103</x:v>
      </x:c>
      <x:c r="D7" s="3" t="s">
        <x:v>99</x:v>
      </x:c>
      <x:c r="E7" s="3" t="s">
        <x:v>117</x:v>
      </x:c>
      <x:c r="F7" s="9" t="s">
        <x:v>100</x:v>
      </x:c>
      <x:c r="G7" s="9" t="s">
        <x:v>118</x:v>
      </x:c>
      <x:c r="H7" s="9"/>
      <x:c r="I7" s="9"/>
      <x:c r="J7" s="9">
        <x:v>666680</x:v>
      </x:c>
      <x:c r="K7" s="9">
        <x:v>1000</x:v>
      </x:c>
      <x:c r="L7" s="3" t="s">
        <x:v>239</x:v>
      </x:c>
      <x:c r="M7" s="9" t="s">
        <x:v>488</x:v>
      </x:c>
      <x:c r="N7" s="14">
        <x:f t="shared" si="0"/>
        <x:v>14.99970000599988</x:v>
      </x:c>
      <x:c r="O7" s="3" t="s">
        <x:v>398</x:v>
      </x:c>
      <x:c r="P7" s="11"/>
      <x:c r="Q7" s="11"/>
      <x:c r="R7" s="13" t="s">
        <x:v>561</x:v>
      </x:c>
      <x:c r="S7" s="3" t="s">
        <x:v>548</x:v>
      </x:c>
      <x:c r="T7" s="3" t="s">
        <x:v>549</x:v>
      </x:c>
      <x:c r="U7" s="3" t="s">
        <x:v>489</x:v>
      </x:c>
      <x:c r="V7" s="3" t="s">
        <x:v>562</x:v>
      </x:c>
      <x:c r="W7" s="3" t="s">
        <x:v>563</x:v>
      </x:c>
      <x:c r="X7" s="9" t="s">
        <x:v>564</x:v>
      </x:c>
      <x:c r="Y7" s="3" t="s">
        <x:v>565</x:v>
      </x:c>
      <x:c r="Z7" s="3" t="s">
        <x:v>566</x:v>
      </x:c>
      <x:c r="AA7" s="8" t="s">
        <x:v>61</x:v>
      </x:c>
    </x:row>
    <x:row r="8" ht="28">
      <x:c r="A8" s="3" t="s">
        <x:v>567</x:v>
      </x:c>
      <x:c r="B8" s="3" t="s">
        <x:v>495</x:v>
      </x:c>
      <x:c r="C8" s="3" t="s">
        <x:v>161</x:v>
      </x:c>
      <x:c r="D8" s="3" t="s">
        <x:v>67</x:v>
      </x:c>
      <x:c r="E8" s="3" t="s">
        <x:v>157</x:v>
      </x:c>
      <x:c r="F8" s="9" t="s">
        <x:v>68</x:v>
      </x:c>
      <x:c r="G8" s="9" t="s">
        <x:v>158</x:v>
      </x:c>
      <x:c r="H8" s="9"/>
      <x:c r="I8" s="9"/>
      <x:c r="J8" s="9">
        <x:v>515000</x:v>
      </x:c>
      <x:c r="K8" s="9">
        <x:v>1500</x:v>
      </x:c>
      <x:c r="L8" s="3" t="s">
        <x:v>239</x:v>
      </x:c>
      <x:c r="M8" s="9" t="s">
        <x:v>568</x:v>
      </x:c>
      <x:c r="N8" s="14">
        <x:f t="shared" si="0"/>
        <x:v>29.126213592233011</x:v>
      </x:c>
      <x:c r="O8" s="3" t="s">
        <x:v>398</x:v>
      </x:c>
      <x:c r="P8" s="11"/>
      <x:c r="Q8" s="11"/>
      <x:c r="R8" s="13" t="s">
        <x:v>569</x:v>
      </x:c>
      <x:c r="S8" s="3" t="s">
        <x:v>548</x:v>
      </x:c>
      <x:c r="T8" s="3" t="s">
        <x:v>549</x:v>
      </x:c>
      <x:c r="U8" s="3" t="s">
        <x:v>401</x:v>
      </x:c>
      <x:c r="V8" s="3" t="s">
        <x:v>570</x:v>
      </x:c>
      <x:c r="W8" s="3" t="s">
        <x:v>571</x:v>
      </x:c>
      <x:c r="X8" s="9" t="s">
        <x:v>572</x:v>
      </x:c>
      <x:c r="Y8" s="3" t="s">
        <x:v>573</x:v>
      </x:c>
      <x:c r="Z8" s="3" t="s">
        <x:v>574</x:v>
      </x:c>
      <x:c r="AA8" s="8" t="s">
        <x:v>61</x:v>
      </x:c>
    </x:row>
    <x:row r="9" ht="28">
      <x:c r="A9" s="3" t="s">
        <x:v>575</x:v>
      </x:c>
      <x:c r="B9" s="3" t="s">
        <x:v>495</x:v>
      </x:c>
      <x:c r="C9" s="3" t="s">
        <x:v>161</x:v>
      </x:c>
      <x:c r="D9" s="3" t="s">
        <x:v>67</x:v>
      </x:c>
      <x:c r="E9" s="3" t="s">
        <x:v>162</x:v>
      </x:c>
      <x:c r="F9" s="9" t="s">
        <x:v>68</x:v>
      </x:c>
      <x:c r="G9" s="9" t="s">
        <x:v>163</x:v>
      </x:c>
      <x:c r="H9" s="9"/>
      <x:c r="I9" s="9"/>
      <x:c r="J9" s="9">
        <x:v>180250</x:v>
      </x:c>
      <x:c r="K9" s="9">
        <x:v>524.99940000000004</x:v>
      </x:c>
      <x:c r="L9" s="3" t="s">
        <x:v>239</x:v>
      </x:c>
      <x:c r="M9" s="9" t="s">
        <x:v>576</x:v>
      </x:c>
      <x:c r="N9" s="14">
        <x:f t="shared" si="0"/>
        <x:v>29.126180305131761</x:v>
      </x:c>
      <x:c r="O9" s="3" t="s">
        <x:v>398</x:v>
      </x:c>
      <x:c r="P9" s="11"/>
      <x:c r="Q9" s="11"/>
      <x:c r="R9" s="13" t="s">
        <x:v>569</x:v>
      </x:c>
      <x:c r="S9" s="3" t="s">
        <x:v>548</x:v>
      </x:c>
      <x:c r="T9" s="3" t="s">
        <x:v>549</x:v>
      </x:c>
      <x:c r="U9" s="3" t="s">
        <x:v>401</x:v>
      </x:c>
      <x:c r="V9" s="3" t="s">
        <x:v>570</x:v>
      </x:c>
      <x:c r="W9" s="3" t="s">
        <x:v>571</x:v>
      </x:c>
      <x:c r="X9" s="9" t="s">
        <x:v>572</x:v>
      </x:c>
      <x:c r="Y9" s="3" t="s">
        <x:v>573</x:v>
      </x:c>
      <x:c r="Z9" s="3" t="s">
        <x:v>574</x:v>
      </x:c>
      <x:c r="AA9" s="8" t="s">
        <x:v>61</x:v>
      </x:c>
    </x:row>
    <x:row r="10" ht="28">
      <x:c r="A10" s="3" t="s">
        <x:v>577</x:v>
      </x:c>
      <x:c r="B10" s="3" t="s">
        <x:v>495</x:v>
      </x:c>
      <x:c r="C10" s="3" t="s">
        <x:v>161</x:v>
      </x:c>
      <x:c r="D10" s="3" t="s">
        <x:v>62</x:v>
      </x:c>
      <x:c r="E10" s="3" t="s">
        <x:v>162</x:v>
      </x:c>
      <x:c r="F10" s="9" t="s">
        <x:v>63</x:v>
      </x:c>
      <x:c r="G10" s="9" t="s">
        <x:v>163</x:v>
      </x:c>
      <x:c r="H10" s="9"/>
      <x:c r="I10" s="9"/>
      <x:c r="J10" s="9">
        <x:v>94417</x:v>
      </x:c>
      <x:c r="K10" s="9">
        <x:v>275.00599999999997</x:v>
      </x:c>
      <x:c r="L10" s="3" t="s">
        <x:v>239</x:v>
      </x:c>
      <x:c r="M10" s="9" t="s">
        <x:v>578</x:v>
      </x:c>
      <x:c r="N10" s="14">
        <x:f t="shared" si="0"/>
        <x:v>29.126746242731706</x:v>
      </x:c>
      <x:c r="O10" s="3" t="s">
        <x:v>398</x:v>
      </x:c>
      <x:c r="P10" s="11"/>
      <x:c r="Q10" s="11"/>
      <x:c r="R10" s="13" t="s">
        <x:v>569</x:v>
      </x:c>
      <x:c r="S10" s="3" t="s">
        <x:v>548</x:v>
      </x:c>
      <x:c r="T10" s="3" t="s">
        <x:v>549</x:v>
      </x:c>
      <x:c r="U10" s="3" t="s">
        <x:v>401</x:v>
      </x:c>
      <x:c r="V10" s="3" t="s">
        <x:v>570</x:v>
      </x:c>
      <x:c r="W10" s="3" t="s">
        <x:v>571</x:v>
      </x:c>
      <x:c r="X10" s="9" t="s">
        <x:v>572</x:v>
      </x:c>
      <x:c r="Y10" s="3" t="s">
        <x:v>573</x:v>
      </x:c>
      <x:c r="Z10" s="3" t="s">
        <x:v>574</x:v>
      </x:c>
      <x:c r="AA10" s="8" t="s">
        <x:v>61</x:v>
      </x:c>
    </x:row>
    <x:row r="11" ht="28">
      <x:c r="A11" s="3" t="s">
        <x:v>579</x:v>
      </x:c>
      <x:c r="B11" s="3" t="s">
        <x:v>495</x:v>
      </x:c>
      <x:c r="C11" s="3" t="s">
        <x:v>161</x:v>
      </x:c>
      <x:c r="D11" s="3" t="s">
        <x:v>62</x:v>
      </x:c>
      <x:c r="E11" s="3" t="s">
        <x:v>166</x:v>
      </x:c>
      <x:c r="F11" s="9" t="s">
        <x:v>63</x:v>
      </x:c>
      <x:c r="G11" s="9" t="s">
        <x:v>167</x:v>
      </x:c>
      <x:c r="H11" s="9"/>
      <x:c r="I11" s="9"/>
      <x:c r="J11" s="9">
        <x:v>369083</x:v>
      </x:c>
      <x:c r="K11" s="9">
        <x:v>1075</x:v>
      </x:c>
      <x:c r="L11" s="3" t="s">
        <x:v>239</x:v>
      </x:c>
      <x:c r="M11" s="9" t="s">
        <x:v>580</x:v>
      </x:c>
      <x:c r="N11" s="14">
        <x:f t="shared" si="0"/>
        <x:v>29.126239897258881</x:v>
      </x:c>
      <x:c r="O11" s="3" t="s">
        <x:v>398</x:v>
      </x:c>
      <x:c r="P11" s="11"/>
      <x:c r="Q11" s="11"/>
      <x:c r="R11" s="13" t="s">
        <x:v>569</x:v>
      </x:c>
      <x:c r="S11" s="3" t="s">
        <x:v>548</x:v>
      </x:c>
      <x:c r="T11" s="3" t="s">
        <x:v>549</x:v>
      </x:c>
      <x:c r="U11" s="3" t="s">
        <x:v>401</x:v>
      </x:c>
      <x:c r="V11" s="3" t="s">
        <x:v>570</x:v>
      </x:c>
      <x:c r="W11" s="3" t="s">
        <x:v>571</x:v>
      </x:c>
      <x:c r="X11" s="9" t="s">
        <x:v>572</x:v>
      </x:c>
      <x:c r="Y11" s="3" t="s">
        <x:v>573</x:v>
      </x:c>
      <x:c r="Z11" s="3" t="s">
        <x:v>574</x:v>
      </x:c>
      <x:c r="AA11" s="8" t="s">
        <x:v>61</x:v>
      </x:c>
    </x:row>
    <x:row r="12" ht="28">
      <x:c r="A12" s="3" t="s">
        <x:v>581</x:v>
      </x:c>
      <x:c r="B12" s="3" t="s">
        <x:v>506</x:v>
      </x:c>
      <x:c r="C12" s="3" t="s">
        <x:v>76</x:v>
      </x:c>
      <x:c r="D12" s="3" t="s">
        <x:v>70</x:v>
      </x:c>
      <x:c r="E12" s="3" t="s">
        <x:v>146</x:v>
      </x:c>
      <x:c r="F12" s="9" t="s">
        <x:v>71</x:v>
      </x:c>
      <x:c r="G12" s="9" t="s">
        <x:v>147</x:v>
      </x:c>
      <x:c r="H12" s="9"/>
      <x:c r="I12" s="9"/>
      <x:c r="J12" s="9">
        <x:v>400000</x:v>
      </x:c>
      <x:c r="K12" s="9">
        <x:v>40</x:v>
      </x:c>
      <x:c r="L12" s="3" t="s">
        <x:v>239</x:v>
      </x:c>
      <x:c r="M12" s="9" t="s">
        <x:v>582</x:v>
      </x:c>
      <x:c r="N12" s="14">
        <x:f t="shared" si="0"/>
        <x:v>1</x:v>
      </x:c>
      <x:c r="O12" s="3" t="s">
        <x:v>398</x:v>
      </x:c>
      <x:c r="P12" s="11"/>
      <x:c r="Q12" s="11"/>
      <x:c r="R12" s="13" t="s">
        <x:v>511</x:v>
      </x:c>
      <x:c r="S12" s="3" t="s">
        <x:v>548</x:v>
      </x:c>
      <x:c r="T12" s="3" t="s">
        <x:v>549</x:v>
      </x:c>
      <x:c r="U12" s="3" t="s">
        <x:v>513</x:v>
      </x:c>
      <x:c r="V12" s="3" t="s">
        <x:v>583</x:v>
      </x:c>
      <x:c r="W12" s="3" t="s">
        <x:v>584</x:v>
      </x:c>
      <x:c r="X12" s="9" t="s">
        <x:v>585</x:v>
      </x:c>
      <x:c r="Y12" s="3" t="s">
        <x:v>586</x:v>
      </x:c>
      <x:c r="Z12" s="3" t="s">
        <x:v>587</x:v>
      </x:c>
      <x:c r="AA12" s="8" t="s">
        <x:v>61</x:v>
      </x:c>
    </x:row>
    <x:row r="13" ht="28">
      <x:c r="A13" s="3" t="s">
        <x:v>588</x:v>
      </x:c>
      <x:c r="B13" s="3" t="s">
        <x:v>506</x:v>
      </x:c>
      <x:c r="C13" s="3" t="s">
        <x:v>76</x:v>
      </x:c>
      <x:c r="D13" s="3" t="s">
        <x:v>70</x:v>
      </x:c>
      <x:c r="E13" s="3" t="s">
        <x:v>150</x:v>
      </x:c>
      <x:c r="F13" s="9" t="s">
        <x:v>71</x:v>
      </x:c>
      <x:c r="G13" s="9" t="s">
        <x:v>151</x:v>
      </x:c>
      <x:c r="H13" s="9"/>
      <x:c r="I13" s="9"/>
      <x:c r="J13" s="9">
        <x:v>400000</x:v>
      </x:c>
      <x:c r="K13" s="9">
        <x:v>40</x:v>
      </x:c>
      <x:c r="L13" s="3" t="s">
        <x:v>239</x:v>
      </x:c>
      <x:c r="M13" s="9" t="s">
        <x:v>589</x:v>
      </x:c>
      <x:c r="N13" s="14">
        <x:f t="shared" si="0"/>
        <x:v>1</x:v>
      </x:c>
      <x:c r="O13" s="3" t="s">
        <x:v>398</x:v>
      </x:c>
      <x:c r="P13" s="11"/>
      <x:c r="Q13" s="11"/>
      <x:c r="R13" s="13" t="s">
        <x:v>511</x:v>
      </x:c>
      <x:c r="S13" s="3" t="s">
        <x:v>548</x:v>
      </x:c>
      <x:c r="T13" s="3" t="s">
        <x:v>549</x:v>
      </x:c>
      <x:c r="U13" s="3" t="s">
        <x:v>513</x:v>
      </x:c>
      <x:c r="V13" s="3" t="s">
        <x:v>583</x:v>
      </x:c>
      <x:c r="W13" s="3" t="s">
        <x:v>584</x:v>
      </x:c>
      <x:c r="X13" s="9" t="s">
        <x:v>585</x:v>
      </x:c>
      <x:c r="Y13" s="3" t="s">
        <x:v>586</x:v>
      </x:c>
      <x:c r="Z13" s="3" t="s">
        <x:v>587</x:v>
      </x:c>
      <x:c r="AA13" s="8" t="s">
        <x:v>61</x:v>
      </x:c>
    </x:row>
    <x:row r="14" ht="28">
      <x:c r="A14" s="3" t="s">
        <x:v>590</x:v>
      </x:c>
      <x:c r="B14" s="3" t="s">
        <x:v>517</x:v>
      </x:c>
      <x:c r="C14" s="3" t="s">
        <x:v>65</x:v>
      </x:c>
      <x:c r="D14" s="3" t="s">
        <x:v>67</x:v>
      </x:c>
      <x:c r="E14" s="3" t="s">
        <x:v>166</x:v>
      </x:c>
      <x:c r="F14" s="9" t="s">
        <x:v>68</x:v>
      </x:c>
      <x:c r="G14" s="9" t="s">
        <x:v>167</x:v>
      </x:c>
      <x:c r="H14" s="9"/>
      <x:c r="I14" s="9"/>
      <x:c r="J14" s="9">
        <x:v>480000</x:v>
      </x:c>
      <x:c r="K14" s="9">
        <x:v>2476.8000000000002</x:v>
      </x:c>
      <x:c r="L14" s="3" t="s">
        <x:v>239</x:v>
      </x:c>
      <x:c r="M14" s="9" t="s">
        <x:v>591</x:v>
      </x:c>
      <x:c r="N14" s="14">
        <x:f t="shared" si="0"/>
        <x:v>51.6</x:v>
      </x:c>
      <x:c r="O14" s="3" t="s">
        <x:v>398</x:v>
      </x:c>
      <x:c r="P14" s="11"/>
      <x:c r="Q14" s="11"/>
      <x:c r="R14" s="13" t="s">
        <x:v>592</x:v>
      </x:c>
      <x:c r="S14" s="3" t="s">
        <x:v>548</x:v>
      </x:c>
      <x:c r="T14" s="3" t="s">
        <x:v>549</x:v>
      </x:c>
      <x:c r="U14" s="3" t="s">
        <x:v>593</x:v>
      </x:c>
      <x:c r="V14" s="3" t="s">
        <x:v>594</x:v>
      </x:c>
      <x:c r="W14" s="3" t="s">
        <x:v>595</x:v>
      </x:c>
      <x:c r="X14" s="9" t="s">
        <x:v>596</x:v>
      </x:c>
      <x:c r="Y14" s="3" t="s">
        <x:v>597</x:v>
      </x:c>
      <x:c r="Z14" s="3" t="s">
        <x:v>598</x:v>
      </x:c>
      <x:c r="AA14" s="8" t="s">
        <x:v>61</x:v>
      </x:c>
    </x:row>
    <x:row r="15" ht="28">
      <x:c r="A15" s="3" t="s">
        <x:v>599</x:v>
      </x:c>
      <x:c r="B15" s="3" t="s">
        <x:v>517</x:v>
      </x:c>
      <x:c r="C15" s="3" t="s">
        <x:v>65</x:v>
      </x:c>
      <x:c r="D15" s="3" t="s">
        <x:v>67</x:v>
      </x:c>
      <x:c r="E15" s="3" t="s">
        <x:v>187</x:v>
      </x:c>
      <x:c r="F15" s="9" t="s">
        <x:v>68</x:v>
      </x:c>
      <x:c r="G15" s="9" t="s">
        <x:v>188</x:v>
      </x:c>
      <x:c r="H15" s="9"/>
      <x:c r="I15" s="9"/>
      <x:c r="J15" s="9">
        <x:v>484495</x:v>
      </x:c>
      <x:c r="K15" s="9">
        <x:v>2499.9899999999998</x:v>
      </x:c>
      <x:c r="L15" s="3" t="s">
        <x:v>239</x:v>
      </x:c>
      <x:c r="M15" s="9" t="s">
        <x:v>600</x:v>
      </x:c>
      <x:c r="N15" s="14">
        <x:f t="shared" si="0"/>
        <x:v>51.599913311798879</x:v>
      </x:c>
      <x:c r="O15" s="3" t="s">
        <x:v>398</x:v>
      </x:c>
      <x:c r="P15" s="11"/>
      <x:c r="Q15" s="11"/>
      <x:c r="R15" s="13" t="s">
        <x:v>592</x:v>
      </x:c>
      <x:c r="S15" s="3" t="s">
        <x:v>548</x:v>
      </x:c>
      <x:c r="T15" s="3" t="s">
        <x:v>549</x:v>
      </x:c>
      <x:c r="U15" s="3" t="s">
        <x:v>593</x:v>
      </x:c>
      <x:c r="V15" s="3" t="s">
        <x:v>594</x:v>
      </x:c>
      <x:c r="W15" s="3" t="s">
        <x:v>595</x:v>
      </x:c>
      <x:c r="X15" s="9" t="s">
        <x:v>596</x:v>
      </x:c>
      <x:c r="Y15" s="3" t="s">
        <x:v>597</x:v>
      </x:c>
      <x:c r="Z15" s="3" t="s">
        <x:v>598</x:v>
      </x:c>
      <x:c r="AA15" s="8" t="s">
        <x:v>61</x:v>
      </x:c>
    </x:row>
    <x:row r="16" ht="28">
      <x:c r="A16" s="3" t="s">
        <x:v>601</x:v>
      </x:c>
      <x:c r="B16" s="3" t="s">
        <x:v>517</x:v>
      </x:c>
      <x:c r="C16" s="3" t="s">
        <x:v>65</x:v>
      </x:c>
      <x:c r="D16" s="3" t="s">
        <x:v>62</x:v>
      </x:c>
      <x:c r="E16" s="3" t="s">
        <x:v>190</x:v>
      </x:c>
      <x:c r="F16" s="9" t="s">
        <x:v>63</x:v>
      </x:c>
      <x:c r="G16" s="9" t="s">
        <x:v>191</x:v>
      </x:c>
      <x:c r="H16" s="9"/>
      <x:c r="I16" s="9"/>
      <x:c r="J16" s="9">
        <x:v>116280</x:v>
      </x:c>
      <x:c r="K16" s="9">
        <x:v>600</x:v>
      </x:c>
      <x:c r="L16" s="3" t="s">
        <x:v>239</x:v>
      </x:c>
      <x:c r="M16" s="9" t="s">
        <x:v>602</x:v>
      </x:c>
      <x:c r="N16" s="14">
        <x:f t="shared" si="0"/>
        <x:v>51.59958720330237</x:v>
      </x:c>
      <x:c r="O16" s="3" t="s">
        <x:v>398</x:v>
      </x:c>
      <x:c r="P16" s="11"/>
      <x:c r="Q16" s="11"/>
      <x:c r="R16" s="13" t="s">
        <x:v>592</x:v>
      </x:c>
      <x:c r="S16" s="3" t="s">
        <x:v>548</x:v>
      </x:c>
      <x:c r="T16" s="3" t="s">
        <x:v>549</x:v>
      </x:c>
      <x:c r="U16" s="3" t="s">
        <x:v>593</x:v>
      </x:c>
      <x:c r="V16" s="3" t="s">
        <x:v>594</x:v>
      </x:c>
      <x:c r="W16" s="3" t="s">
        <x:v>595</x:v>
      </x:c>
      <x:c r="X16" s="9" t="s">
        <x:v>596</x:v>
      </x:c>
      <x:c r="Y16" s="3" t="s">
        <x:v>597</x:v>
      </x:c>
      <x:c r="Z16" s="3" t="s">
        <x:v>598</x:v>
      </x:c>
      <x:c r="AA16" s="8" t="s">
        <x:v>61</x:v>
      </x:c>
    </x:row>
    <x:row r="17" ht="28">
      <x:c r="A17" s="3" t="s">
        <x:v>603</x:v>
      </x:c>
      <x:c r="B17" s="3" t="s">
        <x:v>517</x:v>
      </x:c>
      <x:c r="C17" s="3" t="s">
        <x:v>65</x:v>
      </x:c>
      <x:c r="D17" s="3" t="s">
        <x:v>62</x:v>
      </x:c>
      <x:c r="E17" s="3" t="s">
        <x:v>194</x:v>
      </x:c>
      <x:c r="F17" s="9" t="s">
        <x:v>63</x:v>
      </x:c>
      <x:c r="G17" s="9" t="s">
        <x:v>195</x:v>
      </x:c>
      <x:c r="H17" s="9"/>
      <x:c r="I17" s="9"/>
      <x:c r="J17" s="9">
        <x:v>85000</x:v>
      </x:c>
      <x:c r="K17" s="9">
        <x:v>438.6</x:v>
      </x:c>
      <x:c r="L17" s="3" t="s">
        <x:v>239</x:v>
      </x:c>
      <x:c r="M17" s="9" t="s">
        <x:v>604</x:v>
      </x:c>
      <x:c r="N17" s="14">
        <x:f t="shared" si="0"/>
        <x:v>51.6</x:v>
      </x:c>
      <x:c r="O17" s="3" t="s">
        <x:v>398</x:v>
      </x:c>
      <x:c r="P17" s="11"/>
      <x:c r="Q17" s="11"/>
      <x:c r="R17" s="13" t="s">
        <x:v>592</x:v>
      </x:c>
      <x:c r="S17" s="3" t="s">
        <x:v>548</x:v>
      </x:c>
      <x:c r="T17" s="3" t="s">
        <x:v>549</x:v>
      </x:c>
      <x:c r="U17" s="3" t="s">
        <x:v>593</x:v>
      </x:c>
      <x:c r="V17" s="3" t="s">
        <x:v>594</x:v>
      </x:c>
      <x:c r="W17" s="3" t="s">
        <x:v>595</x:v>
      </x:c>
      <x:c r="X17" s="9" t="s">
        <x:v>596</x:v>
      </x:c>
      <x:c r="Y17" s="3" t="s">
        <x:v>597</x:v>
      </x:c>
      <x:c r="Z17" s="3" t="s">
        <x:v>598</x:v>
      </x:c>
      <x:c r="AA17" s="8" t="s">
        <x:v>61</x:v>
      </x:c>
    </x:row>
    <x:row r="18" ht="28">
      <x:c r="A18" s="3" t="s">
        <x:v>605</x:v>
      </x:c>
      <x:c r="B18" s="3" t="s">
        <x:v>517</x:v>
      </x:c>
      <x:c r="C18" s="3" t="s">
        <x:v>65</x:v>
      </x:c>
      <x:c r="D18" s="3" t="s">
        <x:v>62</x:v>
      </x:c>
      <x:c r="E18" s="3" t="s">
        <x:v>196</x:v>
      </x:c>
      <x:c r="F18" s="9" t="s">
        <x:v>63</x:v>
      </x:c>
      <x:c r="G18" s="9" t="s">
        <x:v>197</x:v>
      </x:c>
      <x:c r="H18" s="9"/>
      <x:c r="I18" s="9"/>
      <x:c r="J18" s="9">
        <x:v>85000</x:v>
      </x:c>
      <x:c r="K18" s="9">
        <x:v>438.6</x:v>
      </x:c>
      <x:c r="L18" s="3" t="s">
        <x:v>239</x:v>
      </x:c>
      <x:c r="M18" s="9" t="s">
        <x:v>606</x:v>
      </x:c>
      <x:c r="N18" s="14">
        <x:f t="shared" si="0"/>
        <x:v>51.6</x:v>
      </x:c>
      <x:c r="O18" s="3" t="s">
        <x:v>398</x:v>
      </x:c>
      <x:c r="P18" s="11"/>
      <x:c r="Q18" s="11"/>
      <x:c r="R18" s="13" t="s">
        <x:v>592</x:v>
      </x:c>
      <x:c r="S18" s="3" t="s">
        <x:v>548</x:v>
      </x:c>
      <x:c r="T18" s="3" t="s">
        <x:v>549</x:v>
      </x:c>
      <x:c r="U18" s="3" t="s">
        <x:v>593</x:v>
      </x:c>
      <x:c r="V18" s="3" t="s">
        <x:v>594</x:v>
      </x:c>
      <x:c r="W18" s="3" t="s">
        <x:v>595</x:v>
      </x:c>
      <x:c r="X18" s="9" t="s">
        <x:v>596</x:v>
      </x:c>
      <x:c r="Y18" s="3" t="s">
        <x:v>597</x:v>
      </x:c>
      <x:c r="Z18" s="3" t="s">
        <x:v>598</x:v>
      </x:c>
      <x:c r="AA18" s="8" t="s">
        <x:v>61</x:v>
      </x:c>
    </x:row>
    <x:row r="19" ht="28">
      <x:c r="A19" s="3" t="s">
        <x:v>607</x:v>
      </x:c>
      <x:c r="B19" s="3" t="s">
        <x:v>517</x:v>
      </x:c>
      <x:c r="C19" s="3" t="s">
        <x:v>65</x:v>
      </x:c>
      <x:c r="D19" s="3" t="s">
        <x:v>62</x:v>
      </x:c>
      <x:c r="E19" s="3" t="s">
        <x:v>198</x:v>
      </x:c>
      <x:c r="F19" s="9" t="s">
        <x:v>63</x:v>
      </x:c>
      <x:c r="G19" s="9" t="s">
        <x:v>199</x:v>
      </x:c>
      <x:c r="H19" s="9"/>
      <x:c r="I19" s="9"/>
      <x:c r="J19" s="9">
        <x:v>85000</x:v>
      </x:c>
      <x:c r="K19" s="9">
        <x:v>438.6</x:v>
      </x:c>
      <x:c r="L19" s="3" t="s">
        <x:v>239</x:v>
      </x:c>
      <x:c r="M19" s="9" t="s">
        <x:v>608</x:v>
      </x:c>
      <x:c r="N19" s="14">
        <x:f t="shared" si="0"/>
        <x:v>51.6</x:v>
      </x:c>
      <x:c r="O19" s="3" t="s">
        <x:v>398</x:v>
      </x:c>
      <x:c r="P19" s="11"/>
      <x:c r="Q19" s="11"/>
      <x:c r="R19" s="13" t="s">
        <x:v>592</x:v>
      </x:c>
      <x:c r="S19" s="3" t="s">
        <x:v>548</x:v>
      </x:c>
      <x:c r="T19" s="3" t="s">
        <x:v>549</x:v>
      </x:c>
      <x:c r="U19" s="3" t="s">
        <x:v>593</x:v>
      </x:c>
      <x:c r="V19" s="3" t="s">
        <x:v>594</x:v>
      </x:c>
      <x:c r="W19" s="3" t="s">
        <x:v>595</x:v>
      </x:c>
      <x:c r="X19" s="9" t="s">
        <x:v>596</x:v>
      </x:c>
      <x:c r="Y19" s="3" t="s">
        <x:v>597</x:v>
      </x:c>
      <x:c r="Z19" s="3" t="s">
        <x:v>598</x:v>
      </x:c>
      <x:c r="AA19" s="8" t="s">
        <x:v>61</x:v>
      </x:c>
    </x:row>
    <x:row r="20" ht="28">
      <x:c r="A20" s="3" t="s">
        <x:v>609</x:v>
      </x:c>
      <x:c r="B20" s="3" t="s">
        <x:v>517</x:v>
      </x:c>
      <x:c r="C20" s="3" t="s">
        <x:v>65</x:v>
      </x:c>
      <x:c r="D20" s="3" t="s">
        <x:v>62</x:v>
      </x:c>
      <x:c r="E20" s="3" t="s">
        <x:v>200</x:v>
      </x:c>
      <x:c r="F20" s="9" t="s">
        <x:v>63</x:v>
      </x:c>
      <x:c r="G20" s="9" t="s">
        <x:v>201</x:v>
      </x:c>
      <x:c r="H20" s="9"/>
      <x:c r="I20" s="9"/>
      <x:c r="J20" s="9">
        <x:v>38760</x:v>
      </x:c>
      <x:c r="K20" s="9">
        <x:v>200</x:v>
      </x:c>
      <x:c r="L20" s="3" t="s">
        <x:v>239</x:v>
      </x:c>
      <x:c r="M20" s="9" t="s">
        <x:v>610</x:v>
      </x:c>
      <x:c r="N20" s="14">
        <x:f t="shared" si="0"/>
        <x:v>51.59958720330237</x:v>
      </x:c>
      <x:c r="O20" s="3" t="s">
        <x:v>398</x:v>
      </x:c>
      <x:c r="P20" s="11"/>
      <x:c r="Q20" s="11"/>
      <x:c r="R20" s="13" t="s">
        <x:v>592</x:v>
      </x:c>
      <x:c r="S20" s="3" t="s">
        <x:v>548</x:v>
      </x:c>
      <x:c r="T20" s="3" t="s">
        <x:v>549</x:v>
      </x:c>
      <x:c r="U20" s="3" t="s">
        <x:v>593</x:v>
      </x:c>
      <x:c r="V20" s="3" t="s">
        <x:v>594</x:v>
      </x:c>
      <x:c r="W20" s="3" t="s">
        <x:v>595</x:v>
      </x:c>
      <x:c r="X20" s="9" t="s">
        <x:v>596</x:v>
      </x:c>
      <x:c r="Y20" s="3" t="s">
        <x:v>597</x:v>
      </x:c>
      <x:c r="Z20" s="3" t="s">
        <x:v>598</x:v>
      </x:c>
      <x:c r="AA20" s="8" t="s">
        <x:v>61</x:v>
      </x:c>
    </x:row>
    <x:row r="21" ht="28">
      <x:c r="A21" s="3" t="s">
        <x:v>611</x:v>
      </x:c>
      <x:c r="B21" s="3" t="s">
        <x:v>517</x:v>
      </x:c>
      <x:c r="C21" s="3" t="s">
        <x:v>65</x:v>
      </x:c>
      <x:c r="D21" s="3" t="s">
        <x:v>62</x:v>
      </x:c>
      <x:c r="E21" s="3" t="s">
        <x:v>202</x:v>
      </x:c>
      <x:c r="F21" s="9" t="s">
        <x:v>63</x:v>
      </x:c>
      <x:c r="G21" s="9" t="s">
        <x:v>203</x:v>
      </x:c>
      <x:c r="H21" s="9"/>
      <x:c r="I21" s="9"/>
      <x:c r="J21" s="9">
        <x:v>85000</x:v>
      </x:c>
      <x:c r="K21" s="9">
        <x:v>438.6</x:v>
      </x:c>
      <x:c r="L21" s="3" t="s">
        <x:v>239</x:v>
      </x:c>
      <x:c r="M21" s="9" t="s">
        <x:v>612</x:v>
      </x:c>
      <x:c r="N21" s="14">
        <x:f t="shared" si="0"/>
        <x:v>51.6</x:v>
      </x:c>
      <x:c r="O21" s="3" t="s">
        <x:v>398</x:v>
      </x:c>
      <x:c r="P21" s="11"/>
      <x:c r="Q21" s="11"/>
      <x:c r="R21" s="13" t="s">
        <x:v>592</x:v>
      </x:c>
      <x:c r="S21" s="3" t="s">
        <x:v>548</x:v>
      </x:c>
      <x:c r="T21" s="3" t="s">
        <x:v>549</x:v>
      </x:c>
      <x:c r="U21" s="3" t="s">
        <x:v>593</x:v>
      </x:c>
      <x:c r="V21" s="3" t="s">
        <x:v>594</x:v>
      </x:c>
      <x:c r="W21" s="3" t="s">
        <x:v>595</x:v>
      </x:c>
      <x:c r="X21" s="9" t="s">
        <x:v>596</x:v>
      </x:c>
      <x:c r="Y21" s="3" t="s">
        <x:v>597</x:v>
      </x:c>
      <x:c r="Z21" s="3" t="s">
        <x:v>598</x:v>
      </x:c>
      <x:c r="AA21" s="8" t="s">
        <x:v>61</x:v>
      </x:c>
    </x:row>
    <x:row r="22" ht="28">
      <x:c r="A22" s="3" t="s">
        <x:v>613</x:v>
      </x:c>
      <x:c r="B22" s="3" t="s">
        <x:v>517</x:v>
      </x:c>
      <x:c r="C22" s="3" t="s">
        <x:v>65</x:v>
      </x:c>
      <x:c r="D22" s="3" t="s">
        <x:v>146</x:v>
      </x:c>
      <x:c r="E22" s="3" t="s">
        <x:v>202</x:v>
      </x:c>
      <x:c r="F22" s="9" t="s">
        <x:v>147</x:v>
      </x:c>
      <x:c r="G22" s="9" t="s">
        <x:v>203</x:v>
      </x:c>
      <x:c r="H22" s="9"/>
      <x:c r="I22" s="9"/>
      <x:c r="J22" s="9">
        <x:v>50000</x:v>
      </x:c>
      <x:c r="K22" s="9">
        <x:v>258</x:v>
      </x:c>
      <x:c r="L22" s="3" t="s">
        <x:v>239</x:v>
      </x:c>
      <x:c r="M22" s="9" t="s">
        <x:v>614</x:v>
      </x:c>
      <x:c r="N22" s="14">
        <x:f t="shared" si="0"/>
        <x:v>51.6</x:v>
      </x:c>
      <x:c r="O22" s="3" t="s">
        <x:v>398</x:v>
      </x:c>
      <x:c r="P22" s="11"/>
      <x:c r="Q22" s="11"/>
      <x:c r="R22" s="13" t="s">
        <x:v>592</x:v>
      </x:c>
      <x:c r="S22" s="3" t="s">
        <x:v>548</x:v>
      </x:c>
      <x:c r="T22" s="3" t="s">
        <x:v>549</x:v>
      </x:c>
      <x:c r="U22" s="3" t="s">
        <x:v>593</x:v>
      </x:c>
      <x:c r="V22" s="3" t="s">
        <x:v>594</x:v>
      </x:c>
      <x:c r="W22" s="3" t="s">
        <x:v>595</x:v>
      </x:c>
      <x:c r="X22" s="9" t="s">
        <x:v>596</x:v>
      </x:c>
      <x:c r="Y22" s="3" t="s">
        <x:v>597</x:v>
      </x:c>
      <x:c r="Z22" s="3" t="s">
        <x:v>598</x:v>
      </x:c>
      <x:c r="AA22" s="8" t="s">
        <x:v>61</x:v>
      </x:c>
    </x:row>
    <x:row r="23" ht="28">
      <x:c r="A23" s="3" t="s">
        <x:v>615</x:v>
      </x:c>
      <x:c r="B23" s="3" t="s">
        <x:v>517</x:v>
      </x:c>
      <x:c r="C23" s="3" t="s">
        <x:v>65</x:v>
      </x:c>
      <x:c r="D23" s="3" t="s">
        <x:v>150</x:v>
      </x:c>
      <x:c r="E23" s="3" t="s">
        <x:v>202</x:v>
      </x:c>
      <x:c r="F23" s="9" t="s">
        <x:v>151</x:v>
      </x:c>
      <x:c r="G23" s="9" t="s">
        <x:v>203</x:v>
      </x:c>
      <x:c r="H23" s="9"/>
      <x:c r="I23" s="9"/>
      <x:c r="J23" s="9">
        <x:v>150000</x:v>
      </x:c>
      <x:c r="K23" s="9">
        <x:v>774</x:v>
      </x:c>
      <x:c r="L23" s="3" t="s">
        <x:v>239</x:v>
      </x:c>
      <x:c r="M23" s="9" t="s">
        <x:v>616</x:v>
      </x:c>
      <x:c r="N23" s="14">
        <x:f t="shared" si="0"/>
        <x:v>51.6</x:v>
      </x:c>
      <x:c r="O23" s="3" t="s">
        <x:v>398</x:v>
      </x:c>
      <x:c r="P23" s="11"/>
      <x:c r="Q23" s="11"/>
      <x:c r="R23" s="13" t="s">
        <x:v>592</x:v>
      </x:c>
      <x:c r="S23" s="3" t="s">
        <x:v>548</x:v>
      </x:c>
      <x:c r="T23" s="3" t="s">
        <x:v>549</x:v>
      </x:c>
      <x:c r="U23" s="3" t="s">
        <x:v>593</x:v>
      </x:c>
      <x:c r="V23" s="3" t="s">
        <x:v>594</x:v>
      </x:c>
      <x:c r="W23" s="3" t="s">
        <x:v>595</x:v>
      </x:c>
      <x:c r="X23" s="9" t="s">
        <x:v>596</x:v>
      </x:c>
      <x:c r="Y23" s="3" t="s">
        <x:v>597</x:v>
      </x:c>
      <x:c r="Z23" s="3" t="s">
        <x:v>598</x:v>
      </x:c>
      <x:c r="AA23" s="8" t="s">
        <x:v>61</x:v>
      </x:c>
    </x:row>
  </x:sheetData>
  <x:mergeCells>
    <x:mergeCell ref="A1:AA1"/>
    <x:mergeCell ref="A2:AA2"/>
  </x:mergeCells>
  <x:conditionalFormatting sqref="AA4:AA23">
    <x:cfRule type="expression" dxfId="22" priority="1">
      <x:formula>AA4="待用户复核"</x:formula>
    </x:cfRule>
    <x:cfRule type="expression" dxfId="21" priority="2">
      <x:formula>AA4="需修改"</x:formula>
    </x:cfRule>
    <x:cfRule type="expression" dxfId="20" priority="3">
      <x:formula>AA4="已验收通过"</x:formula>
    </x:cfRule>
  </x:conditionalFormatting>
  <x:dataValidations count="1">
    <x:dataValidation type="list" sqref="AA4:AA23">
      <x:formula1>"待用户复核,待人工复核,已验收通过,需修改"</x:formula1>
    </x:dataValidation>
  </x:dataValidations>
  <x:pageMargins left="0.7" right="0.7" top="0.75" bottom="0.75" header="0.3" footer="0.3"/>
  <x:tableParts count="1">
    <x:tablePart xmlns:r="http://schemas.openxmlformats.org/officeDocument/2006/relationships" r:id="Rc76c3db728194f48"/>
  </x:tableParts>
</x:worksheet>
</file>

<file path=xl/worksheets/sheet7.xml><?xml version="1.0" encoding="utf-8"?>
<x:worksheet xmlns:x="http://schemas.openxmlformats.org/spreadsheetml/2006/main">
  <x:sheetFormatPr defaultRowHeight="14"/>
  <x:cols>
    <x:col min="1" max="1" width="18" customWidth="1"/>
    <x:col min="2" max="2" width="16" customWidth="1"/>
    <x:col min="3" max="3" width="18" customWidth="1"/>
    <x:col min="4" max="6" width="16" customWidth="1"/>
    <x:col min="7" max="8" width="14" customWidth="1"/>
    <x:col min="9" max="11" width="15" customWidth="1"/>
    <x:col min="12" max="12" width="18" customWidth="1"/>
    <x:col min="13" max="13" width="34" customWidth="1"/>
    <x:col min="14" max="14" width="22" customWidth="1"/>
    <x:col min="15" max="16" width="18" customWidth="1"/>
    <x:col min="17" max="18" width="16" customWidth="1"/>
    <x:col min="19" max="19" width="14" customWidth="1"/>
    <x:col min="20" max="20" width="34" customWidth="1"/>
    <x:col min="21" max="21" width="22" customWidth="1"/>
  </x:cols>
  <x:sheetData>
    <x:row r="1" ht="7.75" customHeight="1">
      <x:c r="A1" s="36" t="s">
        <x:v>617</x:v>
      </x:c>
      <x:c r="B1" s="36"/>
      <x:c r="C1" s="36"/>
      <x:c r="D1" s="36"/>
      <x:c r="E1" s="36"/>
      <x:c r="F1" s="36"/>
      <x:c r="G1" s="36"/>
      <x:c r="H1" s="36"/>
      <x:c r="I1" s="36"/>
      <x:c r="J1" s="36"/>
      <x:c r="K1" s="36"/>
      <x:c r="L1" s="36"/>
      <x:c r="M1" s="36"/>
      <x:c r="N1" s="36"/>
      <x:c r="O1" s="36"/>
      <x:c r="P1" s="36"/>
      <x:c r="Q1" s="36"/>
      <x:c r="R1" s="36"/>
      <x:c r="S1" s="36"/>
      <x:c r="T1" s="36"/>
      <x:c r="U1" s="36"/>
    </x:row>
    <x:row r="2" ht="9.5" customHeight="1">
      <x:c r="A2" s="37" t="s">
        <x:v>618</x:v>
      </x:c>
      <x:c r="B2" s="37"/>
      <x:c r="C2" s="37"/>
      <x:c r="D2" s="37"/>
      <x:c r="E2" s="37"/>
      <x:c r="F2" s="37"/>
      <x:c r="G2" s="37"/>
      <x:c r="H2" s="37"/>
      <x:c r="I2" s="37"/>
      <x:c r="J2" s="37"/>
      <x:c r="K2" s="37"/>
      <x:c r="L2" s="37"/>
      <x:c r="M2" s="37"/>
      <x:c r="N2" s="37"/>
      <x:c r="O2" s="37"/>
      <x:c r="P2" s="37"/>
      <x:c r="Q2" s="37"/>
      <x:c r="R2" s="37"/>
      <x:c r="S2" s="37"/>
      <x:c r="T2" s="37"/>
      <x:c r="U2" s="37"/>
    </x:row>
    <x:row r="3" ht="10.649999618530273" customHeight="1">
      <x:c r="A3" s="7" t="s">
        <x:v>619</x:v>
      </x:c>
      <x:c r="B3" s="7" t="s">
        <x:v>620</x:v>
      </x:c>
      <x:c r="C3" s="7" t="s">
        <x:v>621</x:v>
      </x:c>
      <x:c r="D3" s="7" t="s">
        <x:v>622</x:v>
      </x:c>
      <x:c r="E3" s="7" t="s">
        <x:v>623</x:v>
      </x:c>
      <x:c r="F3" s="7" t="s">
        <x:v>215</x:v>
      </x:c>
      <x:c r="G3" s="7" t="s">
        <x:v>624</x:v>
      </x:c>
      <x:c r="H3" s="7" t="s">
        <x:v>625</x:v>
      </x:c>
      <x:c r="I3" s="7" t="s">
        <x:v>626</x:v>
      </x:c>
      <x:c r="J3" s="7" t="s">
        <x:v>346</x:v>
      </x:c>
      <x:c r="K3" s="10" t="s">
        <x:v>627</x:v>
      </x:c>
      <x:c r="L3" s="12" t="s">
        <x:v>225</x:v>
      </x:c>
      <x:c r="M3" s="7" t="s">
        <x:v>628</x:v>
      </x:c>
      <x:c r="N3" s="7" t="s">
        <x:v>629</x:v>
      </x:c>
      <x:c r="O3" s="7" t="s">
        <x:v>630</x:v>
      </x:c>
      <x:c r="P3" s="7" t="s">
        <x:v>48</x:v>
      </x:c>
      <x:c r="Q3" s="7" t="s">
        <x:v>227</x:v>
      </x:c>
      <x:c r="R3" s="7" t="s">
        <x:v>228</x:v>
      </x:c>
      <x:c r="S3" s="7" t="s">
        <x:v>631</x:v>
      </x:c>
      <x:c r="T3" s="7" t="s">
        <x:v>49</x:v>
      </x:c>
      <x:c r="U3" s="7" t="s">
        <x:v>50</x:v>
      </x:c>
    </x:row>
    <x:row r="4" ht="28">
      <x:c r="A4" s="3" t="s">
        <x:v>632</x:v>
      </x:c>
      <x:c r="B4" s="3" t="s">
        <x:v>633</x:v>
      </x:c>
      <x:c r="C4" s="3" t="s">
        <x:v>56</x:v>
      </x:c>
      <x:c r="D4" s="9" t="s">
        <x:v>634</x:v>
      </x:c>
      <x:c r="E4" s="3" t="s">
        <x:v>635</x:v>
      </x:c>
      <x:c r="F4" s="3" t="s">
        <x:v>290</x:v>
      </x:c>
      <x:c r="G4" s="3" t="s">
        <x:v>636</x:v>
      </x:c>
      <x:c r="H4" s="3" t="s">
        <x:v>238</x:v>
      </x:c>
      <x:c r="I4" s="9">
        <x:v>50</x:v>
      </x:c>
      <x:c r="J4" s="3" t="s">
        <x:v>239</x:v>
      </x:c>
      <x:c r="K4" s="11"/>
      <x:c r="L4" s="13"/>
      <x:c r="M4" s="3" t="s">
        <x:v>637</x:v>
      </x:c>
      <x:c r="N4" s="3" t="s">
        <x:v>638</x:v>
      </x:c>
      <x:c r="O4" s="3"/>
      <x:c r="P4" s="3" t="s">
        <x:v>66</x:v>
      </x:c>
      <x:c r="Q4" s="3" t="s">
        <x:v>639</x:v>
      </x:c>
      <x:c r="R4" s="3" t="s">
        <x:v>640</x:v>
      </x:c>
      <x:c r="S4" s="3"/>
      <x:c r="T4" s="3" t="s">
        <x:v>641</x:v>
      </x:c>
      <x:c r="U4" s="8" t="s">
        <x:v>61</x:v>
      </x:c>
    </x:row>
    <x:row r="5" ht="28">
      <x:c r="A5" s="3" t="s">
        <x:v>642</x:v>
      </x:c>
      <x:c r="B5" s="3" t="s">
        <x:v>461</x:v>
      </x:c>
      <x:c r="C5" s="3" t="s">
        <x:v>57</x:v>
      </x:c>
      <x:c r="D5" s="9" t="s">
        <x:v>236</x:v>
      </x:c>
      <x:c r="E5" s="3"/>
      <x:c r="F5" s="3" t="s">
        <x:v>237</x:v>
      </x:c>
      <x:c r="G5" s="3" t="s">
        <x:v>643</x:v>
      </x:c>
      <x:c r="H5" s="3" t="s">
        <x:v>238</x:v>
      </x:c>
      <x:c r="I5" s="9">
        <x:v>50</x:v>
      </x:c>
      <x:c r="J5" s="3" t="s">
        <x:v>239</x:v>
      </x:c>
      <x:c r="K5" s="11">
        <x:v>50</x:v>
      </x:c>
      <x:c r="L5" s="13" t="s">
        <x:v>547</x:v>
      </x:c>
      <x:c r="M5" s="3" t="s">
        <x:v>644</x:v>
      </x:c>
      <x:c r="N5" s="3" t="s">
        <x:v>638</x:v>
      </x:c>
      <x:c r="O5" s="3" t="s">
        <x:v>632</x:v>
      </x:c>
      <x:c r="P5" s="3" t="s">
        <x:v>645</x:v>
      </x:c>
      <x:c r="Q5" s="3" t="s">
        <x:v>242</x:v>
      </x:c>
      <x:c r="R5" s="3" t="s">
        <x:v>243</x:v>
      </x:c>
      <x:c r="S5" s="3" t="s">
        <x:v>646</x:v>
      </x:c>
      <x:c r="T5" s="3" t="s">
        <x:v>647</x:v>
      </x:c>
      <x:c r="U5" s="8" t="s">
        <x:v>61</x:v>
      </x:c>
    </x:row>
    <x:row r="6" ht="28">
      <x:c r="A6" s="3" t="s">
        <x:v>648</x:v>
      </x:c>
      <x:c r="B6" s="3" t="s">
        <x:v>232</x:v>
      </x:c>
      <x:c r="C6" s="3" t="s">
        <x:v>233</x:v>
      </x:c>
      <x:c r="D6" s="9" t="s">
        <x:v>236</x:v>
      </x:c>
      <x:c r="E6" s="3"/>
      <x:c r="F6" s="3" t="s">
        <x:v>237</x:v>
      </x:c>
      <x:c r="G6" s="3" t="s">
        <x:v>649</x:v>
      </x:c>
      <x:c r="H6" s="3" t="s">
        <x:v>238</x:v>
      </x:c>
      <x:c r="I6" s="9">
        <x:v>100</x:v>
      </x:c>
      <x:c r="J6" s="3" t="s">
        <x:v>239</x:v>
      </x:c>
      <x:c r="K6" s="11">
        <x:v>100</x:v>
      </x:c>
      <x:c r="L6" s="13" t="s">
        <x:v>240</x:v>
      </x:c>
      <x:c r="M6" s="3" t="s">
        <x:v>644</x:v>
      </x:c>
      <x:c r="N6" s="3" t="s">
        <x:v>638</x:v>
      </x:c>
      <x:c r="O6" s="3" t="s">
        <x:v>642</x:v>
      </x:c>
      <x:c r="P6" s="3" t="s">
        <x:v>69</x:v>
      </x:c>
      <x:c r="Q6" s="3" t="s">
        <x:v>242</x:v>
      </x:c>
      <x:c r="R6" s="3" t="s">
        <x:v>243</x:v>
      </x:c>
      <x:c r="S6" s="3"/>
      <x:c r="T6" s="3" t="s">
        <x:v>650</x:v>
      </x:c>
      <x:c r="U6" s="8" t="s">
        <x:v>61</x:v>
      </x:c>
    </x:row>
    <x:row r="7" ht="28">
      <x:c r="A7" s="3" t="s">
        <x:v>651</x:v>
      </x:c>
      <x:c r="B7" s="3" t="s">
        <x:v>472</x:v>
      </x:c>
      <x:c r="C7" s="3" t="s">
        <x:v>75</x:v>
      </x:c>
      <x:c r="D7" s="9" t="s">
        <x:v>474</x:v>
      </x:c>
      <x:c r="E7" s="3"/>
      <x:c r="F7" s="3" t="s">
        <x:v>237</x:v>
      </x:c>
      <x:c r="G7" s="3" t="s">
        <x:v>652</x:v>
      </x:c>
      <x:c r="H7" s="3" t="s">
        <x:v>238</x:v>
      </x:c>
      <x:c r="I7" s="9">
        <x:v>100</x:v>
      </x:c>
      <x:c r="J7" s="3" t="s">
        <x:v>239</x:v>
      </x:c>
      <x:c r="K7" s="11">
        <x:v>100</x:v>
      </x:c>
      <x:c r="L7" s="13" t="s">
        <x:v>476</x:v>
      </x:c>
      <x:c r="M7" s="3" t="s">
        <x:v>644</x:v>
      </x:c>
      <x:c r="N7" s="3" t="s">
        <x:v>638</x:v>
      </x:c>
      <x:c r="O7" s="3" t="s">
        <x:v>648</x:v>
      </x:c>
      <x:c r="P7" s="3" t="s">
        <x:v>478</x:v>
      </x:c>
      <x:c r="Q7" s="3" t="s">
        <x:v>242</x:v>
      </x:c>
      <x:c r="R7" s="3" t="s">
        <x:v>243</x:v>
      </x:c>
      <x:c r="S7" s="3"/>
      <x:c r="T7" s="3" t="s">
        <x:v>653</x:v>
      </x:c>
      <x:c r="U7" s="8" t="s">
        <x:v>61</x:v>
      </x:c>
    </x:row>
    <x:row r="8" ht="28">
      <x:c r="A8" s="3" t="s">
        <x:v>654</x:v>
      </x:c>
      <x:c r="B8" s="3" t="s">
        <x:v>248</x:v>
      </x:c>
      <x:c r="C8" s="3" t="s">
        <x:v>82</x:v>
      </x:c>
      <x:c r="D8" s="9" t="s">
        <x:v>249</x:v>
      </x:c>
      <x:c r="E8" s="3"/>
      <x:c r="F8" s="3" t="s">
        <x:v>237</x:v>
      </x:c>
      <x:c r="G8" s="3" t="s">
        <x:v>649</x:v>
      </x:c>
      <x:c r="H8" s="3" t="s">
        <x:v>238</x:v>
      </x:c>
      <x:c r="I8" s="9">
        <x:v>128.20500000000001</x:v>
      </x:c>
      <x:c r="J8" s="3" t="s">
        <x:v>239</x:v>
      </x:c>
      <x:c r="K8" s="11"/>
      <x:c r="L8" s="13"/>
      <x:c r="M8" s="3" t="s">
        <x:v>655</x:v>
      </x:c>
      <x:c r="N8" s="3" t="s">
        <x:v>656</x:v>
      </x:c>
      <x:c r="O8" s="3" t="s">
        <x:v>651</x:v>
      </x:c>
      <x:c r="P8" s="3" t="s">
        <x:v>251</x:v>
      </x:c>
      <x:c r="Q8" s="3" t="s">
        <x:v>242</x:v>
      </x:c>
      <x:c r="R8" s="3" t="s">
        <x:v>243</x:v>
      </x:c>
      <x:c r="S8" s="3"/>
      <x:c r="T8" s="3" t="s">
        <x:v>657</x:v>
      </x:c>
      <x:c r="U8" s="8" t="s">
        <x:v>61</x:v>
      </x:c>
    </x:row>
    <x:row r="9" ht="28">
      <x:c r="A9" s="3" t="s">
        <x:v>658</x:v>
      </x:c>
      <x:c r="B9" s="3" t="s">
        <x:v>256</x:v>
      </x:c>
      <x:c r="C9" s="3" t="s">
        <x:v>257</x:v>
      </x:c>
      <x:c r="D9" s="9" t="s">
        <x:v>258</x:v>
      </x:c>
      <x:c r="E9" s="3"/>
      <x:c r="F9" s="3" t="s">
        <x:v>237</x:v>
      </x:c>
      <x:c r="G9" s="3" t="s">
        <x:v>649</x:v>
      </x:c>
      <x:c r="H9" s="3" t="s">
        <x:v>238</x:v>
      </x:c>
      <x:c r="I9" s="9">
        <x:v>136.9864</x:v>
      </x:c>
      <x:c r="J9" s="3" t="s">
        <x:v>239</x:v>
      </x:c>
      <x:c r="K9" s="11"/>
      <x:c r="L9" s="13" t="s">
        <x:v>259</x:v>
      </x:c>
      <x:c r="M9" s="3" t="s">
        <x:v>655</x:v>
      </x:c>
      <x:c r="N9" s="3" t="s">
        <x:v>659</x:v>
      </x:c>
      <x:c r="O9" s="3" t="s">
        <x:v>654</x:v>
      </x:c>
      <x:c r="P9" s="3" t="s">
        <x:v>261</x:v>
      </x:c>
      <x:c r="Q9" s="3" t="s">
        <x:v>242</x:v>
      </x:c>
      <x:c r="R9" s="3" t="s">
        <x:v>243</x:v>
      </x:c>
      <x:c r="S9" s="3"/>
      <x:c r="T9" s="3" t="s">
        <x:v>660</x:v>
      </x:c>
      <x:c r="U9" s="8" t="s">
        <x:v>61</x:v>
      </x:c>
    </x:row>
    <x:row r="10" ht="28">
      <x:c r="A10" s="3" t="s">
        <x:v>661</x:v>
      </x:c>
      <x:c r="B10" s="3" t="s">
        <x:v>266</x:v>
      </x:c>
      <x:c r="C10" s="3" t="s">
        <x:v>267</x:v>
      </x:c>
      <x:c r="D10" s="9" t="s">
        <x:v>269</x:v>
      </x:c>
      <x:c r="E10" s="3"/>
      <x:c r="F10" s="3" t="s">
        <x:v>237</x:v>
      </x:c>
      <x:c r="G10" s="3" t="s">
        <x:v>662</x:v>
      </x:c>
      <x:c r="H10" s="3" t="s">
        <x:v>238</x:v>
      </x:c>
      <x:c r="I10" s="9">
        <x:v>2000</x:v>
      </x:c>
      <x:c r="J10" s="3" t="s">
        <x:v>239</x:v>
      </x:c>
      <x:c r="K10" s="11"/>
      <x:c r="L10" s="13"/>
      <x:c r="M10" s="3" t="s">
        <x:v>655</x:v>
      </x:c>
      <x:c r="N10" s="3" t="s">
        <x:v>659</x:v>
      </x:c>
      <x:c r="O10" s="3" t="s">
        <x:v>658</x:v>
      </x:c>
      <x:c r="P10" s="3" t="s">
        <x:v>272</x:v>
      </x:c>
      <x:c r="Q10" s="3" t="s">
        <x:v>242</x:v>
      </x:c>
      <x:c r="R10" s="3" t="s">
        <x:v>243</x:v>
      </x:c>
      <x:c r="S10" s="3"/>
      <x:c r="T10" s="3" t="s">
        <x:v>663</x:v>
      </x:c>
      <x:c r="U10" s="8" t="s">
        <x:v>61</x:v>
      </x:c>
    </x:row>
    <x:row r="11" ht="28">
      <x:c r="A11" s="3" t="s">
        <x:v>664</x:v>
      </x:c>
      <x:c r="B11" s="3" t="s">
        <x:v>277</x:v>
      </x:c>
      <x:c r="C11" s="3" t="s">
        <x:v>97</x:v>
      </x:c>
      <x:c r="D11" s="9" t="s">
        <x:v>278</x:v>
      </x:c>
      <x:c r="E11" s="3"/>
      <x:c r="F11" s="3" t="s">
        <x:v>237</x:v>
      </x:c>
      <x:c r="G11" s="3" t="s">
        <x:v>649</x:v>
      </x:c>
      <x:c r="H11" s="3" t="s">
        <x:v>238</x:v>
      </x:c>
      <x:c r="I11" s="9">
        <x:v>2158.2732999999998</x:v>
      </x:c>
      <x:c r="J11" s="3" t="s">
        <x:v>239</x:v>
      </x:c>
      <x:c r="K11" s="11"/>
      <x:c r="L11" s="13"/>
      <x:c r="M11" s="3" t="s">
        <x:v>655</x:v>
      </x:c>
      <x:c r="N11" s="3" t="s">
        <x:v>659</x:v>
      </x:c>
      <x:c r="O11" s="3" t="s">
        <x:v>661</x:v>
      </x:c>
      <x:c r="P11" s="3" t="s">
        <x:v>280</x:v>
      </x:c>
      <x:c r="Q11" s="3" t="s">
        <x:v>281</x:v>
      </x:c>
      <x:c r="R11" s="3" t="s">
        <x:v>242</x:v>
      </x:c>
      <x:c r="S11" s="3"/>
      <x:c r="T11" s="3" t="s">
        <x:v>665</x:v>
      </x:c>
      <x:c r="U11" s="8" t="s">
        <x:v>61</x:v>
      </x:c>
    </x:row>
    <x:row r="12" ht="28">
      <x:c r="A12" s="3" t="s">
        <x:v>666</x:v>
      </x:c>
      <x:c r="B12" s="3" t="s">
        <x:v>667</x:v>
      </x:c>
      <x:c r="C12" s="3" t="s">
        <x:v>668</x:v>
      </x:c>
      <x:c r="D12" s="9" t="s">
        <x:v>669</x:v>
      </x:c>
      <x:c r="E12" s="3" t="s">
        <x:v>670</x:v>
      </x:c>
      <x:c r="F12" s="3" t="s">
        <x:v>290</x:v>
      </x:c>
      <x:c r="G12" s="3" t="s">
        <x:v>671</x:v>
      </x:c>
      <x:c r="H12" s="3" t="s">
        <x:v>291</x:v>
      </x:c>
      <x:c r="I12" s="9">
        <x:v>40000000</x:v>
      </x:c>
      <x:c r="J12" s="3" t="s">
        <x:v>431</x:v>
      </x:c>
      <x:c r="K12" s="11">
        <x:v>40000000</x:v>
      </x:c>
      <x:c r="L12" s="13"/>
      <x:c r="M12" s="3" t="s">
        <x:v>637</x:v>
      </x:c>
      <x:c r="N12" s="3" t="s">
        <x:v>638</x:v>
      </x:c>
      <x:c r="O12" s="3" t="s">
        <x:v>664</x:v>
      </x:c>
      <x:c r="P12" s="3" t="s">
        <x:v>672</x:v>
      </x:c>
      <x:c r="Q12" s="3" t="s">
        <x:v>640</x:v>
      </x:c>
      <x:c r="R12" s="3" t="s">
        <x:v>673</x:v>
      </x:c>
      <x:c r="S12" s="3"/>
      <x:c r="T12" s="3" t="s">
        <x:v>674</x:v>
      </x:c>
      <x:c r="U12" s="8" t="s">
        <x:v>61</x:v>
      </x:c>
    </x:row>
    <x:row r="13" ht="28">
      <x:c r="A13" s="3" t="s">
        <x:v>675</x:v>
      </x:c>
      <x:c r="B13" s="3" t="s">
        <x:v>483</x:v>
      </x:c>
      <x:c r="C13" s="3" t="s">
        <x:v>103</x:v>
      </x:c>
      <x:c r="D13" s="9" t="s">
        <x:v>485</x:v>
      </x:c>
      <x:c r="E13" s="3" t="s">
        <x:v>486</x:v>
      </x:c>
      <x:c r="F13" s="3" t="s">
        <x:v>290</x:v>
      </x:c>
      <x:c r="G13" s="3" t="s">
        <x:v>676</x:v>
      </x:c>
      <x:c r="H13" s="3" t="s">
        <x:v>291</x:v>
      </x:c>
      <x:c r="I13" s="9">
        <x:v>40000000</x:v>
      </x:c>
      <x:c r="J13" s="3" t="s">
        <x:v>431</x:v>
      </x:c>
      <x:c r="K13" s="11">
        <x:v>40000000</x:v>
      </x:c>
      <x:c r="L13" s="13"/>
      <x:c r="M13" s="3" t="s">
        <x:v>644</x:v>
      </x:c>
      <x:c r="N13" s="3" t="s">
        <x:v>638</x:v>
      </x:c>
      <x:c r="O13" s="3" t="s">
        <x:v>666</x:v>
      </x:c>
      <x:c r="P13" s="3" t="s">
        <x:v>489</x:v>
      </x:c>
      <x:c r="Q13" s="3" t="s">
        <x:v>562</x:v>
      </x:c>
      <x:c r="R13" s="3" t="s">
        <x:v>563</x:v>
      </x:c>
      <x:c r="S13" s="3"/>
      <x:c r="T13" s="3" t="s">
        <x:v>677</x:v>
      </x:c>
      <x:c r="U13" s="8" t="s">
        <x:v>61</x:v>
      </x:c>
    </x:row>
    <x:row r="14" ht="42">
      <x:c r="A14" s="3" t="s">
        <x:v>678</x:v>
      </x:c>
      <x:c r="B14" s="3" t="s">
        <x:v>679</x:v>
      </x:c>
      <x:c r="C14" s="3" t="s">
        <x:v>287</x:v>
      </x:c>
      <x:c r="D14" s="9" t="s">
        <x:v>288</x:v>
      </x:c>
      <x:c r="E14" s="3" t="s">
        <x:v>289</x:v>
      </x:c>
      <x:c r="F14" s="3" t="s">
        <x:v>290</x:v>
      </x:c>
      <x:c r="G14" s="3" t="s">
        <x:v>680</x:v>
      </x:c>
      <x:c r="H14" s="3" t="s">
        <x:v>291</x:v>
      </x:c>
      <x:c r="I14" s="9">
        <x:v>46350000</x:v>
      </x:c>
      <x:c r="J14" s="3" t="s">
        <x:v>431</x:v>
      </x:c>
      <x:c r="K14" s="11">
        <x:v>46350000</x:v>
      </x:c>
      <x:c r="L14" s="13" t="s">
        <x:v>681</x:v>
      </x:c>
      <x:c r="M14" s="3" t="s">
        <x:v>637</x:v>
      </x:c>
      <x:c r="N14" s="3" t="s">
        <x:v>638</x:v>
      </x:c>
      <x:c r="O14" s="3" t="s">
        <x:v>675</x:v>
      </x:c>
      <x:c r="P14" s="3" t="s">
        <x:v>682</x:v>
      </x:c>
      <x:c r="Q14" s="3" t="s">
        <x:v>570</x:v>
      </x:c>
      <x:c r="R14" s="3" t="s">
        <x:v>571</x:v>
      </x:c>
      <x:c r="S14" s="3" t="s">
        <x:v>683</x:v>
      </x:c>
      <x:c r="T14" s="3" t="s">
        <x:v>684</x:v>
      </x:c>
      <x:c r="U14" s="8" t="s">
        <x:v>61</x:v>
      </x:c>
    </x:row>
    <x:row r="15" ht="28">
      <x:c r="A15" s="3" t="s">
        <x:v>685</x:v>
      </x:c>
      <x:c r="B15" s="3" t="s">
        <x:v>507</x:v>
      </x:c>
      <x:c r="C15" s="3" t="s">
        <x:v>76</x:v>
      </x:c>
      <x:c r="D15" s="9" t="s">
        <x:v>509</x:v>
      </x:c>
      <x:c r="E15" s="3" t="s">
        <x:v>510</x:v>
      </x:c>
      <x:c r="F15" s="3" t="s">
        <x:v>290</x:v>
      </x:c>
      <x:c r="G15" s="3" t="s">
        <x:v>676</x:v>
      </x:c>
      <x:c r="H15" s="3" t="s">
        <x:v>291</x:v>
      </x:c>
      <x:c r="I15" s="9">
        <x:v>46350000</x:v>
      </x:c>
      <x:c r="J15" s="3" t="s">
        <x:v>431</x:v>
      </x:c>
      <x:c r="K15" s="11">
        <x:v>46350000</x:v>
      </x:c>
      <x:c r="L15" s="13" t="s">
        <x:v>511</x:v>
      </x:c>
      <x:c r="M15" s="3" t="s">
        <x:v>637</x:v>
      </x:c>
      <x:c r="N15" s="3" t="s">
        <x:v>638</x:v>
      </x:c>
      <x:c r="O15" s="3" t="s">
        <x:v>678</x:v>
      </x:c>
      <x:c r="P15" s="3" t="s">
        <x:v>513</x:v>
      </x:c>
      <x:c r="Q15" s="3" t="s">
        <x:v>583</x:v>
      </x:c>
      <x:c r="R15" s="3" t="s">
        <x:v>584</x:v>
      </x:c>
      <x:c r="S15" s="3"/>
      <x:c r="T15" s="3" t="s">
        <x:v>686</x:v>
      </x:c>
      <x:c r="U15" s="8" t="s">
        <x:v>61</x:v>
      </x:c>
    </x:row>
    <x:row r="16" ht="28">
      <x:c r="A16" s="3" t="s">
        <x:v>687</x:v>
      </x:c>
      <x:c r="B16" s="3" t="s">
        <x:v>314</x:v>
      </x:c>
      <x:c r="C16" s="3" t="s">
        <x:v>175</x:v>
      </x:c>
      <x:c r="D16" s="9" t="s">
        <x:v>315</x:v>
      </x:c>
      <x:c r="E16" s="3" t="s">
        <x:v>316</x:v>
      </x:c>
      <x:c r="F16" s="3" t="s">
        <x:v>290</x:v>
      </x:c>
      <x:c r="G16" s="3" t="s">
        <x:v>649</x:v>
      </x:c>
      <x:c r="H16" s="3" t="s">
        <x:v>291</x:v>
      </x:c>
      <x:c r="I16" s="9">
        <x:v>47480488</x:v>
      </x:c>
      <x:c r="J16" s="3" t="s">
        <x:v>431</x:v>
      </x:c>
      <x:c r="K16" s="11">
        <x:v>47480488</x:v>
      </x:c>
      <x:c r="L16" s="13" t="s">
        <x:v>688</x:v>
      </x:c>
      <x:c r="M16" s="3" t="s">
        <x:v>637</x:v>
      </x:c>
      <x:c r="N16" s="3" t="s">
        <x:v>638</x:v>
      </x:c>
      <x:c r="O16" s="3" t="s">
        <x:v>685</x:v>
      </x:c>
      <x:c r="P16" s="3" t="s">
        <x:v>433</x:v>
      </x:c>
      <x:c r="Q16" s="3" t="s">
        <x:v>689</x:v>
      </x:c>
      <x:c r="R16" s="3" t="s">
        <x:v>583</x:v>
      </x:c>
      <x:c r="S16" s="3"/>
      <x:c r="T16" s="3" t="s">
        <x:v>690</x:v>
      </x:c>
      <x:c r="U16" s="8" t="s">
        <x:v>61</x:v>
      </x:c>
    </x:row>
    <x:row r="17" ht="42">
      <x:c r="A17" s="3" t="s">
        <x:v>691</x:v>
      </x:c>
      <x:c r="B17" s="3" t="s">
        <x:v>692</x:v>
      </x:c>
      <x:c r="C17" s="3" t="s">
        <x:v>83</x:v>
      </x:c>
      <x:c r="D17" s="9" t="s">
        <x:v>327</x:v>
      </x:c>
      <x:c r="E17" s="3" t="s">
        <x:v>328</x:v>
      </x:c>
      <x:c r="F17" s="3" t="s">
        <x:v>290</x:v>
      </x:c>
      <x:c r="G17" s="3" t="s">
        <x:v>693</x:v>
      </x:c>
      <x:c r="H17" s="3" t="s">
        <x:v>291</x:v>
      </x:c>
      <x:c r="I17" s="9">
        <x:v>48837074</x:v>
      </x:c>
      <x:c r="J17" s="3" t="s">
        <x:v>431</x:v>
      </x:c>
      <x:c r="K17" s="11">
        <x:v>48837074</x:v>
      </x:c>
      <x:c r="L17" s="13" t="s">
        <x:v>694</x:v>
      </x:c>
      <x:c r="M17" s="3" t="s">
        <x:v>637</x:v>
      </x:c>
      <x:c r="N17" s="3" t="s">
        <x:v>638</x:v>
      </x:c>
      <x:c r="O17" s="3" t="s">
        <x:v>687</x:v>
      </x:c>
      <x:c r="P17" s="3" t="s">
        <x:v>695</x:v>
      </x:c>
      <x:c r="Q17" s="3" t="s">
        <x:v>696</x:v>
      </x:c>
      <x:c r="R17" s="3" t="s">
        <x:v>697</x:v>
      </x:c>
      <x:c r="S17" s="3" t="s">
        <x:v>698</x:v>
      </x:c>
      <x:c r="T17" s="3" t="s">
        <x:v>699</x:v>
      </x:c>
      <x:c r="U17" s="8" t="s">
        <x:v>61</x:v>
      </x:c>
    </x:row>
    <x:row r="18" ht="28">
      <x:c r="A18" s="3" t="s">
        <x:v>700</x:v>
      </x:c>
      <x:c r="B18" s="3"/>
      <x:c r="C18" s="3" t="s">
        <x:v>701</x:v>
      </x:c>
      <x:c r="D18" s="9" t="s">
        <x:v>702</x:v>
      </x:c>
      <x:c r="E18" s="3"/>
      <x:c r="F18" s="3" t="s">
        <x:v>703</x:v>
      </x:c>
      <x:c r="G18" s="3" t="s">
        <x:v>704</x:v>
      </x:c>
      <x:c r="H18" s="3" t="s">
        <x:v>291</x:v>
      </x:c>
      <x:c r="I18" s="9">
        <x:v>48837074</x:v>
      </x:c>
      <x:c r="J18" s="3" t="s">
        <x:v>431</x:v>
      </x:c>
      <x:c r="K18" s="11">
        <x:v>48837074</x:v>
      </x:c>
      <x:c r="L18" s="13" t="s">
        <x:v>705</x:v>
      </x:c>
      <x:c r="M18" s="3" t="s">
        <x:v>706</x:v>
      </x:c>
      <x:c r="N18" s="3" t="s">
        <x:v>638</x:v>
      </x:c>
      <x:c r="O18" s="3" t="s">
        <x:v>691</x:v>
      </x:c>
      <x:c r="P18" s="3" t="s">
        <x:v>707</x:v>
      </x:c>
      <x:c r="Q18" s="3" t="s">
        <x:v>708</x:v>
      </x:c>
      <x:c r="R18" s="3" t="s">
        <x:v>709</x:v>
      </x:c>
      <x:c r="S18" s="3"/>
      <x:c r="T18" s="3" t="s">
        <x:v>710</x:v>
      </x:c>
      <x:c r="U18" s="8" t="s">
        <x:v>61</x:v>
      </x:c>
    </x:row>
  </x:sheetData>
  <x:mergeCells>
    <x:mergeCell ref="A1:U1"/>
    <x:mergeCell ref="A2:U2"/>
  </x:mergeCells>
  <x:conditionalFormatting sqref="U4:U18">
    <x:cfRule type="expression" dxfId="19" priority="1">
      <x:formula>U4="待用户复核"</x:formula>
    </x:cfRule>
    <x:cfRule type="expression" dxfId="18" priority="2">
      <x:formula>U4="需修改"</x:formula>
    </x:cfRule>
    <x:cfRule type="expression" dxfId="17" priority="3">
      <x:formula>U4="已验收通过"</x:formula>
    </x:cfRule>
  </x:conditionalFormatting>
  <x:dataValidations count="4">
    <x:dataValidation type="list" sqref="U4:U18">
      <x:formula1>"待用户复核,待人工复核,已验收通过,需修改"</x:formula1>
    </x:dataValidation>
    <x:dataValidation type="list" sqref="F4:F18">
      <x:formula1>"日,月,年,日期区间,多个节点,时点"</x:formula1>
    </x:dataValidation>
    <x:dataValidation type="list" sqref="M4:M18">
      <x:formula1>"direct_full_table,deterministic_rollforward,partial_directional,terminal_static"</x:formula1>
    </x:dataValidation>
    <x:dataValidation type="list" sqref="N4:N18">
      <x:formula1>"complete,partial,not_reconstructible,pending_manual_review"</x:formula1>
    </x:dataValidation>
  </x:dataValidations>
  <x:pageMargins left="0.7" right="0.7" top="0.75" bottom="0.75" header="0.3" footer="0.3"/>
  <x:tableParts count="1">
    <x:tablePart xmlns:r="http://schemas.openxmlformats.org/officeDocument/2006/relationships" r:id="Rb18599efbd254330"/>
  </x:tableParts>
</x:worksheet>
</file>

<file path=xl/worksheets/sheet8.xml><?xml version="1.0" encoding="utf-8"?>
<x:worksheet xmlns:x="http://schemas.openxmlformats.org/spreadsheetml/2006/main">
  <x:sheetFormatPr defaultRowHeight="14"/>
  <x:cols>
    <x:col min="1" max="1" width="15" customWidth="1"/>
    <x:col min="2" max="3" width="18" customWidth="1"/>
    <x:col min="4" max="5" width="22" customWidth="1"/>
    <x:col min="6" max="8" width="15" customWidth="1"/>
    <x:col min="9" max="9" width="14" customWidth="1"/>
    <x:col min="10" max="11" width="15" customWidth="1"/>
    <x:col min="12" max="14" width="14" customWidth="1"/>
    <x:col min="15" max="17" width="15" customWidth="1"/>
    <x:col min="18" max="18" width="18" customWidth="1"/>
    <x:col min="19" max="19" width="22" customWidth="1"/>
    <x:col min="20" max="20" width="18" customWidth="1"/>
    <x:col min="21" max="22" width="16" customWidth="1"/>
    <x:col min="23" max="23" width="22" customWidth="1"/>
    <x:col min="24" max="24" width="34" customWidth="1"/>
    <x:col min="25" max="25" width="22" customWidth="1"/>
  </x:cols>
  <x:sheetData>
    <x:row r="1" ht="7.75" customHeight="1">
      <x:c r="A1" s="36" t="s">
        <x:v>36</x:v>
      </x:c>
      <x:c r="B1" s="36"/>
      <x:c r="C1" s="36"/>
      <x:c r="D1" s="36"/>
      <x:c r="E1" s="36"/>
      <x:c r="F1" s="36"/>
      <x:c r="G1" s="36"/>
      <x:c r="H1" s="36"/>
      <x:c r="I1" s="36"/>
      <x:c r="J1" s="36"/>
      <x:c r="K1" s="36"/>
      <x:c r="L1" s="36"/>
      <x:c r="M1" s="36"/>
      <x:c r="N1" s="36"/>
      <x:c r="O1" s="36"/>
      <x:c r="P1" s="36"/>
      <x:c r="Q1" s="36"/>
      <x:c r="R1" s="36"/>
      <x:c r="S1" s="36"/>
      <x:c r="T1" s="36"/>
      <x:c r="U1" s="36"/>
      <x:c r="V1" s="36"/>
      <x:c r="W1" s="36"/>
      <x:c r="X1" s="36"/>
      <x:c r="Y1" s="36"/>
    </x:row>
    <x:row r="2" ht="9.5" customHeight="1">
      <x:c r="A2" s="37" t="s">
        <x:v>711</x:v>
      </x:c>
      <x:c r="B2" s="37"/>
      <x:c r="C2" s="37"/>
      <x:c r="D2" s="37"/>
      <x:c r="E2" s="37"/>
      <x:c r="F2" s="37"/>
      <x:c r="G2" s="37"/>
      <x:c r="H2" s="37"/>
      <x:c r="I2" s="37"/>
      <x:c r="J2" s="37"/>
      <x:c r="K2" s="37"/>
      <x:c r="L2" s="37"/>
      <x:c r="M2" s="37"/>
      <x:c r="N2" s="37"/>
      <x:c r="O2" s="37"/>
      <x:c r="P2" s="37"/>
      <x:c r="Q2" s="37"/>
      <x:c r="R2" s="37"/>
      <x:c r="S2" s="37"/>
      <x:c r="T2" s="37"/>
      <x:c r="U2" s="37"/>
      <x:c r="V2" s="37"/>
      <x:c r="W2" s="37"/>
      <x:c r="X2" s="37"/>
      <x:c r="Y2" s="37"/>
    </x:row>
    <x:row r="3" ht="10.649999618530273" customHeight="1">
      <x:c r="A3" s="7" t="s">
        <x:v>712</x:v>
      </x:c>
      <x:c r="B3" s="7" t="s">
        <x:v>619</x:v>
      </x:c>
      <x:c r="C3" s="7" t="s">
        <x:v>40</x:v>
      </x:c>
      <x:c r="D3" s="7" t="s">
        <x:v>339</x:v>
      </x:c>
      <x:c r="E3" s="7" t="s">
        <x:v>340</x:v>
      </x:c>
      <x:c r="F3" s="7" t="s">
        <x:v>713</x:v>
      </x:c>
      <x:c r="G3" s="7" t="s">
        <x:v>714</x:v>
      </x:c>
      <x:c r="H3" s="7" t="s">
        <x:v>715</x:v>
      </x:c>
      <x:c r="I3" s="7" t="s">
        <x:v>221</x:v>
      </x:c>
      <x:c r="J3" s="7" t="s">
        <x:v>226</x:v>
      </x:c>
      <x:c r="K3" s="10" t="s">
        <x:v>716</x:v>
      </x:c>
      <x:c r="L3" s="10" t="s">
        <x:v>717</x:v>
      </x:c>
      <x:c r="M3" s="10" t="s">
        <x:v>718</x:v>
      </x:c>
      <x:c r="N3" s="10" t="s">
        <x:v>719</x:v>
      </x:c>
      <x:c r="O3" s="10" t="s">
        <x:v>355</x:v>
      </x:c>
      <x:c r="P3" s="10" t="s">
        <x:v>720</x:v>
      </x:c>
      <x:c r="Q3" s="10" t="s">
        <x:v>356</x:v>
      </x:c>
      <x:c r="R3" s="12" t="s">
        <x:v>225</x:v>
      </x:c>
      <x:c r="S3" s="7" t="s">
        <x:v>721</x:v>
      </x:c>
      <x:c r="T3" s="7" t="s">
        <x:v>48</x:v>
      </x:c>
      <x:c r="U3" s="7" t="s">
        <x:v>227</x:v>
      </x:c>
      <x:c r="V3" s="7" t="s">
        <x:v>228</x:v>
      </x:c>
      <x:c r="W3" s="7" t="s">
        <x:v>722</x:v>
      </x:c>
      <x:c r="X3" s="7" t="s">
        <x:v>49</x:v>
      </x:c>
      <x:c r="Y3" s="7" t="s">
        <x:v>50</x:v>
      </x:c>
    </x:row>
    <x:row r="4" ht="28">
      <x:c r="A4" s="3" t="s">
        <x:v>723</x:v>
      </x:c>
      <x:c r="B4" s="3" t="s">
        <x:v>632</x:v>
      </x:c>
      <x:c r="C4" s="3" t="s">
        <x:v>51</x:v>
      </x:c>
      <x:c r="D4" s="3" t="s">
        <x:v>52</x:v>
      </x:c>
      <x:c r="E4" s="3" t="s">
        <x:v>53</x:v>
      </x:c>
      <x:c r="F4" s="9">
        <x:v>25</x:v>
      </x:c>
      <x:c r="G4" s="9"/>
      <x:c r="H4" s="9">
        <x:v>50</x:v>
      </x:c>
      <x:c r="I4" s="3" t="s">
        <x:v>239</x:v>
      </x:c>
      <x:c r="J4" s="9" t="s">
        <x:v>724</x:v>
      </x:c>
      <x:c r="K4" s="11"/>
      <x:c r="L4" s="11"/>
      <x:c r="M4" s="11"/>
      <x:c r="N4" s="11"/>
      <x:c r="O4" s="11">
        <x:v>25</x:v>
      </x:c>
      <x:c r="P4" s="11">
        <x:v>50</x:v>
      </x:c>
      <x:c r="Q4" s="14" t="n">
        <x:f t="shared" ref="Q4:Q67" si="0">IF(AND(O4&lt;&gt;"",P4&lt;&gt;"",P4&lt;&gt;0),O4/P4*100,"")</x:f>
        <x:v>50</x:v>
      </x:c>
      <x:c r="R4" s="13" t="s">
        <x:v>725</x:v>
      </x:c>
      <x:c r="S4" s="3" t="s">
        <x:v>726</x:v>
      </x:c>
      <x:c r="T4" s="3" t="s">
        <x:v>66</x:v>
      </x:c>
      <x:c r="U4" s="3" t="s">
        <x:v>639</x:v>
      </x:c>
      <x:c r="V4" s="3" t="s">
        <x:v>640</x:v>
      </x:c>
      <x:c r="W4" s="3" t="s">
        <x:v>727</x:v>
      </x:c>
      <x:c r="X4" s="3" t="s">
        <x:v>728</x:v>
      </x:c>
      <x:c r="Y4" s="8" t="s">
        <x:v>61</x:v>
      </x:c>
    </x:row>
    <x:row r="5" ht="28">
      <x:c r="A5" s="3" t="s">
        <x:v>729</x:v>
      </x:c>
      <x:c r="B5" s="3" t="s">
        <x:v>632</x:v>
      </x:c>
      <x:c r="C5" s="3" t="s">
        <x:v>62</x:v>
      </x:c>
      <x:c r="D5" s="3" t="s">
        <x:v>63</x:v>
      </x:c>
      <x:c r="E5" s="3" t="s">
        <x:v>63</x:v>
      </x:c>
      <x:c r="F5" s="9">
        <x:v>25</x:v>
      </x:c>
      <x:c r="G5" s="9"/>
      <x:c r="H5" s="9">
        <x:v>50</x:v>
      </x:c>
      <x:c r="I5" s="3" t="s">
        <x:v>239</x:v>
      </x:c>
      <x:c r="J5" s="9" t="s">
        <x:v>730</x:v>
      </x:c>
      <x:c r="K5" s="11"/>
      <x:c r="L5" s="11"/>
      <x:c r="M5" s="11"/>
      <x:c r="N5" s="11"/>
      <x:c r="O5" s="11">
        <x:v>25</x:v>
      </x:c>
      <x:c r="P5" s="11">
        <x:v>50</x:v>
      </x:c>
      <x:c r="Q5" s="14">
        <x:f t="shared" si="0"/>
        <x:v>50</x:v>
      </x:c>
      <x:c r="R5" s="13" t="s">
        <x:v>725</x:v>
      </x:c>
      <x:c r="S5" s="3" t="s">
        <x:v>726</x:v>
      </x:c>
      <x:c r="T5" s="3" t="s">
        <x:v>66</x:v>
      </x:c>
      <x:c r="U5" s="3" t="s">
        <x:v>639</x:v>
      </x:c>
      <x:c r="V5" s="3" t="s">
        <x:v>640</x:v>
      </x:c>
      <x:c r="W5" s="3" t="s">
        <x:v>727</x:v>
      </x:c>
      <x:c r="X5" s="3" t="s">
        <x:v>728</x:v>
      </x:c>
      <x:c r="Y5" s="8" t="s">
        <x:v>61</x:v>
      </x:c>
    </x:row>
    <x:row r="6" ht="28">
      <x:c r="A6" s="3" t="s">
        <x:v>731</x:v>
      </x:c>
      <x:c r="B6" s="3" t="s">
        <x:v>642</x:v>
      </x:c>
      <x:c r="C6" s="3" t="s">
        <x:v>67</x:v>
      </x:c>
      <x:c r="D6" s="3" t="s">
        <x:v>68</x:v>
      </x:c>
      <x:c r="E6" s="3" t="s">
        <x:v>68</x:v>
      </x:c>
      <x:c r="F6" s="9"/>
      <x:c r="G6" s="9"/>
      <x:c r="H6" s="9"/>
      <x:c r="I6" s="3"/>
      <x:c r="J6" s="9"/>
      <x:c r="K6" s="11">
        <x:v>0</x:v>
      </x:c>
      <x:c r="L6" s="11"/>
      <x:c r="M6" s="11">
        <x:v>25</x:v>
      </x:c>
      <x:c r="N6" s="11"/>
      <x:c r="O6" s="11">
        <x:v>25</x:v>
      </x:c>
      <x:c r="P6" s="11">
        <x:v>50</x:v>
      </x:c>
      <x:c r="Q6" s="14">
        <x:f t="shared" si="0"/>
        <x:v>50</x:v>
      </x:c>
      <x:c r="R6" s="13" t="s">
        <x:v>547</x:v>
      </x:c>
      <x:c r="S6" s="3" t="s">
        <x:v>732</x:v>
      </x:c>
      <x:c r="T6" s="3" t="s">
        <x:v>645</x:v>
      </x:c>
      <x:c r="U6" s="3" t="s">
        <x:v>242</x:v>
      </x:c>
      <x:c r="V6" s="3" t="s">
        <x:v>243</x:v>
      </x:c>
      <x:c r="W6" s="3" t="s">
        <x:v>733</x:v>
      </x:c>
      <x:c r="X6" s="3" t="s">
        <x:v>734</x:v>
      </x:c>
      <x:c r="Y6" s="8" t="s">
        <x:v>61</x:v>
      </x:c>
    </x:row>
    <x:row r="7" ht="28">
      <x:c r="A7" s="3" t="s">
        <x:v>735</x:v>
      </x:c>
      <x:c r="B7" s="3" t="s">
        <x:v>642</x:v>
      </x:c>
      <x:c r="C7" s="3" t="s">
        <x:v>62</x:v>
      </x:c>
      <x:c r="D7" s="3" t="s">
        <x:v>63</x:v>
      </x:c>
      <x:c r="E7" s="3" t="s">
        <x:v>63</x:v>
      </x:c>
      <x:c r="F7" s="9"/>
      <x:c r="G7" s="9"/>
      <x:c r="H7" s="9"/>
      <x:c r="I7" s="3"/>
      <x:c r="J7" s="9"/>
      <x:c r="K7" s="11">
        <x:v>25</x:v>
      </x:c>
      <x:c r="L7" s="11"/>
      <x:c r="M7" s="11"/>
      <x:c r="N7" s="11"/>
      <x:c r="O7" s="11">
        <x:v>25</x:v>
      </x:c>
      <x:c r="P7" s="11">
        <x:v>50</x:v>
      </x:c>
      <x:c r="Q7" s="14">
        <x:f t="shared" si="0"/>
        <x:v>50</x:v>
      </x:c>
      <x:c r="R7" s="13" t="s">
        <x:v>547</x:v>
      </x:c>
      <x:c r="S7" s="3" t="s">
        <x:v>736</x:v>
      </x:c>
      <x:c r="T7" s="3" t="s">
        <x:v>645</x:v>
      </x:c>
      <x:c r="U7" s="3" t="s">
        <x:v>242</x:v>
      </x:c>
      <x:c r="V7" s="3" t="s">
        <x:v>243</x:v>
      </x:c>
      <x:c r="W7" s="3" t="s">
        <x:v>733</x:v>
      </x:c>
      <x:c r="X7" s="3" t="s">
        <x:v>737</x:v>
      </x:c>
      <x:c r="Y7" s="8" t="s">
        <x:v>61</x:v>
      </x:c>
    </x:row>
    <x:row r="8" ht="28">
      <x:c r="A8" s="3" t="s">
        <x:v>738</x:v>
      </x:c>
      <x:c r="B8" s="3" t="s">
        <x:v>648</x:v>
      </x:c>
      <x:c r="C8" s="3" t="s">
        <x:v>67</x:v>
      </x:c>
      <x:c r="D8" s="3" t="s">
        <x:v>68</x:v>
      </x:c>
      <x:c r="E8" s="3" t="s">
        <x:v>68</x:v>
      </x:c>
      <x:c r="F8" s="9"/>
      <x:c r="G8" s="9"/>
      <x:c r="H8" s="9"/>
      <x:c r="I8" s="3"/>
      <x:c r="J8" s="9"/>
      <x:c r="K8" s="11">
        <x:v>25</x:v>
      </x:c>
      <x:c r="L8" s="11">
        <x:v>25</x:v>
      </x:c>
      <x:c r="M8" s="11"/>
      <x:c r="N8" s="11"/>
      <x:c r="O8" s="11">
        <x:v>50</x:v>
      </x:c>
      <x:c r="P8" s="11">
        <x:v>100</x:v>
      </x:c>
      <x:c r="Q8" s="14">
        <x:f t="shared" si="0"/>
        <x:v>50</x:v>
      </x:c>
      <x:c r="R8" s="13" t="s">
        <x:v>240</x:v>
      </x:c>
      <x:c r="S8" s="3" t="s">
        <x:v>375</x:v>
      </x:c>
      <x:c r="T8" s="3" t="s">
        <x:v>69</x:v>
      </x:c>
      <x:c r="U8" s="3" t="s">
        <x:v>242</x:v>
      </x:c>
      <x:c r="V8" s="3" t="s">
        <x:v>243</x:v>
      </x:c>
      <x:c r="W8" s="3" t="s">
        <x:v>733</x:v>
      </x:c>
      <x:c r="X8" s="3" t="s">
        <x:v>739</x:v>
      </x:c>
      <x:c r="Y8" s="8" t="s">
        <x:v>61</x:v>
      </x:c>
    </x:row>
    <x:row r="9" ht="28">
      <x:c r="A9" s="3" t="s">
        <x:v>740</x:v>
      </x:c>
      <x:c r="B9" s="3" t="s">
        <x:v>648</x:v>
      </x:c>
      <x:c r="C9" s="3" t="s">
        <x:v>62</x:v>
      </x:c>
      <x:c r="D9" s="3" t="s">
        <x:v>63</x:v>
      </x:c>
      <x:c r="E9" s="3" t="s">
        <x:v>63</x:v>
      </x:c>
      <x:c r="F9" s="9"/>
      <x:c r="G9" s="9"/>
      <x:c r="H9" s="9"/>
      <x:c r="I9" s="3"/>
      <x:c r="J9" s="9"/>
      <x:c r="K9" s="11">
        <x:v>25</x:v>
      </x:c>
      <x:c r="L9" s="11">
        <x:v>25</x:v>
      </x:c>
      <x:c r="M9" s="11"/>
      <x:c r="N9" s="11"/>
      <x:c r="O9" s="11">
        <x:v>50</x:v>
      </x:c>
      <x:c r="P9" s="11">
        <x:v>100</x:v>
      </x:c>
      <x:c r="Q9" s="14">
        <x:f t="shared" si="0"/>
        <x:v>50</x:v>
      </x:c>
      <x:c r="R9" s="13" t="s">
        <x:v>240</x:v>
      </x:c>
      <x:c r="S9" s="3" t="s">
        <x:v>375</x:v>
      </x:c>
      <x:c r="T9" s="3" t="s">
        <x:v>69</x:v>
      </x:c>
      <x:c r="U9" s="3" t="s">
        <x:v>242</x:v>
      </x:c>
      <x:c r="V9" s="3" t="s">
        <x:v>243</x:v>
      </x:c>
      <x:c r="W9" s="3" t="s">
        <x:v>733</x:v>
      </x:c>
      <x:c r="X9" s="3" t="s">
        <x:v>739</x:v>
      </x:c>
      <x:c r="Y9" s="8" t="s">
        <x:v>61</x:v>
      </x:c>
    </x:row>
    <x:row r="10" ht="28">
      <x:c r="A10" s="3" t="s">
        <x:v>741</x:v>
      </x:c>
      <x:c r="B10" s="3" t="s">
        <x:v>651</x:v>
      </x:c>
      <x:c r="C10" s="3" t="s">
        <x:v>67</x:v>
      </x:c>
      <x:c r="D10" s="3" t="s">
        <x:v>68</x:v>
      </x:c>
      <x:c r="E10" s="3" t="s">
        <x:v>68</x:v>
      </x:c>
      <x:c r="F10" s="9"/>
      <x:c r="G10" s="9"/>
      <x:c r="H10" s="9"/>
      <x:c r="I10" s="3"/>
      <x:c r="J10" s="9"/>
      <x:c r="K10" s="11">
        <x:v>50</x:v>
      </x:c>
      <x:c r="L10" s="11"/>
      <x:c r="M10" s="11">
        <x:v>15.75</x:v>
      </x:c>
      <x:c r="N10" s="11"/>
      <x:c r="O10" s="11">
        <x:v>65.75</x:v>
      </x:c>
      <x:c r="P10" s="11">
        <x:v>100</x:v>
      </x:c>
      <x:c r="Q10" s="14">
        <x:f t="shared" si="0"/>
        <x:v>65.75</x:v>
      </x:c>
      <x:c r="R10" s="13" t="s">
        <x:v>476</x:v>
      </x:c>
      <x:c r="S10" s="3" t="s">
        <x:v>375</x:v>
      </x:c>
      <x:c r="T10" s="3" t="s">
        <x:v>77</x:v>
      </x:c>
      <x:c r="U10" s="3" t="s">
        <x:v>242</x:v>
      </x:c>
      <x:c r="V10" s="3" t="s">
        <x:v>243</x:v>
      </x:c>
      <x:c r="W10" s="3" t="s">
        <x:v>733</x:v>
      </x:c>
      <x:c r="X10" s="3" t="s">
        <x:v>742</x:v>
      </x:c>
      <x:c r="Y10" s="8" t="s">
        <x:v>61</x:v>
      </x:c>
    </x:row>
    <x:row r="11">
      <x:c r="A11" s="3" t="s">
        <x:v>743</x:v>
      </x:c>
      <x:c r="B11" s="3" t="s">
        <x:v>651</x:v>
      </x:c>
      <x:c r="C11" s="3" t="s">
        <x:v>62</x:v>
      </x:c>
      <x:c r="D11" s="3" t="s">
        <x:v>63</x:v>
      </x:c>
      <x:c r="E11" s="3" t="s">
        <x:v>63</x:v>
      </x:c>
      <x:c r="F11" s="9"/>
      <x:c r="G11" s="9"/>
      <x:c r="H11" s="9"/>
      <x:c r="I11" s="3"/>
      <x:c r="J11" s="9"/>
      <x:c r="K11" s="11">
        <x:v>50</x:v>
      </x:c>
      <x:c r="L11" s="11"/>
      <x:c r="M11" s="11"/>
      <x:c r="N11" s="11">
        <x:v>22.6</x:v>
      </x:c>
      <x:c r="O11" s="11">
        <x:v>27.4</x:v>
      </x:c>
      <x:c r="P11" s="11">
        <x:v>100</x:v>
      </x:c>
      <x:c r="Q11" s="14">
        <x:f t="shared" si="0"/>
        <x:v>27.399999999999995</x:v>
      </x:c>
      <x:c r="R11" s="13" t="s">
        <x:v>476</x:v>
      </x:c>
      <x:c r="S11" s="3" t="s">
        <x:v>744</x:v>
      </x:c>
      <x:c r="T11" s="3" t="s">
        <x:v>77</x:v>
      </x:c>
      <x:c r="U11" s="3" t="s">
        <x:v>242</x:v>
      </x:c>
      <x:c r="V11" s="3" t="s">
        <x:v>243</x:v>
      </x:c>
      <x:c r="W11" s="3" t="s">
        <x:v>733</x:v>
      </x:c>
      <x:c r="X11" s="3" t="s">
        <x:v>745</x:v>
      </x:c>
      <x:c r="Y11" s="8" t="s">
        <x:v>61</x:v>
      </x:c>
    </x:row>
    <x:row r="12" ht="28">
      <x:c r="A12" s="3" t="s">
        <x:v>746</x:v>
      </x:c>
      <x:c r="B12" s="3" t="s">
        <x:v>651</x:v>
      </x:c>
      <x:c r="C12" s="3" t="s">
        <x:v>70</x:v>
      </x:c>
      <x:c r="D12" s="3" t="s">
        <x:v>71</x:v>
      </x:c>
      <x:c r="E12" s="3" t="s">
        <x:v>72</x:v>
      </x:c>
      <x:c r="F12" s="9"/>
      <x:c r="G12" s="9"/>
      <x:c r="H12" s="9"/>
      <x:c r="I12" s="3"/>
      <x:c r="J12" s="9"/>
      <x:c r="K12" s="11">
        <x:v>0</x:v>
      </x:c>
      <x:c r="L12" s="11"/>
      <x:c r="M12" s="11">
        <x:v>6.85</x:v>
      </x:c>
      <x:c r="N12" s="11"/>
      <x:c r="O12" s="11">
        <x:v>6.85</x:v>
      </x:c>
      <x:c r="P12" s="11">
        <x:v>100</x:v>
      </x:c>
      <x:c r="Q12" s="14">
        <x:f t="shared" si="0"/>
        <x:v>6.8499999999999988</x:v>
      </x:c>
      <x:c r="R12" s="13" t="s">
        <x:v>476</x:v>
      </x:c>
      <x:c r="S12" s="3" t="s">
        <x:v>732</x:v>
      </x:c>
      <x:c r="T12" s="3" t="s">
        <x:v>77</x:v>
      </x:c>
      <x:c r="U12" s="3" t="s">
        <x:v>242</x:v>
      </x:c>
      <x:c r="V12" s="3" t="s">
        <x:v>243</x:v>
      </x:c>
      <x:c r="W12" s="3" t="s">
        <x:v>733</x:v>
      </x:c>
      <x:c r="X12" s="3" t="s">
        <x:v>747</x:v>
      </x:c>
      <x:c r="Y12" s="8" t="s">
        <x:v>61</x:v>
      </x:c>
    </x:row>
    <x:row r="13" ht="28">
      <x:c r="A13" s="3" t="s">
        <x:v>748</x:v>
      </x:c>
      <x:c r="B13" s="3" t="s">
        <x:v>654</x:v>
      </x:c>
      <x:c r="C13" s="3" t="s">
        <x:v>67</x:v>
      </x:c>
      <x:c r="D13" s="3" t="s">
        <x:v>68</x:v>
      </x:c>
      <x:c r="E13" s="3" t="s">
        <x:v>68</x:v>
      </x:c>
      <x:c r="F13" s="9"/>
      <x:c r="G13" s="9"/>
      <x:c r="H13" s="9"/>
      <x:c r="I13" s="3"/>
      <x:c r="J13" s="9"/>
      <x:c r="K13" s="11">
        <x:v>65.75</x:v>
      </x:c>
      <x:c r="L13" s="11"/>
      <x:c r="M13" s="11"/>
      <x:c r="N13" s="11"/>
      <x:c r="O13" s="11">
        <x:v>65.75</x:v>
      </x:c>
      <x:c r="P13" s="11">
        <x:v>128.20500000000001</x:v>
      </x:c>
      <x:c r="Q13" s="14">
        <x:f t="shared" si="0"/>
        <x:v>51.285051285051274</x:v>
      </x:c>
      <x:c r="R13" s="13" t="s">
        <x:v>749</x:v>
      </x:c>
      <x:c r="S13" s="3" t="s">
        <x:v>750</x:v>
      </x:c>
      <x:c r="T13" s="3" t="s">
        <x:v>251</x:v>
      </x:c>
      <x:c r="U13" s="3" t="s">
        <x:v>242</x:v>
      </x:c>
      <x:c r="V13" s="3" t="s">
        <x:v>243</x:v>
      </x:c>
      <x:c r="W13" s="3" t="s">
        <x:v>751</x:v>
      </x:c>
      <x:c r="X13" s="3" t="s">
        <x:v>752</x:v>
      </x:c>
      <x:c r="Y13" s="8" t="s">
        <x:v>61</x:v>
      </x:c>
    </x:row>
    <x:row r="14" ht="28">
      <x:c r="A14" s="3" t="s">
        <x:v>753</x:v>
      </x:c>
      <x:c r="B14" s="3" t="s">
        <x:v>654</x:v>
      </x:c>
      <x:c r="C14" s="3" t="s">
        <x:v>62</x:v>
      </x:c>
      <x:c r="D14" s="3" t="s">
        <x:v>63</x:v>
      </x:c>
      <x:c r="E14" s="3" t="s">
        <x:v>63</x:v>
      </x:c>
      <x:c r="F14" s="9"/>
      <x:c r="G14" s="9"/>
      <x:c r="H14" s="9"/>
      <x:c r="I14" s="3"/>
      <x:c r="J14" s="9"/>
      <x:c r="K14" s="11">
        <x:v>27.4</x:v>
      </x:c>
      <x:c r="L14" s="11"/>
      <x:c r="M14" s="11"/>
      <x:c r="N14" s="11"/>
      <x:c r="O14" s="11">
        <x:v>27.4</x:v>
      </x:c>
      <x:c r="P14" s="11">
        <x:v>128.20500000000001</x:v>
      </x:c>
      <x:c r="Q14" s="14">
        <x:f t="shared" si="0"/>
        <x:v>21.372021372021369</x:v>
      </x:c>
      <x:c r="R14" s="13" t="s">
        <x:v>749</x:v>
      </x:c>
      <x:c r="S14" s="3" t="s">
        <x:v>750</x:v>
      </x:c>
      <x:c r="T14" s="3" t="s">
        <x:v>251</x:v>
      </x:c>
      <x:c r="U14" s="3" t="s">
        <x:v>242</x:v>
      </x:c>
      <x:c r="V14" s="3" t="s">
        <x:v>243</x:v>
      </x:c>
      <x:c r="W14" s="3" t="s">
        <x:v>751</x:v>
      </x:c>
      <x:c r="X14" s="3" t="s">
        <x:v>752</x:v>
      </x:c>
      <x:c r="Y14" s="8" t="s">
        <x:v>61</x:v>
      </x:c>
    </x:row>
    <x:row r="15" ht="28">
      <x:c r="A15" s="3" t="s">
        <x:v>754</x:v>
      </x:c>
      <x:c r="B15" s="3" t="s">
        <x:v>654</x:v>
      </x:c>
      <x:c r="C15" s="3" t="s">
        <x:v>70</x:v>
      </x:c>
      <x:c r="D15" s="3" t="s">
        <x:v>71</x:v>
      </x:c>
      <x:c r="E15" s="3" t="s">
        <x:v>72</x:v>
      </x:c>
      <x:c r="F15" s="9"/>
      <x:c r="G15" s="9"/>
      <x:c r="H15" s="9"/>
      <x:c r="I15" s="3"/>
      <x:c r="J15" s="9"/>
      <x:c r="K15" s="11">
        <x:v>6.85</x:v>
      </x:c>
      <x:c r="L15" s="11"/>
      <x:c r="M15" s="11"/>
      <x:c r="N15" s="11"/>
      <x:c r="O15" s="11">
        <x:v>6.85</x:v>
      </x:c>
      <x:c r="P15" s="11">
        <x:v>128.20500000000001</x:v>
      </x:c>
      <x:c r="Q15" s="14">
        <x:f t="shared" si="0"/>
        <x:v>5.3430053430053421</x:v>
      </x:c>
      <x:c r="R15" s="13" t="s">
        <x:v>749</x:v>
      </x:c>
      <x:c r="S15" s="3" t="s">
        <x:v>750</x:v>
      </x:c>
      <x:c r="T15" s="3" t="s">
        <x:v>251</x:v>
      </x:c>
      <x:c r="U15" s="3" t="s">
        <x:v>242</x:v>
      </x:c>
      <x:c r="V15" s="3" t="s">
        <x:v>243</x:v>
      </x:c>
      <x:c r="W15" s="3" t="s">
        <x:v>751</x:v>
      </x:c>
      <x:c r="X15" s="3" t="s">
        <x:v>752</x:v>
      </x:c>
      <x:c r="Y15" s="8" t="s">
        <x:v>61</x:v>
      </x:c>
    </x:row>
    <x:row r="16" ht="28">
      <x:c r="A16" s="3" t="s">
        <x:v>755</x:v>
      </x:c>
      <x:c r="B16" s="3" t="s">
        <x:v>654</x:v>
      </x:c>
      <x:c r="C16" s="3" t="s">
        <x:v>78</x:v>
      </x:c>
      <x:c r="D16" s="3" t="s">
        <x:v>79</x:v>
      </x:c>
      <x:c r="E16" s="3" t="s">
        <x:v>80</x:v>
      </x:c>
      <x:c r="F16" s="9"/>
      <x:c r="G16" s="9"/>
      <x:c r="H16" s="9"/>
      <x:c r="I16" s="3"/>
      <x:c r="J16" s="9"/>
      <x:c r="K16" s="11"/>
      <x:c r="L16" s="11"/>
      <x:c r="M16" s="11"/>
      <x:c r="N16" s="11"/>
      <x:c r="O16" s="11"/>
      <x:c r="P16" s="11">
        <x:v>128.20500000000001</x:v>
      </x:c>
      <x:c r="Q16" s="14" t="str">
        <x:f t="shared" si="0"/>
      </x:c>
      <x:c r="R16" s="13"/>
      <x:c r="S16" s="3" t="s">
        <x:v>756</x:v>
      </x:c>
      <x:c r="T16" s="3" t="s">
        <x:v>84</x:v>
      </x:c>
      <x:c r="U16" s="3" t="s">
        <x:v>242</x:v>
      </x:c>
      <x:c r="V16" s="3" t="s">
        <x:v>243</x:v>
      </x:c>
      <x:c r="W16" s="3" t="s">
        <x:v>757</x:v>
      </x:c>
      <x:c r="X16" s="3" t="s">
        <x:v>758</x:v>
      </x:c>
      <x:c r="Y16" s="8" t="s">
        <x:v>61</x:v>
      </x:c>
    </x:row>
    <x:row r="17" ht="28">
      <x:c r="A17" s="3" t="s">
        <x:v>759</x:v>
      </x:c>
      <x:c r="B17" s="3" t="s">
        <x:v>654</x:v>
      </x:c>
      <x:c r="C17" s="3" t="s">
        <x:v>85</x:v>
      </x:c>
      <x:c r="D17" s="3" t="s">
        <x:v>86</x:v>
      </x:c>
      <x:c r="E17" s="3" t="s">
        <x:v>87</x:v>
      </x:c>
      <x:c r="F17" s="9"/>
      <x:c r="G17" s="9"/>
      <x:c r="H17" s="9"/>
      <x:c r="I17" s="3"/>
      <x:c r="J17" s="9"/>
      <x:c r="K17" s="11"/>
      <x:c r="L17" s="11"/>
      <x:c r="M17" s="11"/>
      <x:c r="N17" s="11"/>
      <x:c r="O17" s="11"/>
      <x:c r="P17" s="11">
        <x:v>128.20500000000001</x:v>
      </x:c>
      <x:c r="Q17" s="14" t="str">
        <x:f t="shared" si="0"/>
      </x:c>
      <x:c r="R17" s="13"/>
      <x:c r="S17" s="3" t="s">
        <x:v>756</x:v>
      </x:c>
      <x:c r="T17" s="3" t="s">
        <x:v>84</x:v>
      </x:c>
      <x:c r="U17" s="3" t="s">
        <x:v>242</x:v>
      </x:c>
      <x:c r="V17" s="3" t="s">
        <x:v>243</x:v>
      </x:c>
      <x:c r="W17" s="3" t="s">
        <x:v>757</x:v>
      </x:c>
      <x:c r="X17" s="3" t="s">
        <x:v>758</x:v>
      </x:c>
      <x:c r="Y17" s="8" t="s">
        <x:v>61</x:v>
      </x:c>
    </x:row>
    <x:row r="18" ht="28">
      <x:c r="A18" s="3" t="s">
        <x:v>760</x:v>
      </x:c>
      <x:c r="B18" s="3" t="s">
        <x:v>654</x:v>
      </x:c>
      <x:c r="C18" s="3" t="s">
        <x:v>89</x:v>
      </x:c>
      <x:c r="D18" s="3" t="s">
        <x:v>90</x:v>
      </x:c>
      <x:c r="E18" s="3" t="s">
        <x:v>91</x:v>
      </x:c>
      <x:c r="F18" s="9"/>
      <x:c r="G18" s="9"/>
      <x:c r="H18" s="9"/>
      <x:c r="I18" s="3"/>
      <x:c r="J18" s="9"/>
      <x:c r="K18" s="11"/>
      <x:c r="L18" s="11"/>
      <x:c r="M18" s="11"/>
      <x:c r="N18" s="11"/>
      <x:c r="O18" s="11"/>
      <x:c r="P18" s="11">
        <x:v>128.20500000000001</x:v>
      </x:c>
      <x:c r="Q18" s="14" t="str">
        <x:f t="shared" si="0"/>
      </x:c>
      <x:c r="R18" s="13"/>
      <x:c r="S18" s="3" t="s">
        <x:v>756</x:v>
      </x:c>
      <x:c r="T18" s="3" t="s">
        <x:v>84</x:v>
      </x:c>
      <x:c r="U18" s="3" t="s">
        <x:v>242</x:v>
      </x:c>
      <x:c r="V18" s="3" t="s">
        <x:v>243</x:v>
      </x:c>
      <x:c r="W18" s="3" t="s">
        <x:v>757</x:v>
      </x:c>
      <x:c r="X18" s="3" t="s">
        <x:v>758</x:v>
      </x:c>
      <x:c r="Y18" s="8" t="s">
        <x:v>61</x:v>
      </x:c>
    </x:row>
    <x:row r="19" ht="28">
      <x:c r="A19" s="3" t="s">
        <x:v>761</x:v>
      </x:c>
      <x:c r="B19" s="3" t="s">
        <x:v>658</x:v>
      </x:c>
      <x:c r="C19" s="3" t="s">
        <x:v>67</x:v>
      </x:c>
      <x:c r="D19" s="3" t="s">
        <x:v>68</x:v>
      </x:c>
      <x:c r="E19" s="3" t="s">
        <x:v>68</x:v>
      </x:c>
      <x:c r="F19" s="9"/>
      <x:c r="G19" s="9"/>
      <x:c r="H19" s="9"/>
      <x:c r="I19" s="3"/>
      <x:c r="J19" s="9"/>
      <x:c r="K19" s="11"/>
      <x:c r="L19" s="11"/>
      <x:c r="M19" s="11"/>
      <x:c r="N19" s="11"/>
      <x:c r="O19" s="11"/>
      <x:c r="P19" s="11">
        <x:v>136.9864</x:v>
      </x:c>
      <x:c r="Q19" s="14" t="str">
        <x:f t="shared" si="0"/>
      </x:c>
      <x:c r="R19" s="13"/>
      <x:c r="S19" s="3" t="s">
        <x:v>762</x:v>
      </x:c>
      <x:c r="T19" s="3" t="s">
        <x:v>261</x:v>
      </x:c>
      <x:c r="U19" s="3" t="s">
        <x:v>242</x:v>
      </x:c>
      <x:c r="V19" s="3" t="s">
        <x:v>243</x:v>
      </x:c>
      <x:c r="W19" s="3" t="s">
        <x:v>763</x:v>
      </x:c>
      <x:c r="X19" s="3" t="s">
        <x:v>764</x:v>
      </x:c>
      <x:c r="Y19" s="8" t="s">
        <x:v>61</x:v>
      </x:c>
    </x:row>
    <x:row r="20" ht="28">
      <x:c r="A20" s="3" t="s">
        <x:v>765</x:v>
      </x:c>
      <x:c r="B20" s="3" t="s">
        <x:v>658</x:v>
      </x:c>
      <x:c r="C20" s="3" t="s">
        <x:v>62</x:v>
      </x:c>
      <x:c r="D20" s="3" t="s">
        <x:v>63</x:v>
      </x:c>
      <x:c r="E20" s="3" t="s">
        <x:v>63</x:v>
      </x:c>
      <x:c r="F20" s="9"/>
      <x:c r="G20" s="9"/>
      <x:c r="H20" s="9"/>
      <x:c r="I20" s="3"/>
      <x:c r="J20" s="9"/>
      <x:c r="K20" s="11"/>
      <x:c r="L20" s="11"/>
      <x:c r="M20" s="11"/>
      <x:c r="N20" s="11"/>
      <x:c r="O20" s="11"/>
      <x:c r="P20" s="11">
        <x:v>136.9864</x:v>
      </x:c>
      <x:c r="Q20" s="14" t="str">
        <x:f t="shared" si="0"/>
      </x:c>
      <x:c r="R20" s="13"/>
      <x:c r="S20" s="3" t="s">
        <x:v>762</x:v>
      </x:c>
      <x:c r="T20" s="3" t="s">
        <x:v>261</x:v>
      </x:c>
      <x:c r="U20" s="3" t="s">
        <x:v>242</x:v>
      </x:c>
      <x:c r="V20" s="3" t="s">
        <x:v>243</x:v>
      </x:c>
      <x:c r="W20" s="3" t="s">
        <x:v>763</x:v>
      </x:c>
      <x:c r="X20" s="3" t="s">
        <x:v>764</x:v>
      </x:c>
      <x:c r="Y20" s="8" t="s">
        <x:v>61</x:v>
      </x:c>
    </x:row>
    <x:row r="21" ht="28">
      <x:c r="A21" s="3" t="s">
        <x:v>766</x:v>
      </x:c>
      <x:c r="B21" s="3" t="s">
        <x:v>658</x:v>
      </x:c>
      <x:c r="C21" s="3" t="s">
        <x:v>70</x:v>
      </x:c>
      <x:c r="D21" s="3" t="s">
        <x:v>71</x:v>
      </x:c>
      <x:c r="E21" s="3" t="s">
        <x:v>72</x:v>
      </x:c>
      <x:c r="F21" s="9"/>
      <x:c r="G21" s="9"/>
      <x:c r="H21" s="9"/>
      <x:c r="I21" s="3"/>
      <x:c r="J21" s="9"/>
      <x:c r="K21" s="11"/>
      <x:c r="L21" s="11"/>
      <x:c r="M21" s="11"/>
      <x:c r="N21" s="11"/>
      <x:c r="O21" s="11"/>
      <x:c r="P21" s="11">
        <x:v>136.9864</x:v>
      </x:c>
      <x:c r="Q21" s="14" t="str">
        <x:f t="shared" si="0"/>
      </x:c>
      <x:c r="R21" s="13"/>
      <x:c r="S21" s="3" t="s">
        <x:v>762</x:v>
      </x:c>
      <x:c r="T21" s="3" t="s">
        <x:v>261</x:v>
      </x:c>
      <x:c r="U21" s="3" t="s">
        <x:v>242</x:v>
      </x:c>
      <x:c r="V21" s="3" t="s">
        <x:v>243</x:v>
      </x:c>
      <x:c r="W21" s="3" t="s">
        <x:v>763</x:v>
      </x:c>
      <x:c r="X21" s="3" t="s">
        <x:v>764</x:v>
      </x:c>
      <x:c r="Y21" s="8" t="s">
        <x:v>61</x:v>
      </x:c>
    </x:row>
    <x:row r="22" ht="28">
      <x:c r="A22" s="3" t="s">
        <x:v>767</x:v>
      </x:c>
      <x:c r="B22" s="3" t="s">
        <x:v>658</x:v>
      </x:c>
      <x:c r="C22" s="3" t="s">
        <x:v>78</x:v>
      </x:c>
      <x:c r="D22" s="3" t="s">
        <x:v>79</x:v>
      </x:c>
      <x:c r="E22" s="3" t="s">
        <x:v>80</x:v>
      </x:c>
      <x:c r="F22" s="9"/>
      <x:c r="G22" s="9"/>
      <x:c r="H22" s="9"/>
      <x:c r="I22" s="3"/>
      <x:c r="J22" s="9"/>
      <x:c r="K22" s="11"/>
      <x:c r="L22" s="11"/>
      <x:c r="M22" s="11"/>
      <x:c r="N22" s="11"/>
      <x:c r="O22" s="11"/>
      <x:c r="P22" s="11">
        <x:v>136.9864</x:v>
      </x:c>
      <x:c r="Q22" s="14" t="str">
        <x:f t="shared" si="0"/>
      </x:c>
      <x:c r="R22" s="13"/>
      <x:c r="S22" s="3" t="s">
        <x:v>762</x:v>
      </x:c>
      <x:c r="T22" s="3" t="s">
        <x:v>261</x:v>
      </x:c>
      <x:c r="U22" s="3" t="s">
        <x:v>242</x:v>
      </x:c>
      <x:c r="V22" s="3" t="s">
        <x:v>243</x:v>
      </x:c>
      <x:c r="W22" s="3" t="s">
        <x:v>763</x:v>
      </x:c>
      <x:c r="X22" s="3" t="s">
        <x:v>764</x:v>
      </x:c>
      <x:c r="Y22" s="8" t="s">
        <x:v>61</x:v>
      </x:c>
    </x:row>
    <x:row r="23" ht="28">
      <x:c r="A23" s="3" t="s">
        <x:v>768</x:v>
      </x:c>
      <x:c r="B23" s="3" t="s">
        <x:v>658</x:v>
      </x:c>
      <x:c r="C23" s="3" t="s">
        <x:v>85</x:v>
      </x:c>
      <x:c r="D23" s="3" t="s">
        <x:v>86</x:v>
      </x:c>
      <x:c r="E23" s="3" t="s">
        <x:v>87</x:v>
      </x:c>
      <x:c r="F23" s="9"/>
      <x:c r="G23" s="9"/>
      <x:c r="H23" s="9"/>
      <x:c r="I23" s="3"/>
      <x:c r="J23" s="9"/>
      <x:c r="K23" s="11"/>
      <x:c r="L23" s="11"/>
      <x:c r="M23" s="11"/>
      <x:c r="N23" s="11"/>
      <x:c r="O23" s="11"/>
      <x:c r="P23" s="11">
        <x:v>136.9864</x:v>
      </x:c>
      <x:c r="Q23" s="14" t="str">
        <x:f t="shared" si="0"/>
      </x:c>
      <x:c r="R23" s="13"/>
      <x:c r="S23" s="3" t="s">
        <x:v>762</x:v>
      </x:c>
      <x:c r="T23" s="3" t="s">
        <x:v>261</x:v>
      </x:c>
      <x:c r="U23" s="3" t="s">
        <x:v>242</x:v>
      </x:c>
      <x:c r="V23" s="3" t="s">
        <x:v>243</x:v>
      </x:c>
      <x:c r="W23" s="3" t="s">
        <x:v>763</x:v>
      </x:c>
      <x:c r="X23" s="3" t="s">
        <x:v>764</x:v>
      </x:c>
      <x:c r="Y23" s="8" t="s">
        <x:v>61</x:v>
      </x:c>
    </x:row>
    <x:row r="24" ht="28">
      <x:c r="A24" s="3" t="s">
        <x:v>769</x:v>
      </x:c>
      <x:c r="B24" s="3" t="s">
        <x:v>658</x:v>
      </x:c>
      <x:c r="C24" s="3" t="s">
        <x:v>89</x:v>
      </x:c>
      <x:c r="D24" s="3" t="s">
        <x:v>90</x:v>
      </x:c>
      <x:c r="E24" s="3" t="s">
        <x:v>91</x:v>
      </x:c>
      <x:c r="F24" s="9"/>
      <x:c r="G24" s="9"/>
      <x:c r="H24" s="9"/>
      <x:c r="I24" s="3"/>
      <x:c r="J24" s="9"/>
      <x:c r="K24" s="11"/>
      <x:c r="L24" s="11"/>
      <x:c r="M24" s="11"/>
      <x:c r="N24" s="11"/>
      <x:c r="O24" s="11"/>
      <x:c r="P24" s="11">
        <x:v>136.9864</x:v>
      </x:c>
      <x:c r="Q24" s="14" t="str">
        <x:f t="shared" si="0"/>
      </x:c>
      <x:c r="R24" s="13"/>
      <x:c r="S24" s="3" t="s">
        <x:v>762</x:v>
      </x:c>
      <x:c r="T24" s="3" t="s">
        <x:v>261</x:v>
      </x:c>
      <x:c r="U24" s="3" t="s">
        <x:v>242</x:v>
      </x:c>
      <x:c r="V24" s="3" t="s">
        <x:v>243</x:v>
      </x:c>
      <x:c r="W24" s="3" t="s">
        <x:v>763</x:v>
      </x:c>
      <x:c r="X24" s="3" t="s">
        <x:v>764</x:v>
      </x:c>
      <x:c r="Y24" s="8" t="s">
        <x:v>61</x:v>
      </x:c>
    </x:row>
    <x:row r="25" ht="28">
      <x:c r="A25" s="3" t="s">
        <x:v>770</x:v>
      </x:c>
      <x:c r="B25" s="3" t="s">
        <x:v>661</x:v>
      </x:c>
      <x:c r="C25" s="3" t="s">
        <x:v>67</x:v>
      </x:c>
      <x:c r="D25" s="3" t="s">
        <x:v>68</x:v>
      </x:c>
      <x:c r="E25" s="3" t="s">
        <x:v>68</x:v>
      </x:c>
      <x:c r="F25" s="9"/>
      <x:c r="G25" s="9"/>
      <x:c r="H25" s="9"/>
      <x:c r="I25" s="3"/>
      <x:c r="J25" s="9"/>
      <x:c r="K25" s="11"/>
      <x:c r="L25" s="11"/>
      <x:c r="M25" s="11"/>
      <x:c r="N25" s="11"/>
      <x:c r="O25" s="11"/>
      <x:c r="P25" s="11">
        <x:v>2000</x:v>
      </x:c>
      <x:c r="Q25" s="14" t="str">
        <x:f t="shared" si="0"/>
      </x:c>
      <x:c r="R25" s="13"/>
      <x:c r="S25" s="3" t="s">
        <x:v>771</x:v>
      </x:c>
      <x:c r="T25" s="3" t="s">
        <x:v>272</x:v>
      </x:c>
      <x:c r="U25" s="3" t="s">
        <x:v>242</x:v>
      </x:c>
      <x:c r="V25" s="3" t="s">
        <x:v>243</x:v>
      </x:c>
      <x:c r="W25" s="3" t="s">
        <x:v>763</x:v>
      </x:c>
      <x:c r="X25" s="3" t="s">
        <x:v>772</x:v>
      </x:c>
      <x:c r="Y25" s="8" t="s">
        <x:v>61</x:v>
      </x:c>
    </x:row>
    <x:row r="26" ht="28">
      <x:c r="A26" s="3" t="s">
        <x:v>773</x:v>
      </x:c>
      <x:c r="B26" s="3" t="s">
        <x:v>661</x:v>
      </x:c>
      <x:c r="C26" s="3" t="s">
        <x:v>62</x:v>
      </x:c>
      <x:c r="D26" s="3" t="s">
        <x:v>63</x:v>
      </x:c>
      <x:c r="E26" s="3" t="s">
        <x:v>63</x:v>
      </x:c>
      <x:c r="F26" s="9"/>
      <x:c r="G26" s="9"/>
      <x:c r="H26" s="9"/>
      <x:c r="I26" s="3"/>
      <x:c r="J26" s="9"/>
      <x:c r="K26" s="11"/>
      <x:c r="L26" s="11"/>
      <x:c r="M26" s="11"/>
      <x:c r="N26" s="11"/>
      <x:c r="O26" s="11"/>
      <x:c r="P26" s="11">
        <x:v>2000</x:v>
      </x:c>
      <x:c r="Q26" s="14" t="str">
        <x:f t="shared" si="0"/>
      </x:c>
      <x:c r="R26" s="13"/>
      <x:c r="S26" s="3" t="s">
        <x:v>771</x:v>
      </x:c>
      <x:c r="T26" s="3" t="s">
        <x:v>272</x:v>
      </x:c>
      <x:c r="U26" s="3" t="s">
        <x:v>242</x:v>
      </x:c>
      <x:c r="V26" s="3" t="s">
        <x:v>243</x:v>
      </x:c>
      <x:c r="W26" s="3" t="s">
        <x:v>763</x:v>
      </x:c>
      <x:c r="X26" s="3" t="s">
        <x:v>772</x:v>
      </x:c>
      <x:c r="Y26" s="8" t="s">
        <x:v>61</x:v>
      </x:c>
    </x:row>
    <x:row r="27" ht="28">
      <x:c r="A27" s="3" t="s">
        <x:v>774</x:v>
      </x:c>
      <x:c r="B27" s="3" t="s">
        <x:v>661</x:v>
      </x:c>
      <x:c r="C27" s="3" t="s">
        <x:v>70</x:v>
      </x:c>
      <x:c r="D27" s="3" t="s">
        <x:v>71</x:v>
      </x:c>
      <x:c r="E27" s="3" t="s">
        <x:v>72</x:v>
      </x:c>
      <x:c r="F27" s="9"/>
      <x:c r="G27" s="9"/>
      <x:c r="H27" s="9"/>
      <x:c r="I27" s="3"/>
      <x:c r="J27" s="9"/>
      <x:c r="K27" s="11"/>
      <x:c r="L27" s="11"/>
      <x:c r="M27" s="11"/>
      <x:c r="N27" s="11"/>
      <x:c r="O27" s="11"/>
      <x:c r="P27" s="11">
        <x:v>2000</x:v>
      </x:c>
      <x:c r="Q27" s="14" t="str">
        <x:f t="shared" si="0"/>
      </x:c>
      <x:c r="R27" s="13"/>
      <x:c r="S27" s="3" t="s">
        <x:v>771</x:v>
      </x:c>
      <x:c r="T27" s="3" t="s">
        <x:v>272</x:v>
      </x:c>
      <x:c r="U27" s="3" t="s">
        <x:v>242</x:v>
      </x:c>
      <x:c r="V27" s="3" t="s">
        <x:v>243</x:v>
      </x:c>
      <x:c r="W27" s="3" t="s">
        <x:v>763</x:v>
      </x:c>
      <x:c r="X27" s="3" t="s">
        <x:v>772</x:v>
      </x:c>
      <x:c r="Y27" s="8" t="s">
        <x:v>61</x:v>
      </x:c>
    </x:row>
    <x:row r="28" ht="28">
      <x:c r="A28" s="3" t="s">
        <x:v>775</x:v>
      </x:c>
      <x:c r="B28" s="3" t="s">
        <x:v>661</x:v>
      </x:c>
      <x:c r="C28" s="3" t="s">
        <x:v>78</x:v>
      </x:c>
      <x:c r="D28" s="3" t="s">
        <x:v>79</x:v>
      </x:c>
      <x:c r="E28" s="3" t="s">
        <x:v>80</x:v>
      </x:c>
      <x:c r="F28" s="9"/>
      <x:c r="G28" s="9"/>
      <x:c r="H28" s="9"/>
      <x:c r="I28" s="3"/>
      <x:c r="J28" s="9"/>
      <x:c r="K28" s="11"/>
      <x:c r="L28" s="11"/>
      <x:c r="M28" s="11"/>
      <x:c r="N28" s="11"/>
      <x:c r="O28" s="11"/>
      <x:c r="P28" s="11">
        <x:v>2000</x:v>
      </x:c>
      <x:c r="Q28" s="14" t="str">
        <x:f t="shared" si="0"/>
      </x:c>
      <x:c r="R28" s="13"/>
      <x:c r="S28" s="3" t="s">
        <x:v>771</x:v>
      </x:c>
      <x:c r="T28" s="3" t="s">
        <x:v>272</x:v>
      </x:c>
      <x:c r="U28" s="3" t="s">
        <x:v>242</x:v>
      </x:c>
      <x:c r="V28" s="3" t="s">
        <x:v>243</x:v>
      </x:c>
      <x:c r="W28" s="3" t="s">
        <x:v>763</x:v>
      </x:c>
      <x:c r="X28" s="3" t="s">
        <x:v>772</x:v>
      </x:c>
      <x:c r="Y28" s="8" t="s">
        <x:v>61</x:v>
      </x:c>
    </x:row>
    <x:row r="29" ht="28">
      <x:c r="A29" s="3" t="s">
        <x:v>776</x:v>
      </x:c>
      <x:c r="B29" s="3" t="s">
        <x:v>661</x:v>
      </x:c>
      <x:c r="C29" s="3" t="s">
        <x:v>85</x:v>
      </x:c>
      <x:c r="D29" s="3" t="s">
        <x:v>86</x:v>
      </x:c>
      <x:c r="E29" s="3" t="s">
        <x:v>87</x:v>
      </x:c>
      <x:c r="F29" s="9"/>
      <x:c r="G29" s="9"/>
      <x:c r="H29" s="9"/>
      <x:c r="I29" s="3"/>
      <x:c r="J29" s="9"/>
      <x:c r="K29" s="11"/>
      <x:c r="L29" s="11"/>
      <x:c r="M29" s="11"/>
      <x:c r="N29" s="11"/>
      <x:c r="O29" s="11"/>
      <x:c r="P29" s="11">
        <x:v>2000</x:v>
      </x:c>
      <x:c r="Q29" s="14" t="str">
        <x:f t="shared" si="0"/>
      </x:c>
      <x:c r="R29" s="13"/>
      <x:c r="S29" s="3" t="s">
        <x:v>771</x:v>
      </x:c>
      <x:c r="T29" s="3" t="s">
        <x:v>272</x:v>
      </x:c>
      <x:c r="U29" s="3" t="s">
        <x:v>242</x:v>
      </x:c>
      <x:c r="V29" s="3" t="s">
        <x:v>243</x:v>
      </x:c>
      <x:c r="W29" s="3" t="s">
        <x:v>763</x:v>
      </x:c>
      <x:c r="X29" s="3" t="s">
        <x:v>772</x:v>
      </x:c>
      <x:c r="Y29" s="8" t="s">
        <x:v>61</x:v>
      </x:c>
    </x:row>
    <x:row r="30" ht="28">
      <x:c r="A30" s="3" t="s">
        <x:v>777</x:v>
      </x:c>
      <x:c r="B30" s="3" t="s">
        <x:v>661</x:v>
      </x:c>
      <x:c r="C30" s="3" t="s">
        <x:v>89</x:v>
      </x:c>
      <x:c r="D30" s="3" t="s">
        <x:v>90</x:v>
      </x:c>
      <x:c r="E30" s="3" t="s">
        <x:v>91</x:v>
      </x:c>
      <x:c r="F30" s="9"/>
      <x:c r="G30" s="9"/>
      <x:c r="H30" s="9"/>
      <x:c r="I30" s="3"/>
      <x:c r="J30" s="9"/>
      <x:c r="K30" s="11"/>
      <x:c r="L30" s="11"/>
      <x:c r="M30" s="11"/>
      <x:c r="N30" s="11"/>
      <x:c r="O30" s="11"/>
      <x:c r="P30" s="11">
        <x:v>2000</x:v>
      </x:c>
      <x:c r="Q30" s="14" t="str">
        <x:f t="shared" si="0"/>
      </x:c>
      <x:c r="R30" s="13"/>
      <x:c r="S30" s="3" t="s">
        <x:v>771</x:v>
      </x:c>
      <x:c r="T30" s="3" t="s">
        <x:v>272</x:v>
      </x:c>
      <x:c r="U30" s="3" t="s">
        <x:v>242</x:v>
      </x:c>
      <x:c r="V30" s="3" t="s">
        <x:v>243</x:v>
      </x:c>
      <x:c r="W30" s="3" t="s">
        <x:v>763</x:v>
      </x:c>
      <x:c r="X30" s="3" t="s">
        <x:v>772</x:v>
      </x:c>
      <x:c r="Y30" s="8" t="s">
        <x:v>61</x:v>
      </x:c>
    </x:row>
    <x:row r="31" ht="28">
      <x:c r="A31" s="3" t="s">
        <x:v>778</x:v>
      </x:c>
      <x:c r="B31" s="3" t="s">
        <x:v>664</x:v>
      </x:c>
      <x:c r="C31" s="3" t="s">
        <x:v>67</x:v>
      </x:c>
      <x:c r="D31" s="3" t="s">
        <x:v>68</x:v>
      </x:c>
      <x:c r="E31" s="3" t="s">
        <x:v>68</x:v>
      </x:c>
      <x:c r="F31" s="9"/>
      <x:c r="G31" s="9"/>
      <x:c r="H31" s="9"/>
      <x:c r="I31" s="3"/>
      <x:c r="J31" s="9"/>
      <x:c r="K31" s="11"/>
      <x:c r="L31" s="11"/>
      <x:c r="M31" s="11"/>
      <x:c r="N31" s="11"/>
      <x:c r="O31" s="11"/>
      <x:c r="P31" s="11">
        <x:v>2158.2732999999998</x:v>
      </x:c>
      <x:c r="Q31" s="14" t="str">
        <x:f t="shared" si="0"/>
      </x:c>
      <x:c r="R31" s="13"/>
      <x:c r="S31" s="3" t="s">
        <x:v>779</x:v>
      </x:c>
      <x:c r="T31" s="3" t="s">
        <x:v>280</x:v>
      </x:c>
      <x:c r="U31" s="3" t="s">
        <x:v>281</x:v>
      </x:c>
      <x:c r="V31" s="3" t="s">
        <x:v>242</x:v>
      </x:c>
      <x:c r="W31" s="3" t="s">
        <x:v>763</x:v>
      </x:c>
      <x:c r="X31" s="3" t="s">
        <x:v>780</x:v>
      </x:c>
      <x:c r="Y31" s="8" t="s">
        <x:v>61</x:v>
      </x:c>
    </x:row>
    <x:row r="32" ht="28">
      <x:c r="A32" s="3" t="s">
        <x:v>781</x:v>
      </x:c>
      <x:c r="B32" s="3" t="s">
        <x:v>664</x:v>
      </x:c>
      <x:c r="C32" s="3" t="s">
        <x:v>62</x:v>
      </x:c>
      <x:c r="D32" s="3" t="s">
        <x:v>63</x:v>
      </x:c>
      <x:c r="E32" s="3" t="s">
        <x:v>63</x:v>
      </x:c>
      <x:c r="F32" s="9"/>
      <x:c r="G32" s="9"/>
      <x:c r="H32" s="9"/>
      <x:c r="I32" s="3"/>
      <x:c r="J32" s="9"/>
      <x:c r="K32" s="11"/>
      <x:c r="L32" s="11"/>
      <x:c r="M32" s="11"/>
      <x:c r="N32" s="11"/>
      <x:c r="O32" s="11"/>
      <x:c r="P32" s="11">
        <x:v>2158.2732999999998</x:v>
      </x:c>
      <x:c r="Q32" s="14" t="str">
        <x:f t="shared" si="0"/>
      </x:c>
      <x:c r="R32" s="13"/>
      <x:c r="S32" s="3" t="s">
        <x:v>779</x:v>
      </x:c>
      <x:c r="T32" s="3" t="s">
        <x:v>280</x:v>
      </x:c>
      <x:c r="U32" s="3" t="s">
        <x:v>281</x:v>
      </x:c>
      <x:c r="V32" s="3" t="s">
        <x:v>242</x:v>
      </x:c>
      <x:c r="W32" s="3" t="s">
        <x:v>763</x:v>
      </x:c>
      <x:c r="X32" s="3" t="s">
        <x:v>780</x:v>
      </x:c>
      <x:c r="Y32" s="8" t="s">
        <x:v>61</x:v>
      </x:c>
    </x:row>
    <x:row r="33" ht="28">
      <x:c r="A33" s="3" t="s">
        <x:v>782</x:v>
      </x:c>
      <x:c r="B33" s="3" t="s">
        <x:v>664</x:v>
      </x:c>
      <x:c r="C33" s="3" t="s">
        <x:v>70</x:v>
      </x:c>
      <x:c r="D33" s="3" t="s">
        <x:v>71</x:v>
      </x:c>
      <x:c r="E33" s="3" t="s">
        <x:v>72</x:v>
      </x:c>
      <x:c r="F33" s="9"/>
      <x:c r="G33" s="9"/>
      <x:c r="H33" s="9"/>
      <x:c r="I33" s="3"/>
      <x:c r="J33" s="9"/>
      <x:c r="K33" s="11"/>
      <x:c r="L33" s="11"/>
      <x:c r="M33" s="11"/>
      <x:c r="N33" s="11"/>
      <x:c r="O33" s="11"/>
      <x:c r="P33" s="11">
        <x:v>2158.2732999999998</x:v>
      </x:c>
      <x:c r="Q33" s="14" t="str">
        <x:f t="shared" si="0"/>
      </x:c>
      <x:c r="R33" s="13"/>
      <x:c r="S33" s="3" t="s">
        <x:v>779</x:v>
      </x:c>
      <x:c r="T33" s="3" t="s">
        <x:v>280</x:v>
      </x:c>
      <x:c r="U33" s="3" t="s">
        <x:v>281</x:v>
      </x:c>
      <x:c r="V33" s="3" t="s">
        <x:v>242</x:v>
      </x:c>
      <x:c r="W33" s="3" t="s">
        <x:v>763</x:v>
      </x:c>
      <x:c r="X33" s="3" t="s">
        <x:v>780</x:v>
      </x:c>
      <x:c r="Y33" s="8" t="s">
        <x:v>61</x:v>
      </x:c>
    </x:row>
    <x:row r="34" ht="28">
      <x:c r="A34" s="3" t="s">
        <x:v>783</x:v>
      </x:c>
      <x:c r="B34" s="3" t="s">
        <x:v>664</x:v>
      </x:c>
      <x:c r="C34" s="3" t="s">
        <x:v>78</x:v>
      </x:c>
      <x:c r="D34" s="3" t="s">
        <x:v>79</x:v>
      </x:c>
      <x:c r="E34" s="3" t="s">
        <x:v>80</x:v>
      </x:c>
      <x:c r="F34" s="9"/>
      <x:c r="G34" s="9"/>
      <x:c r="H34" s="9"/>
      <x:c r="I34" s="3"/>
      <x:c r="J34" s="9"/>
      <x:c r="K34" s="11"/>
      <x:c r="L34" s="11"/>
      <x:c r="M34" s="11"/>
      <x:c r="N34" s="11"/>
      <x:c r="O34" s="11"/>
      <x:c r="P34" s="11">
        <x:v>2158.2732999999998</x:v>
      </x:c>
      <x:c r="Q34" s="14" t="str">
        <x:f t="shared" si="0"/>
      </x:c>
      <x:c r="R34" s="13"/>
      <x:c r="S34" s="3" t="s">
        <x:v>779</x:v>
      </x:c>
      <x:c r="T34" s="3" t="s">
        <x:v>280</x:v>
      </x:c>
      <x:c r="U34" s="3" t="s">
        <x:v>281</x:v>
      </x:c>
      <x:c r="V34" s="3" t="s">
        <x:v>242</x:v>
      </x:c>
      <x:c r="W34" s="3" t="s">
        <x:v>763</x:v>
      </x:c>
      <x:c r="X34" s="3" t="s">
        <x:v>780</x:v>
      </x:c>
      <x:c r="Y34" s="8" t="s">
        <x:v>61</x:v>
      </x:c>
    </x:row>
    <x:row r="35" ht="28">
      <x:c r="A35" s="3" t="s">
        <x:v>784</x:v>
      </x:c>
      <x:c r="B35" s="3" t="s">
        <x:v>664</x:v>
      </x:c>
      <x:c r="C35" s="3" t="s">
        <x:v>85</x:v>
      </x:c>
      <x:c r="D35" s="3" t="s">
        <x:v>86</x:v>
      </x:c>
      <x:c r="E35" s="3" t="s">
        <x:v>87</x:v>
      </x:c>
      <x:c r="F35" s="9"/>
      <x:c r="G35" s="9"/>
      <x:c r="H35" s="9"/>
      <x:c r="I35" s="3"/>
      <x:c r="J35" s="9"/>
      <x:c r="K35" s="11"/>
      <x:c r="L35" s="11"/>
      <x:c r="M35" s="11"/>
      <x:c r="N35" s="11"/>
      <x:c r="O35" s="11"/>
      <x:c r="P35" s="11">
        <x:v>2158.2732999999998</x:v>
      </x:c>
      <x:c r="Q35" s="14" t="str">
        <x:f t="shared" si="0"/>
      </x:c>
      <x:c r="R35" s="13"/>
      <x:c r="S35" s="3" t="s">
        <x:v>779</x:v>
      </x:c>
      <x:c r="T35" s="3" t="s">
        <x:v>280</x:v>
      </x:c>
      <x:c r="U35" s="3" t="s">
        <x:v>281</x:v>
      </x:c>
      <x:c r="V35" s="3" t="s">
        <x:v>242</x:v>
      </x:c>
      <x:c r="W35" s="3" t="s">
        <x:v>763</x:v>
      </x:c>
      <x:c r="X35" s="3" t="s">
        <x:v>780</x:v>
      </x:c>
      <x:c r="Y35" s="8" t="s">
        <x:v>61</x:v>
      </x:c>
    </x:row>
    <x:row r="36" ht="28">
      <x:c r="A36" s="3" t="s">
        <x:v>785</x:v>
      </x:c>
      <x:c r="B36" s="3" t="s">
        <x:v>664</x:v>
      </x:c>
      <x:c r="C36" s="3" t="s">
        <x:v>89</x:v>
      </x:c>
      <x:c r="D36" s="3" t="s">
        <x:v>90</x:v>
      </x:c>
      <x:c r="E36" s="3" t="s">
        <x:v>91</x:v>
      </x:c>
      <x:c r="F36" s="9"/>
      <x:c r="G36" s="9"/>
      <x:c r="H36" s="9"/>
      <x:c r="I36" s="3"/>
      <x:c r="J36" s="9"/>
      <x:c r="K36" s="11"/>
      <x:c r="L36" s="11"/>
      <x:c r="M36" s="11"/>
      <x:c r="N36" s="11"/>
      <x:c r="O36" s="11"/>
      <x:c r="P36" s="11">
        <x:v>2158.2732999999998</x:v>
      </x:c>
      <x:c r="Q36" s="14" t="str">
        <x:f t="shared" si="0"/>
      </x:c>
      <x:c r="R36" s="13"/>
      <x:c r="S36" s="3" t="s">
        <x:v>779</x:v>
      </x:c>
      <x:c r="T36" s="3" t="s">
        <x:v>280</x:v>
      </x:c>
      <x:c r="U36" s="3" t="s">
        <x:v>281</x:v>
      </x:c>
      <x:c r="V36" s="3" t="s">
        <x:v>242</x:v>
      </x:c>
      <x:c r="W36" s="3" t="s">
        <x:v>763</x:v>
      </x:c>
      <x:c r="X36" s="3" t="s">
        <x:v>780</x:v>
      </x:c>
      <x:c r="Y36" s="8" t="s">
        <x:v>61</x:v>
      </x:c>
    </x:row>
    <x:row r="37" ht="28">
      <x:c r="A37" s="3" t="s">
        <x:v>786</x:v>
      </x:c>
      <x:c r="B37" s="3" t="s">
        <x:v>664</x:v>
      </x:c>
      <x:c r="C37" s="3" t="s">
        <x:v>93</x:v>
      </x:c>
      <x:c r="D37" s="3" t="s">
        <x:v>94</x:v>
      </x:c>
      <x:c r="E37" s="3" t="s">
        <x:v>95</x:v>
      </x:c>
      <x:c r="F37" s="9"/>
      <x:c r="G37" s="9"/>
      <x:c r="H37" s="9"/>
      <x:c r="I37" s="3"/>
      <x:c r="J37" s="9"/>
      <x:c r="K37" s="11"/>
      <x:c r="L37" s="11"/>
      <x:c r="M37" s="11"/>
      <x:c r="N37" s="11"/>
      <x:c r="O37" s="11"/>
      <x:c r="P37" s="11">
        <x:v>2158.2732999999998</x:v>
      </x:c>
      <x:c r="Q37" s="14" t="str">
        <x:f t="shared" si="0"/>
      </x:c>
      <x:c r="R37" s="13"/>
      <x:c r="S37" s="3" t="s">
        <x:v>779</x:v>
      </x:c>
      <x:c r="T37" s="3" t="s">
        <x:v>280</x:v>
      </x:c>
      <x:c r="U37" s="3" t="s">
        <x:v>281</x:v>
      </x:c>
      <x:c r="V37" s="3" t="s">
        <x:v>242</x:v>
      </x:c>
      <x:c r="W37" s="3" t="s">
        <x:v>763</x:v>
      </x:c>
      <x:c r="X37" s="3" t="s">
        <x:v>780</x:v>
      </x:c>
      <x:c r="Y37" s="8" t="s">
        <x:v>61</x:v>
      </x:c>
    </x:row>
    <x:row r="38" ht="28">
      <x:c r="A38" s="3" t="s">
        <x:v>787</x:v>
      </x:c>
      <x:c r="B38" s="3" t="s">
        <x:v>664</x:v>
      </x:c>
      <x:c r="C38" s="3" t="s">
        <x:v>99</x:v>
      </x:c>
      <x:c r="D38" s="3" t="s">
        <x:v>100</x:v>
      </x:c>
      <x:c r="E38" s="3" t="s">
        <x:v>101</x:v>
      </x:c>
      <x:c r="F38" s="9"/>
      <x:c r="G38" s="9"/>
      <x:c r="H38" s="9"/>
      <x:c r="I38" s="3"/>
      <x:c r="J38" s="9"/>
      <x:c r="K38" s="11"/>
      <x:c r="L38" s="11"/>
      <x:c r="M38" s="11"/>
      <x:c r="N38" s="11"/>
      <x:c r="O38" s="11"/>
      <x:c r="P38" s="11">
        <x:v>2158.2732999999998</x:v>
      </x:c>
      <x:c r="Q38" s="14" t="str">
        <x:f t="shared" si="0"/>
      </x:c>
      <x:c r="R38" s="13"/>
      <x:c r="S38" s="3" t="s">
        <x:v>779</x:v>
      </x:c>
      <x:c r="T38" s="3" t="s">
        <x:v>280</x:v>
      </x:c>
      <x:c r="U38" s="3" t="s">
        <x:v>281</x:v>
      </x:c>
      <x:c r="V38" s="3" t="s">
        <x:v>242</x:v>
      </x:c>
      <x:c r="W38" s="3" t="s">
        <x:v>763</x:v>
      </x:c>
      <x:c r="X38" s="3" t="s">
        <x:v>780</x:v>
      </x:c>
      <x:c r="Y38" s="8" t="s">
        <x:v>61</x:v>
      </x:c>
    </x:row>
    <x:row r="39" ht="28">
      <x:c r="A39" s="3" t="s">
        <x:v>788</x:v>
      </x:c>
      <x:c r="B39" s="3" t="s">
        <x:v>664</x:v>
      </x:c>
      <x:c r="C39" s="3" t="s">
        <x:v>105</x:v>
      </x:c>
      <x:c r="D39" s="3" t="s">
        <x:v>106</x:v>
      </x:c>
      <x:c r="E39" s="3" t="s">
        <x:v>107</x:v>
      </x:c>
      <x:c r="F39" s="9"/>
      <x:c r="G39" s="9"/>
      <x:c r="H39" s="9"/>
      <x:c r="I39" s="3"/>
      <x:c r="J39" s="9"/>
      <x:c r="K39" s="11"/>
      <x:c r="L39" s="11"/>
      <x:c r="M39" s="11"/>
      <x:c r="N39" s="11"/>
      <x:c r="O39" s="11"/>
      <x:c r="P39" s="11">
        <x:v>2158.2732999999998</x:v>
      </x:c>
      <x:c r="Q39" s="14" t="str">
        <x:f t="shared" si="0"/>
      </x:c>
      <x:c r="R39" s="13"/>
      <x:c r="S39" s="3" t="s">
        <x:v>779</x:v>
      </x:c>
      <x:c r="T39" s="3" t="s">
        <x:v>280</x:v>
      </x:c>
      <x:c r="U39" s="3" t="s">
        <x:v>281</x:v>
      </x:c>
      <x:c r="V39" s="3" t="s">
        <x:v>242</x:v>
      </x:c>
      <x:c r="W39" s="3" t="s">
        <x:v>763</x:v>
      </x:c>
      <x:c r="X39" s="3" t="s">
        <x:v>780</x:v>
      </x:c>
      <x:c r="Y39" s="8" t="s">
        <x:v>61</x:v>
      </x:c>
    </x:row>
    <x:row r="40" ht="28">
      <x:c r="A40" s="3" t="s">
        <x:v>789</x:v>
      </x:c>
      <x:c r="B40" s="3" t="s">
        <x:v>664</x:v>
      </x:c>
      <x:c r="C40" s="3" t="s">
        <x:v>109</x:v>
      </x:c>
      <x:c r="D40" s="3" t="s">
        <x:v>110</x:v>
      </x:c>
      <x:c r="E40" s="3" t="s">
        <x:v>111</x:v>
      </x:c>
      <x:c r="F40" s="9"/>
      <x:c r="G40" s="9"/>
      <x:c r="H40" s="9"/>
      <x:c r="I40" s="3"/>
      <x:c r="J40" s="9"/>
      <x:c r="K40" s="11"/>
      <x:c r="L40" s="11"/>
      <x:c r="M40" s="11"/>
      <x:c r="N40" s="11"/>
      <x:c r="O40" s="11"/>
      <x:c r="P40" s="11">
        <x:v>2158.2732999999998</x:v>
      </x:c>
      <x:c r="Q40" s="14" t="str">
        <x:f t="shared" si="0"/>
      </x:c>
      <x:c r="R40" s="13"/>
      <x:c r="S40" s="3" t="s">
        <x:v>779</x:v>
      </x:c>
      <x:c r="T40" s="3" t="s">
        <x:v>280</x:v>
      </x:c>
      <x:c r="U40" s="3" t="s">
        <x:v>281</x:v>
      </x:c>
      <x:c r="V40" s="3" t="s">
        <x:v>242</x:v>
      </x:c>
      <x:c r="W40" s="3" t="s">
        <x:v>763</x:v>
      </x:c>
      <x:c r="X40" s="3" t="s">
        <x:v>780</x:v>
      </x:c>
      <x:c r="Y40" s="8" t="s">
        <x:v>61</x:v>
      </x:c>
    </x:row>
    <x:row r="41" ht="42">
      <x:c r="A41" s="3" t="s">
        <x:v>790</x:v>
      </x:c>
      <x:c r="B41" s="3" t="s">
        <x:v>664</x:v>
      </x:c>
      <x:c r="C41" s="3" t="s">
        <x:v>113</x:v>
      </x:c>
      <x:c r="D41" s="3" t="s">
        <x:v>114</x:v>
      </x:c>
      <x:c r="E41" s="3" t="s">
        <x:v>115</x:v>
      </x:c>
      <x:c r="F41" s="9"/>
      <x:c r="G41" s="9"/>
      <x:c r="H41" s="9"/>
      <x:c r="I41" s="3"/>
      <x:c r="J41" s="9"/>
      <x:c r="K41" s="11"/>
      <x:c r="L41" s="11"/>
      <x:c r="M41" s="11"/>
      <x:c r="N41" s="11"/>
      <x:c r="O41" s="11"/>
      <x:c r="P41" s="11">
        <x:v>2158.2732999999998</x:v>
      </x:c>
      <x:c r="Q41" s="14" t="str">
        <x:f t="shared" si="0"/>
      </x:c>
      <x:c r="R41" s="13"/>
      <x:c r="S41" s="3" t="s">
        <x:v>779</x:v>
      </x:c>
      <x:c r="T41" s="3" t="s">
        <x:v>280</x:v>
      </x:c>
      <x:c r="U41" s="3" t="s">
        <x:v>281</x:v>
      </x:c>
      <x:c r="V41" s="3" t="s">
        <x:v>242</x:v>
      </x:c>
      <x:c r="W41" s="3" t="s">
        <x:v>763</x:v>
      </x:c>
      <x:c r="X41" s="3" t="s">
        <x:v>780</x:v>
      </x:c>
      <x:c r="Y41" s="8" t="s">
        <x:v>61</x:v>
      </x:c>
    </x:row>
    <x:row r="42" ht="28">
      <x:c r="A42" s="3" t="s">
        <x:v>791</x:v>
      </x:c>
      <x:c r="B42" s="3" t="s">
        <x:v>666</x:v>
      </x:c>
      <x:c r="C42" s="3" t="s">
        <x:v>67</x:v>
      </x:c>
      <x:c r="D42" s="3" t="s">
        <x:v>68</x:v>
      </x:c>
      <x:c r="E42" s="3" t="s">
        <x:v>68</x:v>
      </x:c>
      <x:c r="F42" s="9"/>
      <x:c r="G42" s="9">
        <x:v>17792000</x:v>
      </x:c>
      <x:c r="H42" s="9">
        <x:v>44.48</x:v>
      </x:c>
      <x:c r="I42" s="3" t="s">
        <x:v>431</x:v>
      </x:c>
      <x:c r="J42" s="9" t="s">
        <x:v>792</x:v>
      </x:c>
      <x:c r="K42" s="11"/>
      <x:c r="L42" s="11"/>
      <x:c r="M42" s="11"/>
      <x:c r="N42" s="11"/>
      <x:c r="O42" s="11">
        <x:v>17792000</x:v>
      </x:c>
      <x:c r="P42" s="11">
        <x:v>40000000</x:v>
      </x:c>
      <x:c r="Q42" s="14">
        <x:f t="shared" si="0"/>
        <x:v>44.48</x:v>
      </x:c>
      <x:c r="R42" s="13" t="s">
        <x:v>793</x:v>
      </x:c>
      <x:c r="S42" s="3" t="s">
        <x:v>794</x:v>
      </x:c>
      <x:c r="T42" s="3" t="s">
        <x:v>795</x:v>
      </x:c>
      <x:c r="U42" s="3" t="s">
        <x:v>640</x:v>
      </x:c>
      <x:c r="V42" s="3" t="s">
        <x:v>673</x:v>
      </x:c>
      <x:c r="W42" s="3" t="s">
        <x:v>727</x:v>
      </x:c>
      <x:c r="X42" s="3" t="s">
        <x:v>796</x:v>
      </x:c>
      <x:c r="Y42" s="8" t="s">
        <x:v>61</x:v>
      </x:c>
    </x:row>
    <x:row r="43" ht="28">
      <x:c r="A43" s="3" t="s">
        <x:v>797</x:v>
      </x:c>
      <x:c r="B43" s="3" t="s">
        <x:v>666</x:v>
      </x:c>
      <x:c r="C43" s="3" t="s">
        <x:v>62</x:v>
      </x:c>
      <x:c r="D43" s="3" t="s">
        <x:v>63</x:v>
      </x:c>
      <x:c r="E43" s="3" t="s">
        <x:v>63</x:v>
      </x:c>
      <x:c r="F43" s="9"/>
      <x:c r="G43" s="9">
        <x:v>7413360</x:v>
      </x:c>
      <x:c r="H43" s="9">
        <x:v>18.53</x:v>
      </x:c>
      <x:c r="I43" s="3" t="s">
        <x:v>431</x:v>
      </x:c>
      <x:c r="J43" s="9" t="s">
        <x:v>798</x:v>
      </x:c>
      <x:c r="K43" s="11"/>
      <x:c r="L43" s="11"/>
      <x:c r="M43" s="11"/>
      <x:c r="N43" s="11"/>
      <x:c r="O43" s="11">
        <x:v>7413360</x:v>
      </x:c>
      <x:c r="P43" s="11">
        <x:v>40000000</x:v>
      </x:c>
      <x:c r="Q43" s="14">
        <x:f t="shared" si="0"/>
        <x:v>18.5334</x:v>
      </x:c>
      <x:c r="R43" s="13" t="s">
        <x:v>793</x:v>
      </x:c>
      <x:c r="S43" s="3" t="s">
        <x:v>794</x:v>
      </x:c>
      <x:c r="T43" s="3" t="s">
        <x:v>795</x:v>
      </x:c>
      <x:c r="U43" s="3" t="s">
        <x:v>640</x:v>
      </x:c>
      <x:c r="V43" s="3" t="s">
        <x:v>673</x:v>
      </x:c>
      <x:c r="W43" s="3" t="s">
        <x:v>727</x:v>
      </x:c>
      <x:c r="X43" s="3" t="s">
        <x:v>796</x:v>
      </x:c>
      <x:c r="Y43" s="8" t="s">
        <x:v>61</x:v>
      </x:c>
    </x:row>
    <x:row r="44" ht="28">
      <x:c r="A44" s="3" t="s">
        <x:v>799</x:v>
      </x:c>
      <x:c r="B44" s="3" t="s">
        <x:v>666</x:v>
      </x:c>
      <x:c r="C44" s="3" t="s">
        <x:v>78</x:v>
      </x:c>
      <x:c r="D44" s="3" t="s">
        <x:v>79</x:v>
      </x:c>
      <x:c r="E44" s="3" t="s">
        <x:v>80</x:v>
      </x:c>
      <x:c r="F44" s="9"/>
      <x:c r="G44" s="9">
        <x:v>5004000</x:v>
      </x:c>
      <x:c r="H44" s="9">
        <x:v>12.51</x:v>
      </x:c>
      <x:c r="I44" s="3" t="s">
        <x:v>431</x:v>
      </x:c>
      <x:c r="J44" s="9" t="s">
        <x:v>800</x:v>
      </x:c>
      <x:c r="K44" s="11"/>
      <x:c r="L44" s="11"/>
      <x:c r="M44" s="11"/>
      <x:c r="N44" s="11"/>
      <x:c r="O44" s="11">
        <x:v>5004000</x:v>
      </x:c>
      <x:c r="P44" s="11">
        <x:v>40000000</x:v>
      </x:c>
      <x:c r="Q44" s="14">
        <x:f t="shared" si="0"/>
        <x:v>12.509999999999998</x:v>
      </x:c>
      <x:c r="R44" s="13" t="s">
        <x:v>793</x:v>
      </x:c>
      <x:c r="S44" s="3" t="s">
        <x:v>794</x:v>
      </x:c>
      <x:c r="T44" s="3" t="s">
        <x:v>795</x:v>
      </x:c>
      <x:c r="U44" s="3" t="s">
        <x:v>640</x:v>
      </x:c>
      <x:c r="V44" s="3" t="s">
        <x:v>673</x:v>
      </x:c>
      <x:c r="W44" s="3" t="s">
        <x:v>727</x:v>
      </x:c>
      <x:c r="X44" s="3" t="s">
        <x:v>796</x:v>
      </x:c>
      <x:c r="Y44" s="8" t="s">
        <x:v>61</x:v>
      </x:c>
    </x:row>
    <x:row r="45" ht="28">
      <x:c r="A45" s="3" t="s">
        <x:v>801</x:v>
      </x:c>
      <x:c r="B45" s="3" t="s">
        <x:v>666</x:v>
      </x:c>
      <x:c r="C45" s="3" t="s">
        <x:v>89</x:v>
      </x:c>
      <x:c r="D45" s="3" t="s">
        <x:v>90</x:v>
      </x:c>
      <x:c r="E45" s="3" t="s">
        <x:v>91</x:v>
      </x:c>
      <x:c r="F45" s="9"/>
      <x:c r="G45" s="9">
        <x:v>2835320</x:v>
      </x:c>
      <x:c r="H45" s="9">
        <x:v>7.09</x:v>
      </x:c>
      <x:c r="I45" s="3" t="s">
        <x:v>431</x:v>
      </x:c>
      <x:c r="J45" s="9" t="s">
        <x:v>802</x:v>
      </x:c>
      <x:c r="K45" s="11"/>
      <x:c r="L45" s="11"/>
      <x:c r="M45" s="11"/>
      <x:c r="N45" s="11"/>
      <x:c r="O45" s="11">
        <x:v>2835320</x:v>
      </x:c>
      <x:c r="P45" s="11">
        <x:v>40000000</x:v>
      </x:c>
      <x:c r="Q45" s="14">
        <x:f t="shared" si="0"/>
        <x:v>7.0883000000000003</x:v>
      </x:c>
      <x:c r="R45" s="13" t="s">
        <x:v>793</x:v>
      </x:c>
      <x:c r="S45" s="3" t="s">
        <x:v>794</x:v>
      </x:c>
      <x:c r="T45" s="3" t="s">
        <x:v>795</x:v>
      </x:c>
      <x:c r="U45" s="3" t="s">
        <x:v>640</x:v>
      </x:c>
      <x:c r="V45" s="3" t="s">
        <x:v>673</x:v>
      </x:c>
      <x:c r="W45" s="3" t="s">
        <x:v>727</x:v>
      </x:c>
      <x:c r="X45" s="3" t="s">
        <x:v>796</x:v>
      </x:c>
      <x:c r="Y45" s="8" t="s">
        <x:v>61</x:v>
      </x:c>
    </x:row>
    <x:row r="46" ht="28">
      <x:c r="A46" s="3" t="s">
        <x:v>803</x:v>
      </x:c>
      <x:c r="B46" s="3" t="s">
        <x:v>666</x:v>
      </x:c>
      <x:c r="C46" s="3" t="s">
        <x:v>85</x:v>
      </x:c>
      <x:c r="D46" s="3" t="s">
        <x:v>86</x:v>
      </x:c>
      <x:c r="E46" s="3" t="s">
        <x:v>87</x:v>
      </x:c>
      <x:c r="F46" s="9"/>
      <x:c r="G46" s="9">
        <x:v>2502000</x:v>
      </x:c>
      <x:c r="H46" s="9">
        <x:v>6.26</x:v>
      </x:c>
      <x:c r="I46" s="3" t="s">
        <x:v>431</x:v>
      </x:c>
      <x:c r="J46" s="9" t="s">
        <x:v>804</x:v>
      </x:c>
      <x:c r="K46" s="11"/>
      <x:c r="L46" s="11"/>
      <x:c r="M46" s="11"/>
      <x:c r="N46" s="11"/>
      <x:c r="O46" s="11">
        <x:v>2502000</x:v>
      </x:c>
      <x:c r="P46" s="11">
        <x:v>40000000</x:v>
      </x:c>
      <x:c r="Q46" s="14">
        <x:f t="shared" si="0"/>
        <x:v>6.254999999999999</x:v>
      </x:c>
      <x:c r="R46" s="13" t="s">
        <x:v>793</x:v>
      </x:c>
      <x:c r="S46" s="3" t="s">
        <x:v>794</x:v>
      </x:c>
      <x:c r="T46" s="3" t="s">
        <x:v>795</x:v>
      </x:c>
      <x:c r="U46" s="3" t="s">
        <x:v>640</x:v>
      </x:c>
      <x:c r="V46" s="3" t="s">
        <x:v>673</x:v>
      </x:c>
      <x:c r="W46" s="3" t="s">
        <x:v>727</x:v>
      </x:c>
      <x:c r="X46" s="3" t="s">
        <x:v>796</x:v>
      </x:c>
      <x:c r="Y46" s="8" t="s">
        <x:v>61</x:v>
      </x:c>
    </x:row>
    <x:row r="47" ht="28">
      <x:c r="A47" s="3" t="s">
        <x:v>805</x:v>
      </x:c>
      <x:c r="B47" s="3" t="s">
        <x:v>666</x:v>
      </x:c>
      <x:c r="C47" s="3" t="s">
        <x:v>70</x:v>
      </x:c>
      <x:c r="D47" s="3" t="s">
        <x:v>71</x:v>
      </x:c>
      <x:c r="E47" s="3" t="s">
        <x:v>72</x:v>
      </x:c>
      <x:c r="F47" s="9"/>
      <x:c r="G47" s="9">
        <x:v>1853360</x:v>
      </x:c>
      <x:c r="H47" s="9">
        <x:v>4.63</x:v>
      </x:c>
      <x:c r="I47" s="3" t="s">
        <x:v>431</x:v>
      </x:c>
      <x:c r="J47" s="9" t="s">
        <x:v>806</x:v>
      </x:c>
      <x:c r="K47" s="11"/>
      <x:c r="L47" s="11"/>
      <x:c r="M47" s="11"/>
      <x:c r="N47" s="11"/>
      <x:c r="O47" s="11">
        <x:v>1853360</x:v>
      </x:c>
      <x:c r="P47" s="11">
        <x:v>40000000</x:v>
      </x:c>
      <x:c r="Q47" s="14">
        <x:f t="shared" si="0"/>
        <x:v>4.6334</x:v>
      </x:c>
      <x:c r="R47" s="13" t="s">
        <x:v>793</x:v>
      </x:c>
      <x:c r="S47" s="3" t="s">
        <x:v>794</x:v>
      </x:c>
      <x:c r="T47" s="3" t="s">
        <x:v>795</x:v>
      </x:c>
      <x:c r="U47" s="3" t="s">
        <x:v>640</x:v>
      </x:c>
      <x:c r="V47" s="3" t="s">
        <x:v>673</x:v>
      </x:c>
      <x:c r="W47" s="3" t="s">
        <x:v>727</x:v>
      </x:c>
      <x:c r="X47" s="3" t="s">
        <x:v>796</x:v>
      </x:c>
      <x:c r="Y47" s="8" t="s">
        <x:v>61</x:v>
      </x:c>
    </x:row>
    <x:row r="48" ht="28">
      <x:c r="A48" s="3" t="s">
        <x:v>807</x:v>
      </x:c>
      <x:c r="B48" s="3" t="s">
        <x:v>666</x:v>
      </x:c>
      <x:c r="C48" s="3" t="s">
        <x:v>93</x:v>
      </x:c>
      <x:c r="D48" s="3" t="s">
        <x:v>94</x:v>
      </x:c>
      <x:c r="E48" s="3" t="s">
        <x:v>95</x:v>
      </x:c>
      <x:c r="F48" s="9"/>
      <x:c r="G48" s="9">
        <x:v>933320</x:v>
      </x:c>
      <x:c r="H48" s="9">
        <x:v>2.33</x:v>
      </x:c>
      <x:c r="I48" s="3" t="s">
        <x:v>431</x:v>
      </x:c>
      <x:c r="J48" s="9" t="s">
        <x:v>808</x:v>
      </x:c>
      <x:c r="K48" s="11"/>
      <x:c r="L48" s="11"/>
      <x:c r="M48" s="11"/>
      <x:c r="N48" s="11"/>
      <x:c r="O48" s="11">
        <x:v>933320</x:v>
      </x:c>
      <x:c r="P48" s="11">
        <x:v>40000000</x:v>
      </x:c>
      <x:c r="Q48" s="14">
        <x:f t="shared" si="0"/>
        <x:v>2.3332999999999999</x:v>
      </x:c>
      <x:c r="R48" s="13" t="s">
        <x:v>793</x:v>
      </x:c>
      <x:c r="S48" s="3" t="s">
        <x:v>794</x:v>
      </x:c>
      <x:c r="T48" s="3" t="s">
        <x:v>795</x:v>
      </x:c>
      <x:c r="U48" s="3" t="s">
        <x:v>640</x:v>
      </x:c>
      <x:c r="V48" s="3" t="s">
        <x:v>673</x:v>
      </x:c>
      <x:c r="W48" s="3" t="s">
        <x:v>727</x:v>
      </x:c>
      <x:c r="X48" s="3" t="s">
        <x:v>796</x:v>
      </x:c>
      <x:c r="Y48" s="8" t="s">
        <x:v>61</x:v>
      </x:c>
    </x:row>
    <x:row r="49" ht="28">
      <x:c r="A49" s="3" t="s">
        <x:v>809</x:v>
      </x:c>
      <x:c r="B49" s="3" t="s">
        <x:v>666</x:v>
      </x:c>
      <x:c r="C49" s="3" t="s">
        <x:v>99</x:v>
      </x:c>
      <x:c r="D49" s="3" t="s">
        <x:v>100</x:v>
      </x:c>
      <x:c r="E49" s="3" t="s">
        <x:v>101</x:v>
      </x:c>
      <x:c r="F49" s="9"/>
      <x:c r="G49" s="9">
        <x:v>666680</x:v>
      </x:c>
      <x:c r="H49" s="9">
        <x:v>1.67</x:v>
      </x:c>
      <x:c r="I49" s="3" t="s">
        <x:v>431</x:v>
      </x:c>
      <x:c r="J49" s="9" t="s">
        <x:v>810</x:v>
      </x:c>
      <x:c r="K49" s="11"/>
      <x:c r="L49" s="11"/>
      <x:c r="M49" s="11"/>
      <x:c r="N49" s="11"/>
      <x:c r="O49" s="11">
        <x:v>666680</x:v>
      </x:c>
      <x:c r="P49" s="11">
        <x:v>40000000</x:v>
      </x:c>
      <x:c r="Q49" s="14">
        <x:f t="shared" si="0"/>
        <x:v>1.6667000000000001</x:v>
      </x:c>
      <x:c r="R49" s="13" t="s">
        <x:v>793</x:v>
      </x:c>
      <x:c r="S49" s="3" t="s">
        <x:v>794</x:v>
      </x:c>
      <x:c r="T49" s="3" t="s">
        <x:v>795</x:v>
      </x:c>
      <x:c r="U49" s="3" t="s">
        <x:v>640</x:v>
      </x:c>
      <x:c r="V49" s="3" t="s">
        <x:v>673</x:v>
      </x:c>
      <x:c r="W49" s="3" t="s">
        <x:v>727</x:v>
      </x:c>
      <x:c r="X49" s="3" t="s">
        <x:v>796</x:v>
      </x:c>
      <x:c r="Y49" s="8" t="s">
        <x:v>61</x:v>
      </x:c>
    </x:row>
    <x:row r="50" ht="28">
      <x:c r="A50" s="3" t="s">
        <x:v>811</x:v>
      </x:c>
      <x:c r="B50" s="3" t="s">
        <x:v>666</x:v>
      </x:c>
      <x:c r="C50" s="3" t="s">
        <x:v>105</x:v>
      </x:c>
      <x:c r="D50" s="3" t="s">
        <x:v>106</x:v>
      </x:c>
      <x:c r="E50" s="3" t="s">
        <x:v>107</x:v>
      </x:c>
      <x:c r="F50" s="9"/>
      <x:c r="G50" s="9">
        <x:v>333320</x:v>
      </x:c>
      <x:c r="H50" s="9">
        <x:v>0.83</x:v>
      </x:c>
      <x:c r="I50" s="3" t="s">
        <x:v>431</x:v>
      </x:c>
      <x:c r="J50" s="9" t="s">
        <x:v>812</x:v>
      </x:c>
      <x:c r="K50" s="11"/>
      <x:c r="L50" s="11"/>
      <x:c r="M50" s="11"/>
      <x:c r="N50" s="11"/>
      <x:c r="O50" s="11">
        <x:v>333320</x:v>
      </x:c>
      <x:c r="P50" s="11">
        <x:v>40000000</x:v>
      </x:c>
      <x:c r="Q50" s="14">
        <x:f t="shared" si="0"/>
        <x:v>0.83330000000000004</x:v>
      </x:c>
      <x:c r="R50" s="13" t="s">
        <x:v>793</x:v>
      </x:c>
      <x:c r="S50" s="3" t="s">
        <x:v>794</x:v>
      </x:c>
      <x:c r="T50" s="3" t="s">
        <x:v>795</x:v>
      </x:c>
      <x:c r="U50" s="3" t="s">
        <x:v>640</x:v>
      </x:c>
      <x:c r="V50" s="3" t="s">
        <x:v>673</x:v>
      </x:c>
      <x:c r="W50" s="3" t="s">
        <x:v>727</x:v>
      </x:c>
      <x:c r="X50" s="3" t="s">
        <x:v>796</x:v>
      </x:c>
      <x:c r="Y50" s="8" t="s">
        <x:v>61</x:v>
      </x:c>
    </x:row>
    <x:row r="51" ht="28">
      <x:c r="A51" s="3" t="s">
        <x:v>813</x:v>
      </x:c>
      <x:c r="B51" s="3" t="s">
        <x:v>666</x:v>
      </x:c>
      <x:c r="C51" s="3" t="s">
        <x:v>109</x:v>
      </x:c>
      <x:c r="D51" s="3" t="s">
        <x:v>110</x:v>
      </x:c>
      <x:c r="E51" s="3" t="s">
        <x:v>111</x:v>
      </x:c>
      <x:c r="F51" s="9"/>
      <x:c r="G51" s="9">
        <x:v>333320</x:v>
      </x:c>
      <x:c r="H51" s="9">
        <x:v>0.83</x:v>
      </x:c>
      <x:c r="I51" s="3" t="s">
        <x:v>431</x:v>
      </x:c>
      <x:c r="J51" s="9" t="s">
        <x:v>814</x:v>
      </x:c>
      <x:c r="K51" s="11"/>
      <x:c r="L51" s="11"/>
      <x:c r="M51" s="11"/>
      <x:c r="N51" s="11"/>
      <x:c r="O51" s="11">
        <x:v>333320</x:v>
      </x:c>
      <x:c r="P51" s="11">
        <x:v>40000000</x:v>
      </x:c>
      <x:c r="Q51" s="14">
        <x:f t="shared" si="0"/>
        <x:v>0.83330000000000004</x:v>
      </x:c>
      <x:c r="R51" s="13" t="s">
        <x:v>793</x:v>
      </x:c>
      <x:c r="S51" s="3" t="s">
        <x:v>794</x:v>
      </x:c>
      <x:c r="T51" s="3" t="s">
        <x:v>795</x:v>
      </x:c>
      <x:c r="U51" s="3" t="s">
        <x:v>640</x:v>
      </x:c>
      <x:c r="V51" s="3" t="s">
        <x:v>673</x:v>
      </x:c>
      <x:c r="W51" s="3" t="s">
        <x:v>727</x:v>
      </x:c>
      <x:c r="X51" s="3" t="s">
        <x:v>796</x:v>
      </x:c>
      <x:c r="Y51" s="8" t="s">
        <x:v>61</x:v>
      </x:c>
    </x:row>
    <x:row r="52" ht="42">
      <x:c r="A52" s="3" t="s">
        <x:v>815</x:v>
      </x:c>
      <x:c r="B52" s="3" t="s">
        <x:v>666</x:v>
      </x:c>
      <x:c r="C52" s="3" t="s">
        <x:v>113</x:v>
      </x:c>
      <x:c r="D52" s="3" t="s">
        <x:v>114</x:v>
      </x:c>
      <x:c r="E52" s="3" t="s">
        <x:v>115</x:v>
      </x:c>
      <x:c r="F52" s="9"/>
      <x:c r="G52" s="9">
        <x:v>333320</x:v>
      </x:c>
      <x:c r="H52" s="9">
        <x:v>0.83</x:v>
      </x:c>
      <x:c r="I52" s="3" t="s">
        <x:v>431</x:v>
      </x:c>
      <x:c r="J52" s="9" t="s">
        <x:v>816</x:v>
      </x:c>
      <x:c r="K52" s="11"/>
      <x:c r="L52" s="11"/>
      <x:c r="M52" s="11"/>
      <x:c r="N52" s="11"/>
      <x:c r="O52" s="11">
        <x:v>333320</x:v>
      </x:c>
      <x:c r="P52" s="11">
        <x:v>40000000</x:v>
      </x:c>
      <x:c r="Q52" s="14">
        <x:f t="shared" si="0"/>
        <x:v>0.83330000000000004</x:v>
      </x:c>
      <x:c r="R52" s="13" t="s">
        <x:v>793</x:v>
      </x:c>
      <x:c r="S52" s="3" t="s">
        <x:v>794</x:v>
      </x:c>
      <x:c r="T52" s="3" t="s">
        <x:v>795</x:v>
      </x:c>
      <x:c r="U52" s="3" t="s">
        <x:v>640</x:v>
      </x:c>
      <x:c r="V52" s="3" t="s">
        <x:v>673</x:v>
      </x:c>
      <x:c r="W52" s="3" t="s">
        <x:v>727</x:v>
      </x:c>
      <x:c r="X52" s="3" t="s">
        <x:v>796</x:v>
      </x:c>
      <x:c r="Y52" s="8" t="s">
        <x:v>61</x:v>
      </x:c>
    </x:row>
    <x:row r="53" ht="28">
      <x:c r="A53" s="3" t="s">
        <x:v>817</x:v>
      </x:c>
      <x:c r="B53" s="3" t="s">
        <x:v>675</x:v>
      </x:c>
      <x:c r="C53" s="3" t="s">
        <x:v>67</x:v>
      </x:c>
      <x:c r="D53" s="3" t="s">
        <x:v>68</x:v>
      </x:c>
      <x:c r="E53" s="3" t="s">
        <x:v>68</x:v>
      </x:c>
      <x:c r="F53" s="9"/>
      <x:c r="G53" s="9"/>
      <x:c r="H53" s="9"/>
      <x:c r="I53" s="3"/>
      <x:c r="J53" s="9"/>
      <x:c r="K53" s="11">
        <x:v>17792000</x:v>
      </x:c>
      <x:c r="L53" s="11"/>
      <x:c r="M53" s="11"/>
      <x:c r="N53" s="11"/>
      <x:c r="O53" s="11">
        <x:v>17792000</x:v>
      </x:c>
      <x:c r="P53" s="11">
        <x:v>40000000</x:v>
      </x:c>
      <x:c r="Q53" s="14">
        <x:f t="shared" si="0"/>
        <x:v>44.48</x:v>
      </x:c>
      <x:c r="R53" s="13" t="s">
        <x:v>818</x:v>
      </x:c>
      <x:c r="S53" s="3" t="s">
        <x:v>819</x:v>
      </x:c>
      <x:c r="T53" s="3" t="s">
        <x:v>489</x:v>
      </x:c>
      <x:c r="U53" s="3" t="s">
        <x:v>562</x:v>
      </x:c>
      <x:c r="V53" s="3" t="s">
        <x:v>563</x:v>
      </x:c>
      <x:c r="W53" s="3" t="s">
        <x:v>820</x:v>
      </x:c>
      <x:c r="X53" s="3" t="s">
        <x:v>821</x:v>
      </x:c>
      <x:c r="Y53" s="8" t="s">
        <x:v>61</x:v>
      </x:c>
    </x:row>
    <x:row r="54" ht="28">
      <x:c r="A54" s="3" t="s">
        <x:v>822</x:v>
      </x:c>
      <x:c r="B54" s="3" t="s">
        <x:v>675</x:v>
      </x:c>
      <x:c r="C54" s="3" t="s">
        <x:v>62</x:v>
      </x:c>
      <x:c r="D54" s="3" t="s">
        <x:v>63</x:v>
      </x:c>
      <x:c r="E54" s="3" t="s">
        <x:v>63</x:v>
      </x:c>
      <x:c r="F54" s="9"/>
      <x:c r="G54" s="9"/>
      <x:c r="H54" s="9"/>
      <x:c r="I54" s="3"/>
      <x:c r="J54" s="9"/>
      <x:c r="K54" s="11">
        <x:v>7413360</x:v>
      </x:c>
      <x:c r="L54" s="11"/>
      <x:c r="M54" s="11"/>
      <x:c r="N54" s="11"/>
      <x:c r="O54" s="11">
        <x:v>7413360</x:v>
      </x:c>
      <x:c r="P54" s="11">
        <x:v>40000000</x:v>
      </x:c>
      <x:c r="Q54" s="14">
        <x:f t="shared" si="0"/>
        <x:v>18.5334</x:v>
      </x:c>
      <x:c r="R54" s="13" t="s">
        <x:v>818</x:v>
      </x:c>
      <x:c r="S54" s="3" t="s">
        <x:v>819</x:v>
      </x:c>
      <x:c r="T54" s="3" t="s">
        <x:v>489</x:v>
      </x:c>
      <x:c r="U54" s="3" t="s">
        <x:v>562</x:v>
      </x:c>
      <x:c r="V54" s="3" t="s">
        <x:v>563</x:v>
      </x:c>
      <x:c r="W54" s="3" t="s">
        <x:v>820</x:v>
      </x:c>
      <x:c r="X54" s="3" t="s">
        <x:v>821</x:v>
      </x:c>
      <x:c r="Y54" s="8" t="s">
        <x:v>61</x:v>
      </x:c>
    </x:row>
    <x:row r="55" ht="28">
      <x:c r="A55" s="3" t="s">
        <x:v>823</x:v>
      </x:c>
      <x:c r="B55" s="3" t="s">
        <x:v>675</x:v>
      </x:c>
      <x:c r="C55" s="3" t="s">
        <x:v>78</x:v>
      </x:c>
      <x:c r="D55" s="3" t="s">
        <x:v>79</x:v>
      </x:c>
      <x:c r="E55" s="3" t="s">
        <x:v>80</x:v>
      </x:c>
      <x:c r="F55" s="9"/>
      <x:c r="G55" s="9"/>
      <x:c r="H55" s="9"/>
      <x:c r="I55" s="3"/>
      <x:c r="J55" s="9"/>
      <x:c r="K55" s="11">
        <x:v>5004000</x:v>
      </x:c>
      <x:c r="L55" s="11"/>
      <x:c r="M55" s="11"/>
      <x:c r="N55" s="11"/>
      <x:c r="O55" s="11">
        <x:v>5004000</x:v>
      </x:c>
      <x:c r="P55" s="11">
        <x:v>40000000</x:v>
      </x:c>
      <x:c r="Q55" s="14">
        <x:f t="shared" si="0"/>
        <x:v>12.509999999999998</x:v>
      </x:c>
      <x:c r="R55" s="13" t="s">
        <x:v>818</x:v>
      </x:c>
      <x:c r="S55" s="3" t="s">
        <x:v>819</x:v>
      </x:c>
      <x:c r="T55" s="3" t="s">
        <x:v>489</x:v>
      </x:c>
      <x:c r="U55" s="3" t="s">
        <x:v>562</x:v>
      </x:c>
      <x:c r="V55" s="3" t="s">
        <x:v>563</x:v>
      </x:c>
      <x:c r="W55" s="3" t="s">
        <x:v>820</x:v>
      </x:c>
      <x:c r="X55" s="3" t="s">
        <x:v>821</x:v>
      </x:c>
      <x:c r="Y55" s="8" t="s">
        <x:v>61</x:v>
      </x:c>
    </x:row>
    <x:row r="56" ht="28">
      <x:c r="A56" s="3" t="s">
        <x:v>824</x:v>
      </x:c>
      <x:c r="B56" s="3" t="s">
        <x:v>675</x:v>
      </x:c>
      <x:c r="C56" s="3" t="s">
        <x:v>89</x:v>
      </x:c>
      <x:c r="D56" s="3" t="s">
        <x:v>90</x:v>
      </x:c>
      <x:c r="E56" s="3" t="s">
        <x:v>91</x:v>
      </x:c>
      <x:c r="F56" s="9"/>
      <x:c r="G56" s="9"/>
      <x:c r="H56" s="9"/>
      <x:c r="I56" s="3"/>
      <x:c r="J56" s="9"/>
      <x:c r="K56" s="11">
        <x:v>2835320</x:v>
      </x:c>
      <x:c r="L56" s="11"/>
      <x:c r="M56" s="11"/>
      <x:c r="N56" s="11"/>
      <x:c r="O56" s="11">
        <x:v>2835320</x:v>
      </x:c>
      <x:c r="P56" s="11">
        <x:v>40000000</x:v>
      </x:c>
      <x:c r="Q56" s="14">
        <x:f t="shared" si="0"/>
        <x:v>7.0883000000000003</x:v>
      </x:c>
      <x:c r="R56" s="13" t="s">
        <x:v>818</x:v>
      </x:c>
      <x:c r="S56" s="3" t="s">
        <x:v>819</x:v>
      </x:c>
      <x:c r="T56" s="3" t="s">
        <x:v>489</x:v>
      </x:c>
      <x:c r="U56" s="3" t="s">
        <x:v>562</x:v>
      </x:c>
      <x:c r="V56" s="3" t="s">
        <x:v>563</x:v>
      </x:c>
      <x:c r="W56" s="3" t="s">
        <x:v>820</x:v>
      </x:c>
      <x:c r="X56" s="3" t="s">
        <x:v>821</x:v>
      </x:c>
      <x:c r="Y56" s="8" t="s">
        <x:v>61</x:v>
      </x:c>
    </x:row>
    <x:row r="57" ht="28">
      <x:c r="A57" s="3" t="s">
        <x:v>825</x:v>
      </x:c>
      <x:c r="B57" s="3" t="s">
        <x:v>675</x:v>
      </x:c>
      <x:c r="C57" s="3" t="s">
        <x:v>85</x:v>
      </x:c>
      <x:c r="D57" s="3" t="s">
        <x:v>86</x:v>
      </x:c>
      <x:c r="E57" s="3" t="s">
        <x:v>87</x:v>
      </x:c>
      <x:c r="F57" s="9"/>
      <x:c r="G57" s="9"/>
      <x:c r="H57" s="9"/>
      <x:c r="I57" s="3"/>
      <x:c r="J57" s="9"/>
      <x:c r="K57" s="11">
        <x:v>2502000</x:v>
      </x:c>
      <x:c r="L57" s="11"/>
      <x:c r="M57" s="11"/>
      <x:c r="N57" s="11"/>
      <x:c r="O57" s="11">
        <x:v>2502000</x:v>
      </x:c>
      <x:c r="P57" s="11">
        <x:v>40000000</x:v>
      </x:c>
      <x:c r="Q57" s="14">
        <x:f t="shared" si="0"/>
        <x:v>6.254999999999999</x:v>
      </x:c>
      <x:c r="R57" s="13" t="s">
        <x:v>818</x:v>
      </x:c>
      <x:c r="S57" s="3" t="s">
        <x:v>819</x:v>
      </x:c>
      <x:c r="T57" s="3" t="s">
        <x:v>489</x:v>
      </x:c>
      <x:c r="U57" s="3" t="s">
        <x:v>562</x:v>
      </x:c>
      <x:c r="V57" s="3" t="s">
        <x:v>563</x:v>
      </x:c>
      <x:c r="W57" s="3" t="s">
        <x:v>820</x:v>
      </x:c>
      <x:c r="X57" s="3" t="s">
        <x:v>821</x:v>
      </x:c>
      <x:c r="Y57" s="8" t="s">
        <x:v>61</x:v>
      </x:c>
    </x:row>
    <x:row r="58" ht="28">
      <x:c r="A58" s="3" t="s">
        <x:v>826</x:v>
      </x:c>
      <x:c r="B58" s="3" t="s">
        <x:v>675</x:v>
      </x:c>
      <x:c r="C58" s="3" t="s">
        <x:v>70</x:v>
      </x:c>
      <x:c r="D58" s="3" t="s">
        <x:v>71</x:v>
      </x:c>
      <x:c r="E58" s="3" t="s">
        <x:v>72</x:v>
      </x:c>
      <x:c r="F58" s="9"/>
      <x:c r="G58" s="9"/>
      <x:c r="H58" s="9"/>
      <x:c r="I58" s="3"/>
      <x:c r="J58" s="9"/>
      <x:c r="K58" s="11">
        <x:v>1853360</x:v>
      </x:c>
      <x:c r="L58" s="11"/>
      <x:c r="M58" s="11"/>
      <x:c r="N58" s="11"/>
      <x:c r="O58" s="11">
        <x:v>1853360</x:v>
      </x:c>
      <x:c r="P58" s="11">
        <x:v>40000000</x:v>
      </x:c>
      <x:c r="Q58" s="14">
        <x:f t="shared" si="0"/>
        <x:v>4.6334</x:v>
      </x:c>
      <x:c r="R58" s="13" t="s">
        <x:v>818</x:v>
      </x:c>
      <x:c r="S58" s="3" t="s">
        <x:v>819</x:v>
      </x:c>
      <x:c r="T58" s="3" t="s">
        <x:v>489</x:v>
      </x:c>
      <x:c r="U58" s="3" t="s">
        <x:v>562</x:v>
      </x:c>
      <x:c r="V58" s="3" t="s">
        <x:v>563</x:v>
      </x:c>
      <x:c r="W58" s="3" t="s">
        <x:v>820</x:v>
      </x:c>
      <x:c r="X58" s="3" t="s">
        <x:v>821</x:v>
      </x:c>
      <x:c r="Y58" s="8" t="s">
        <x:v>61</x:v>
      </x:c>
    </x:row>
    <x:row r="59" ht="28">
      <x:c r="A59" s="3" t="s">
        <x:v>827</x:v>
      </x:c>
      <x:c r="B59" s="3" t="s">
        <x:v>675</x:v>
      </x:c>
      <x:c r="C59" s="3" t="s">
        <x:v>93</x:v>
      </x:c>
      <x:c r="D59" s="3" t="s">
        <x:v>94</x:v>
      </x:c>
      <x:c r="E59" s="3" t="s">
        <x:v>95</x:v>
      </x:c>
      <x:c r="F59" s="9"/>
      <x:c r="G59" s="9"/>
      <x:c r="H59" s="9"/>
      <x:c r="I59" s="3"/>
      <x:c r="J59" s="9"/>
      <x:c r="K59" s="11">
        <x:v>933320</x:v>
      </x:c>
      <x:c r="L59" s="11"/>
      <x:c r="M59" s="11"/>
      <x:c r="N59" s="11"/>
      <x:c r="O59" s="11">
        <x:v>933320</x:v>
      </x:c>
      <x:c r="P59" s="11">
        <x:v>40000000</x:v>
      </x:c>
      <x:c r="Q59" s="14">
        <x:f t="shared" si="0"/>
        <x:v>2.3332999999999999</x:v>
      </x:c>
      <x:c r="R59" s="13" t="s">
        <x:v>818</x:v>
      </x:c>
      <x:c r="S59" s="3" t="s">
        <x:v>819</x:v>
      </x:c>
      <x:c r="T59" s="3" t="s">
        <x:v>489</x:v>
      </x:c>
      <x:c r="U59" s="3" t="s">
        <x:v>562</x:v>
      </x:c>
      <x:c r="V59" s="3" t="s">
        <x:v>563</x:v>
      </x:c>
      <x:c r="W59" s="3" t="s">
        <x:v>820</x:v>
      </x:c>
      <x:c r="X59" s="3" t="s">
        <x:v>821</x:v>
      </x:c>
      <x:c r="Y59" s="8" t="s">
        <x:v>61</x:v>
      </x:c>
    </x:row>
    <x:row r="60" ht="28">
      <x:c r="A60" s="3" t="s">
        <x:v>828</x:v>
      </x:c>
      <x:c r="B60" s="3" t="s">
        <x:v>675</x:v>
      </x:c>
      <x:c r="C60" s="3" t="s">
        <x:v>105</x:v>
      </x:c>
      <x:c r="D60" s="3" t="s">
        <x:v>106</x:v>
      </x:c>
      <x:c r="E60" s="3" t="s">
        <x:v>107</x:v>
      </x:c>
      <x:c r="F60" s="9"/>
      <x:c r="G60" s="9"/>
      <x:c r="H60" s="9"/>
      <x:c r="I60" s="3"/>
      <x:c r="J60" s="9"/>
      <x:c r="K60" s="11">
        <x:v>333320</x:v>
      </x:c>
      <x:c r="L60" s="11"/>
      <x:c r="M60" s="11"/>
      <x:c r="N60" s="11"/>
      <x:c r="O60" s="11">
        <x:v>333320</x:v>
      </x:c>
      <x:c r="P60" s="11">
        <x:v>40000000</x:v>
      </x:c>
      <x:c r="Q60" s="14">
        <x:f t="shared" si="0"/>
        <x:v>0.83330000000000004</x:v>
      </x:c>
      <x:c r="R60" s="13" t="s">
        <x:v>818</x:v>
      </x:c>
      <x:c r="S60" s="3" t="s">
        <x:v>819</x:v>
      </x:c>
      <x:c r="T60" s="3" t="s">
        <x:v>489</x:v>
      </x:c>
      <x:c r="U60" s="3" t="s">
        <x:v>562</x:v>
      </x:c>
      <x:c r="V60" s="3" t="s">
        <x:v>563</x:v>
      </x:c>
      <x:c r="W60" s="3" t="s">
        <x:v>820</x:v>
      </x:c>
      <x:c r="X60" s="3" t="s">
        <x:v>821</x:v>
      </x:c>
      <x:c r="Y60" s="8" t="s">
        <x:v>61</x:v>
      </x:c>
    </x:row>
    <x:row r="61" ht="28">
      <x:c r="A61" s="3" t="s">
        <x:v>829</x:v>
      </x:c>
      <x:c r="B61" s="3" t="s">
        <x:v>675</x:v>
      </x:c>
      <x:c r="C61" s="3" t="s">
        <x:v>109</x:v>
      </x:c>
      <x:c r="D61" s="3" t="s">
        <x:v>110</x:v>
      </x:c>
      <x:c r="E61" s="3" t="s">
        <x:v>111</x:v>
      </x:c>
      <x:c r="F61" s="9"/>
      <x:c r="G61" s="9"/>
      <x:c r="H61" s="9"/>
      <x:c r="I61" s="3"/>
      <x:c r="J61" s="9"/>
      <x:c r="K61" s="11">
        <x:v>333320</x:v>
      </x:c>
      <x:c r="L61" s="11"/>
      <x:c r="M61" s="11"/>
      <x:c r="N61" s="11"/>
      <x:c r="O61" s="11">
        <x:v>333320</x:v>
      </x:c>
      <x:c r="P61" s="11">
        <x:v>40000000</x:v>
      </x:c>
      <x:c r="Q61" s="14">
        <x:f t="shared" si="0"/>
        <x:v>0.83330000000000004</x:v>
      </x:c>
      <x:c r="R61" s="13" t="s">
        <x:v>818</x:v>
      </x:c>
      <x:c r="S61" s="3" t="s">
        <x:v>819</x:v>
      </x:c>
      <x:c r="T61" s="3" t="s">
        <x:v>489</x:v>
      </x:c>
      <x:c r="U61" s="3" t="s">
        <x:v>562</x:v>
      </x:c>
      <x:c r="V61" s="3" t="s">
        <x:v>563</x:v>
      </x:c>
      <x:c r="W61" s="3" t="s">
        <x:v>820</x:v>
      </x:c>
      <x:c r="X61" s="3" t="s">
        <x:v>821</x:v>
      </x:c>
      <x:c r="Y61" s="8" t="s">
        <x:v>61</x:v>
      </x:c>
    </x:row>
    <x:row r="62" ht="42">
      <x:c r="A62" s="3" t="s">
        <x:v>830</x:v>
      </x:c>
      <x:c r="B62" s="3" t="s">
        <x:v>675</x:v>
      </x:c>
      <x:c r="C62" s="3" t="s">
        <x:v>113</x:v>
      </x:c>
      <x:c r="D62" s="3" t="s">
        <x:v>114</x:v>
      </x:c>
      <x:c r="E62" s="3" t="s">
        <x:v>115</x:v>
      </x:c>
      <x:c r="F62" s="9"/>
      <x:c r="G62" s="9"/>
      <x:c r="H62" s="9"/>
      <x:c r="I62" s="3"/>
      <x:c r="J62" s="9"/>
      <x:c r="K62" s="11">
        <x:v>333320</x:v>
      </x:c>
      <x:c r="L62" s="11"/>
      <x:c r="M62" s="11"/>
      <x:c r="N62" s="11"/>
      <x:c r="O62" s="11">
        <x:v>333320</x:v>
      </x:c>
      <x:c r="P62" s="11">
        <x:v>40000000</x:v>
      </x:c>
      <x:c r="Q62" s="14">
        <x:f t="shared" si="0"/>
        <x:v>0.83330000000000004</x:v>
      </x:c>
      <x:c r="R62" s="13" t="s">
        <x:v>818</x:v>
      </x:c>
      <x:c r="S62" s="3" t="s">
        <x:v>819</x:v>
      </x:c>
      <x:c r="T62" s="3" t="s">
        <x:v>489</x:v>
      </x:c>
      <x:c r="U62" s="3" t="s">
        <x:v>562</x:v>
      </x:c>
      <x:c r="V62" s="3" t="s">
        <x:v>563</x:v>
      </x:c>
      <x:c r="W62" s="3" t="s">
        <x:v>820</x:v>
      </x:c>
      <x:c r="X62" s="3" t="s">
        <x:v>821</x:v>
      </x:c>
      <x:c r="Y62" s="8" t="s">
        <x:v>61</x:v>
      </x:c>
    </x:row>
    <x:row r="63" ht="28">
      <x:c r="A63" s="3" t="s">
        <x:v>831</x:v>
      </x:c>
      <x:c r="B63" s="3" t="s">
        <x:v>675</x:v>
      </x:c>
      <x:c r="C63" s="3" t="s">
        <x:v>117</x:v>
      </x:c>
      <x:c r="D63" s="3" t="s">
        <x:v>118</x:v>
      </x:c>
      <x:c r="E63" s="3" t="s">
        <x:v>119</x:v>
      </x:c>
      <x:c r="F63" s="9"/>
      <x:c r="G63" s="9"/>
      <x:c r="H63" s="9"/>
      <x:c r="I63" s="3"/>
      <x:c r="J63" s="9"/>
      <x:c r="K63" s="11">
        <x:v>0</x:v>
      </x:c>
      <x:c r="L63" s="11"/>
      <x:c r="M63" s="11">
        <x:v>666680</x:v>
      </x:c>
      <x:c r="N63" s="11"/>
      <x:c r="O63" s="11">
        <x:v>666680</x:v>
      </x:c>
      <x:c r="P63" s="11">
        <x:v>40000000</x:v>
      </x:c>
      <x:c r="Q63" s="14">
        <x:f t="shared" si="0"/>
        <x:v>1.6667000000000001</x:v>
      </x:c>
      <x:c r="R63" s="13" t="s">
        <x:v>818</x:v>
      </x:c>
      <x:c r="S63" s="3" t="s">
        <x:v>732</x:v>
      </x:c>
      <x:c r="T63" s="3" t="s">
        <x:v>489</x:v>
      </x:c>
      <x:c r="U63" s="3" t="s">
        <x:v>562</x:v>
      </x:c>
      <x:c r="V63" s="3" t="s">
        <x:v>563</x:v>
      </x:c>
      <x:c r="W63" s="3" t="s">
        <x:v>820</x:v>
      </x:c>
      <x:c r="X63" s="3" t="s">
        <x:v>821</x:v>
      </x:c>
      <x:c r="Y63" s="8" t="s">
        <x:v>61</x:v>
      </x:c>
    </x:row>
    <x:row r="64" ht="42">
      <x:c r="A64" s="3" t="s">
        <x:v>832</x:v>
      </x:c>
      <x:c r="B64" s="3" t="s">
        <x:v>678</x:v>
      </x:c>
      <x:c r="C64" s="3" t="s">
        <x:v>67</x:v>
      </x:c>
      <x:c r="D64" s="3" t="s">
        <x:v>68</x:v>
      </x:c>
      <x:c r="E64" s="3" t="s">
        <x:v>68</x:v>
      </x:c>
      <x:c r="F64" s="9"/>
      <x:c r="G64" s="9">
        <x:v>17096750</x:v>
      </x:c>
      <x:c r="H64" s="9"/>
      <x:c r="I64" s="3" t="s">
        <x:v>431</x:v>
      </x:c>
      <x:c r="J64" s="9"/>
      <x:c r="K64" s="11">
        <x:v>17792000</x:v>
      </x:c>
      <x:c r="L64" s="11"/>
      <x:c r="M64" s="11"/>
      <x:c r="N64" s="11">
        <x:v>695250</x:v>
      </x:c>
      <x:c r="O64" s="11">
        <x:v>17096750</x:v>
      </x:c>
      <x:c r="P64" s="11">
        <x:v>46350000</x:v>
      </x:c>
      <x:c r="Q64" s="14">
        <x:f t="shared" si="0"/>
        <x:v>36.88619201725998</x:v>
      </x:c>
      <x:c r="R64" s="13" t="s">
        <x:v>833</x:v>
      </x:c>
      <x:c r="S64" s="3" t="s">
        <x:v>744</x:v>
      </x:c>
      <x:c r="T64" s="3" t="s">
        <x:v>682</x:v>
      </x:c>
      <x:c r="U64" s="3" t="s">
        <x:v>570</x:v>
      </x:c>
      <x:c r="V64" s="3" t="s">
        <x:v>571</x:v>
      </x:c>
      <x:c r="W64" s="3" t="s">
        <x:v>834</x:v>
      </x:c>
      <x:c r="X64" s="3" t="s">
        <x:v>835</x:v>
      </x:c>
      <x:c r="Y64" s="8" t="s">
        <x:v>61</x:v>
      </x:c>
    </x:row>
    <x:row r="65" ht="42">
      <x:c r="A65" s="3" t="s">
        <x:v>836</x:v>
      </x:c>
      <x:c r="B65" s="3" t="s">
        <x:v>678</x:v>
      </x:c>
      <x:c r="C65" s="3" t="s">
        <x:v>62</x:v>
      </x:c>
      <x:c r="D65" s="3" t="s">
        <x:v>63</x:v>
      </x:c>
      <x:c r="E65" s="3" t="s">
        <x:v>63</x:v>
      </x:c>
      <x:c r="F65" s="9"/>
      <x:c r="G65" s="9">
        <x:v>6949860</x:v>
      </x:c>
      <x:c r="H65" s="9"/>
      <x:c r="I65" s="3" t="s">
        <x:v>431</x:v>
      </x:c>
      <x:c r="J65" s="9"/>
      <x:c r="K65" s="11">
        <x:v>7413360</x:v>
      </x:c>
      <x:c r="L65" s="11"/>
      <x:c r="M65" s="11"/>
      <x:c r="N65" s="11">
        <x:v>463500</x:v>
      </x:c>
      <x:c r="O65" s="11">
        <x:v>6949860</x:v>
      </x:c>
      <x:c r="P65" s="11">
        <x:v>46350000</x:v>
      </x:c>
      <x:c r="Q65" s="14">
        <x:f t="shared" si="0"/>
        <x:v>14.994304207119741</x:v>
      </x:c>
      <x:c r="R65" s="13" t="s">
        <x:v>833</x:v>
      </x:c>
      <x:c r="S65" s="3" t="s">
        <x:v>744</x:v>
      </x:c>
      <x:c r="T65" s="3" t="s">
        <x:v>682</x:v>
      </x:c>
      <x:c r="U65" s="3" t="s">
        <x:v>570</x:v>
      </x:c>
      <x:c r="V65" s="3" t="s">
        <x:v>571</x:v>
      </x:c>
      <x:c r="W65" s="3" t="s">
        <x:v>834</x:v>
      </x:c>
      <x:c r="X65" s="3" t="s">
        <x:v>835</x:v>
      </x:c>
      <x:c r="Y65" s="8" t="s">
        <x:v>61</x:v>
      </x:c>
    </x:row>
    <x:row r="66" ht="42">
      <x:c r="A66" s="3" t="s">
        <x:v>837</x:v>
      </x:c>
      <x:c r="B66" s="3" t="s">
        <x:v>678</x:v>
      </x:c>
      <x:c r="C66" s="3" t="s">
        <x:v>78</x:v>
      </x:c>
      <x:c r="D66" s="3" t="s">
        <x:v>79</x:v>
      </x:c>
      <x:c r="E66" s="3" t="s">
        <x:v>80</x:v>
      </x:c>
      <x:c r="F66" s="9"/>
      <x:c r="G66" s="9">
        <x:v>5004000</x:v>
      </x:c>
      <x:c r="H66" s="9"/>
      <x:c r="I66" s="3" t="s">
        <x:v>431</x:v>
      </x:c>
      <x:c r="J66" s="9"/>
      <x:c r="K66" s="11">
        <x:v>5004000</x:v>
      </x:c>
      <x:c r="L66" s="11"/>
      <x:c r="M66" s="11"/>
      <x:c r="N66" s="11"/>
      <x:c r="O66" s="11">
        <x:v>5004000</x:v>
      </x:c>
      <x:c r="P66" s="11">
        <x:v>46350000</x:v>
      </x:c>
      <x:c r="Q66" s="14">
        <x:f t="shared" si="0"/>
        <x:v>10.796116504854369</x:v>
      </x:c>
      <x:c r="R66" s="13" t="s">
        <x:v>833</x:v>
      </x:c>
      <x:c r="S66" s="3" t="s">
        <x:v>819</x:v>
      </x:c>
      <x:c r="T66" s="3" t="s">
        <x:v>682</x:v>
      </x:c>
      <x:c r="U66" s="3" t="s">
        <x:v>570</x:v>
      </x:c>
      <x:c r="V66" s="3" t="s">
        <x:v>571</x:v>
      </x:c>
      <x:c r="W66" s="3" t="s">
        <x:v>834</x:v>
      </x:c>
      <x:c r="X66" s="3" t="s">
        <x:v>835</x:v>
      </x:c>
      <x:c r="Y66" s="8" t="s">
        <x:v>61</x:v>
      </x:c>
    </x:row>
    <x:row r="67" ht="42">
      <x:c r="A67" s="3" t="s">
        <x:v>838</x:v>
      </x:c>
      <x:c r="B67" s="3" t="s">
        <x:v>678</x:v>
      </x:c>
      <x:c r="C67" s="3" t="s">
        <x:v>89</x:v>
      </x:c>
      <x:c r="D67" s="3" t="s">
        <x:v>90</x:v>
      </x:c>
      <x:c r="E67" s="3" t="s">
        <x:v>91</x:v>
      </x:c>
      <x:c r="F67" s="9"/>
      <x:c r="G67" s="9">
        <x:v>2835320</x:v>
      </x:c>
      <x:c r="H67" s="9"/>
      <x:c r="I67" s="3" t="s">
        <x:v>431</x:v>
      </x:c>
      <x:c r="J67" s="9"/>
      <x:c r="K67" s="11">
        <x:v>2835320</x:v>
      </x:c>
      <x:c r="L67" s="11"/>
      <x:c r="M67" s="11"/>
      <x:c r="N67" s="11"/>
      <x:c r="O67" s="11">
        <x:v>2835320</x:v>
      </x:c>
      <x:c r="P67" s="11">
        <x:v>46350000</x:v>
      </x:c>
      <x:c r="Q67" s="14">
        <x:f t="shared" si="0"/>
        <x:v>6.1171952535059333</x:v>
      </x:c>
      <x:c r="R67" s="13" t="s">
        <x:v>833</x:v>
      </x:c>
      <x:c r="S67" s="3" t="s">
        <x:v>819</x:v>
      </x:c>
      <x:c r="T67" s="3" t="s">
        <x:v>682</x:v>
      </x:c>
      <x:c r="U67" s="3" t="s">
        <x:v>570</x:v>
      </x:c>
      <x:c r="V67" s="3" t="s">
        <x:v>571</x:v>
      </x:c>
      <x:c r="W67" s="3" t="s">
        <x:v>834</x:v>
      </x:c>
      <x:c r="X67" s="3" t="s">
        <x:v>835</x:v>
      </x:c>
      <x:c r="Y67" s="8" t="s">
        <x:v>61</x:v>
      </x:c>
    </x:row>
    <x:row r="68" ht="42">
      <x:c r="A68" s="3" t="s">
        <x:v>839</x:v>
      </x:c>
      <x:c r="B68" s="3" t="s">
        <x:v>678</x:v>
      </x:c>
      <x:c r="C68" s="3" t="s">
        <x:v>85</x:v>
      </x:c>
      <x:c r="D68" s="3" t="s">
        <x:v>86</x:v>
      </x:c>
      <x:c r="E68" s="3" t="s">
        <x:v>87</x:v>
      </x:c>
      <x:c r="F68" s="9"/>
      <x:c r="G68" s="9">
        <x:v>2502000</x:v>
      </x:c>
      <x:c r="H68" s="9"/>
      <x:c r="I68" s="3" t="s">
        <x:v>431</x:v>
      </x:c>
      <x:c r="J68" s="9"/>
      <x:c r="K68" s="11">
        <x:v>2502000</x:v>
      </x:c>
      <x:c r="L68" s="11"/>
      <x:c r="M68" s="11"/>
      <x:c r="N68" s="11"/>
      <x:c r="O68" s="11">
        <x:v>2502000</x:v>
      </x:c>
      <x:c r="P68" s="11">
        <x:v>46350000</x:v>
      </x:c>
      <x:c r="Q68" s="14" t="n">
        <x:f t="shared" ref="Q68:Q131" si="1">IF(AND(O68&lt;&gt;"",P68&lt;&gt;"",P68&lt;&gt;0),O68/P68*100,"")</x:f>
        <x:v>5.398058252427185</x:v>
      </x:c>
      <x:c r="R68" s="13" t="s">
        <x:v>833</x:v>
      </x:c>
      <x:c r="S68" s="3" t="s">
        <x:v>819</x:v>
      </x:c>
      <x:c r="T68" s="3" t="s">
        <x:v>682</x:v>
      </x:c>
      <x:c r="U68" s="3" t="s">
        <x:v>570</x:v>
      </x:c>
      <x:c r="V68" s="3" t="s">
        <x:v>571</x:v>
      </x:c>
      <x:c r="W68" s="3" t="s">
        <x:v>834</x:v>
      </x:c>
      <x:c r="X68" s="3" t="s">
        <x:v>835</x:v>
      </x:c>
      <x:c r="Y68" s="8" t="s">
        <x:v>61</x:v>
      </x:c>
    </x:row>
    <x:row r="69" ht="42">
      <x:c r="A69" s="3" t="s">
        <x:v>840</x:v>
      </x:c>
      <x:c r="B69" s="3" t="s">
        <x:v>678</x:v>
      </x:c>
      <x:c r="C69" s="3" t="s">
        <x:v>70</x:v>
      </x:c>
      <x:c r="D69" s="3" t="s">
        <x:v>71</x:v>
      </x:c>
      <x:c r="E69" s="3" t="s">
        <x:v>72</x:v>
      </x:c>
      <x:c r="F69" s="9"/>
      <x:c r="G69" s="9">
        <x:v>1853360</x:v>
      </x:c>
      <x:c r="H69" s="9"/>
      <x:c r="I69" s="3" t="s">
        <x:v>431</x:v>
      </x:c>
      <x:c r="J69" s="9"/>
      <x:c r="K69" s="11">
        <x:v>1853360</x:v>
      </x:c>
      <x:c r="L69" s="11"/>
      <x:c r="M69" s="11"/>
      <x:c r="N69" s="11"/>
      <x:c r="O69" s="11">
        <x:v>1853360</x:v>
      </x:c>
      <x:c r="P69" s="11">
        <x:v>46350000</x:v>
      </x:c>
      <x:c r="Q69" s="14">
        <x:f t="shared" si="1"/>
        <x:v>3.9986192017259974</x:v>
      </x:c>
      <x:c r="R69" s="13" t="s">
        <x:v>833</x:v>
      </x:c>
      <x:c r="S69" s="3" t="s">
        <x:v>819</x:v>
      </x:c>
      <x:c r="T69" s="3" t="s">
        <x:v>682</x:v>
      </x:c>
      <x:c r="U69" s="3" t="s">
        <x:v>570</x:v>
      </x:c>
      <x:c r="V69" s="3" t="s">
        <x:v>571</x:v>
      </x:c>
      <x:c r="W69" s="3" t="s">
        <x:v>834</x:v>
      </x:c>
      <x:c r="X69" s="3" t="s">
        <x:v>835</x:v>
      </x:c>
      <x:c r="Y69" s="8" t="s">
        <x:v>61</x:v>
      </x:c>
    </x:row>
    <x:row r="70" ht="42">
      <x:c r="A70" s="3" t="s">
        <x:v>841</x:v>
      </x:c>
      <x:c r="B70" s="3" t="s">
        <x:v>678</x:v>
      </x:c>
      <x:c r="C70" s="3" t="s">
        <x:v>93</x:v>
      </x:c>
      <x:c r="D70" s="3" t="s">
        <x:v>94</x:v>
      </x:c>
      <x:c r="E70" s="3" t="s">
        <x:v>95</x:v>
      </x:c>
      <x:c r="F70" s="9"/>
      <x:c r="G70" s="9">
        <x:v>933320</x:v>
      </x:c>
      <x:c r="H70" s="9"/>
      <x:c r="I70" s="3" t="s">
        <x:v>431</x:v>
      </x:c>
      <x:c r="J70" s="9"/>
      <x:c r="K70" s="11">
        <x:v>933320</x:v>
      </x:c>
      <x:c r="L70" s="11"/>
      <x:c r="M70" s="11"/>
      <x:c r="N70" s="11"/>
      <x:c r="O70" s="11">
        <x:v>933320</x:v>
      </x:c>
      <x:c r="P70" s="11">
        <x:v>46350000</x:v>
      </x:c>
      <x:c r="Q70" s="14">
        <x:f t="shared" si="1"/>
        <x:v>2.0136353829557714</x:v>
      </x:c>
      <x:c r="R70" s="13" t="s">
        <x:v>833</x:v>
      </x:c>
      <x:c r="S70" s="3" t="s">
        <x:v>819</x:v>
      </x:c>
      <x:c r="T70" s="3" t="s">
        <x:v>682</x:v>
      </x:c>
      <x:c r="U70" s="3" t="s">
        <x:v>570</x:v>
      </x:c>
      <x:c r="V70" s="3" t="s">
        <x:v>571</x:v>
      </x:c>
      <x:c r="W70" s="3" t="s">
        <x:v>834</x:v>
      </x:c>
      <x:c r="X70" s="3" t="s">
        <x:v>835</x:v>
      </x:c>
      <x:c r="Y70" s="8" t="s">
        <x:v>61</x:v>
      </x:c>
    </x:row>
    <x:row r="71" ht="42">
      <x:c r="A71" s="3" t="s">
        <x:v>842</x:v>
      </x:c>
      <x:c r="B71" s="3" t="s">
        <x:v>678</x:v>
      </x:c>
      <x:c r="C71" s="3" t="s">
        <x:v>105</x:v>
      </x:c>
      <x:c r="D71" s="3" t="s">
        <x:v>106</x:v>
      </x:c>
      <x:c r="E71" s="3" t="s">
        <x:v>107</x:v>
      </x:c>
      <x:c r="F71" s="9"/>
      <x:c r="G71" s="9">
        <x:v>333320</x:v>
      </x:c>
      <x:c r="H71" s="9"/>
      <x:c r="I71" s="3" t="s">
        <x:v>431</x:v>
      </x:c>
      <x:c r="J71" s="9"/>
      <x:c r="K71" s="11">
        <x:v>333320</x:v>
      </x:c>
      <x:c r="L71" s="11"/>
      <x:c r="M71" s="11"/>
      <x:c r="N71" s="11"/>
      <x:c r="O71" s="11">
        <x:v>333320</x:v>
      </x:c>
      <x:c r="P71" s="11">
        <x:v>46350000</x:v>
      </x:c>
      <x:c r="Q71" s="14">
        <x:f t="shared" si="1"/>
        <x:v>0.71913700107874867</x:v>
      </x:c>
      <x:c r="R71" s="13" t="s">
        <x:v>833</x:v>
      </x:c>
      <x:c r="S71" s="3" t="s">
        <x:v>819</x:v>
      </x:c>
      <x:c r="T71" s="3" t="s">
        <x:v>682</x:v>
      </x:c>
      <x:c r="U71" s="3" t="s">
        <x:v>570</x:v>
      </x:c>
      <x:c r="V71" s="3" t="s">
        <x:v>571</x:v>
      </x:c>
      <x:c r="W71" s="3" t="s">
        <x:v>834</x:v>
      </x:c>
      <x:c r="X71" s="3" t="s">
        <x:v>835</x:v>
      </x:c>
      <x:c r="Y71" s="8" t="s">
        <x:v>61</x:v>
      </x:c>
    </x:row>
    <x:row r="72" ht="42">
      <x:c r="A72" s="3" t="s">
        <x:v>843</x:v>
      </x:c>
      <x:c r="B72" s="3" t="s">
        <x:v>678</x:v>
      </x:c>
      <x:c r="C72" s="3" t="s">
        <x:v>109</x:v>
      </x:c>
      <x:c r="D72" s="3" t="s">
        <x:v>110</x:v>
      </x:c>
      <x:c r="E72" s="3" t="s">
        <x:v>111</x:v>
      </x:c>
      <x:c r="F72" s="9"/>
      <x:c r="G72" s="9">
        <x:v>333320</x:v>
      </x:c>
      <x:c r="H72" s="9"/>
      <x:c r="I72" s="3" t="s">
        <x:v>431</x:v>
      </x:c>
      <x:c r="J72" s="9"/>
      <x:c r="K72" s="11">
        <x:v>333320</x:v>
      </x:c>
      <x:c r="L72" s="11"/>
      <x:c r="M72" s="11"/>
      <x:c r="N72" s="11"/>
      <x:c r="O72" s="11">
        <x:v>333320</x:v>
      </x:c>
      <x:c r="P72" s="11">
        <x:v>46350000</x:v>
      </x:c>
      <x:c r="Q72" s="14">
        <x:f t="shared" si="1"/>
        <x:v>0.71913700107874867</x:v>
      </x:c>
      <x:c r="R72" s="13" t="s">
        <x:v>833</x:v>
      </x:c>
      <x:c r="S72" s="3" t="s">
        <x:v>819</x:v>
      </x:c>
      <x:c r="T72" s="3" t="s">
        <x:v>682</x:v>
      </x:c>
      <x:c r="U72" s="3" t="s">
        <x:v>570</x:v>
      </x:c>
      <x:c r="V72" s="3" t="s">
        <x:v>571</x:v>
      </x:c>
      <x:c r="W72" s="3" t="s">
        <x:v>834</x:v>
      </x:c>
      <x:c r="X72" s="3" t="s">
        <x:v>835</x:v>
      </x:c>
      <x:c r="Y72" s="8" t="s">
        <x:v>61</x:v>
      </x:c>
    </x:row>
    <x:row r="73" ht="42">
      <x:c r="A73" s="3" t="s">
        <x:v>844</x:v>
      </x:c>
      <x:c r="B73" s="3" t="s">
        <x:v>678</x:v>
      </x:c>
      <x:c r="C73" s="3" t="s">
        <x:v>113</x:v>
      </x:c>
      <x:c r="D73" s="3" t="s">
        <x:v>114</x:v>
      </x:c>
      <x:c r="E73" s="3" t="s">
        <x:v>115</x:v>
      </x:c>
      <x:c r="F73" s="9"/>
      <x:c r="G73" s="9">
        <x:v>333320</x:v>
      </x:c>
      <x:c r="H73" s="9"/>
      <x:c r="I73" s="3" t="s">
        <x:v>431</x:v>
      </x:c>
      <x:c r="J73" s="9"/>
      <x:c r="K73" s="11">
        <x:v>333320</x:v>
      </x:c>
      <x:c r="L73" s="11"/>
      <x:c r="M73" s="11"/>
      <x:c r="N73" s="11"/>
      <x:c r="O73" s="11">
        <x:v>333320</x:v>
      </x:c>
      <x:c r="P73" s="11">
        <x:v>46350000</x:v>
      </x:c>
      <x:c r="Q73" s="14">
        <x:f t="shared" si="1"/>
        <x:v>0.71913700107874867</x:v>
      </x:c>
      <x:c r="R73" s="13" t="s">
        <x:v>833</x:v>
      </x:c>
      <x:c r="S73" s="3" t="s">
        <x:v>819</x:v>
      </x:c>
      <x:c r="T73" s="3" t="s">
        <x:v>682</x:v>
      </x:c>
      <x:c r="U73" s="3" t="s">
        <x:v>570</x:v>
      </x:c>
      <x:c r="V73" s="3" t="s">
        <x:v>571</x:v>
      </x:c>
      <x:c r="W73" s="3" t="s">
        <x:v>834</x:v>
      </x:c>
      <x:c r="X73" s="3" t="s">
        <x:v>835</x:v>
      </x:c>
      <x:c r="Y73" s="8" t="s">
        <x:v>61</x:v>
      </x:c>
    </x:row>
    <x:row r="74" ht="42">
      <x:c r="A74" s="3" t="s">
        <x:v>845</x:v>
      </x:c>
      <x:c r="B74" s="3" t="s">
        <x:v>678</x:v>
      </x:c>
      <x:c r="C74" s="3" t="s">
        <x:v>117</x:v>
      </x:c>
      <x:c r="D74" s="3" t="s">
        <x:v>118</x:v>
      </x:c>
      <x:c r="E74" s="3" t="s">
        <x:v>119</x:v>
      </x:c>
      <x:c r="F74" s="9"/>
      <x:c r="G74" s="9">
        <x:v>666680</x:v>
      </x:c>
      <x:c r="H74" s="9"/>
      <x:c r="I74" s="3" t="s">
        <x:v>431</x:v>
      </x:c>
      <x:c r="J74" s="9"/>
      <x:c r="K74" s="11">
        <x:v>666680</x:v>
      </x:c>
      <x:c r="L74" s="11"/>
      <x:c r="M74" s="11"/>
      <x:c r="N74" s="11"/>
      <x:c r="O74" s="11">
        <x:v>666680</x:v>
      </x:c>
      <x:c r="P74" s="11">
        <x:v>46350000</x:v>
      </x:c>
      <x:c r="Q74" s="14">
        <x:f t="shared" si="1"/>
        <x:v>1.4383603020496225</x:v>
      </x:c>
      <x:c r="R74" s="13" t="s">
        <x:v>833</x:v>
      </x:c>
      <x:c r="S74" s="3" t="s">
        <x:v>819</x:v>
      </x:c>
      <x:c r="T74" s="3" t="s">
        <x:v>682</x:v>
      </x:c>
      <x:c r="U74" s="3" t="s">
        <x:v>570</x:v>
      </x:c>
      <x:c r="V74" s="3" t="s">
        <x:v>571</x:v>
      </x:c>
      <x:c r="W74" s="3" t="s">
        <x:v>834</x:v>
      </x:c>
      <x:c r="X74" s="3" t="s">
        <x:v>835</x:v>
      </x:c>
      <x:c r="Y74" s="8" t="s">
        <x:v>61</x:v>
      </x:c>
    </x:row>
    <x:row r="75" ht="42">
      <x:c r="A75" s="3" t="s">
        <x:v>846</x:v>
      </x:c>
      <x:c r="B75" s="3" t="s">
        <x:v>678</x:v>
      </x:c>
      <x:c r="C75" s="3" t="s">
        <x:v>122</x:v>
      </x:c>
      <x:c r="D75" s="3" t="s">
        <x:v>123</x:v>
      </x:c>
      <x:c r="E75" s="3" t="s">
        <x:v>124</x:v>
      </x:c>
      <x:c r="F75" s="9"/>
      <x:c r="G75" s="9">
        <x:v>2544787</x:v>
      </x:c>
      <x:c r="H75" s="9"/>
      <x:c r="I75" s="3" t="s">
        <x:v>431</x:v>
      </x:c>
      <x:c r="J75" s="9"/>
      <x:c r="K75" s="11">
        <x:v>0</x:v>
      </x:c>
      <x:c r="L75" s="11">
        <x:v>2544787</x:v>
      </x:c>
      <x:c r="M75" s="11"/>
      <x:c r="N75" s="11"/>
      <x:c r="O75" s="11">
        <x:v>2544787</x:v>
      </x:c>
      <x:c r="P75" s="11">
        <x:v>46350000</x:v>
      </x:c>
      <x:c r="Q75" s="14">
        <x:f t="shared" si="1"/>
        <x:v>5.4903710895361382</x:v>
      </x:c>
      <x:c r="R75" s="13" t="s">
        <x:v>833</x:v>
      </x:c>
      <x:c r="S75" s="3" t="s">
        <x:v>732</x:v>
      </x:c>
      <x:c r="T75" s="3" t="s">
        <x:v>682</x:v>
      </x:c>
      <x:c r="U75" s="3" t="s">
        <x:v>570</x:v>
      </x:c>
      <x:c r="V75" s="3" t="s">
        <x:v>571</x:v>
      </x:c>
      <x:c r="W75" s="3" t="s">
        <x:v>834</x:v>
      </x:c>
      <x:c r="X75" s="3" t="s">
        <x:v>835</x:v>
      </x:c>
      <x:c r="Y75" s="8" t="s">
        <x:v>61</x:v>
      </x:c>
    </x:row>
    <x:row r="76" ht="42">
      <x:c r="A76" s="3" t="s">
        <x:v>847</x:v>
      </x:c>
      <x:c r="B76" s="3" t="s">
        <x:v>678</x:v>
      </x:c>
      <x:c r="C76" s="3" t="s">
        <x:v>128</x:v>
      </x:c>
      <x:c r="D76" s="3" t="s">
        <x:v>129</x:v>
      </x:c>
      <x:c r="E76" s="3" t="s">
        <x:v>130</x:v>
      </x:c>
      <x:c r="F76" s="9"/>
      <x:c r="G76" s="9">
        <x:v>618000</x:v>
      </x:c>
      <x:c r="H76" s="9"/>
      <x:c r="I76" s="3" t="s">
        <x:v>431</x:v>
      </x:c>
      <x:c r="J76" s="9"/>
      <x:c r="K76" s="11">
        <x:v>0</x:v>
      </x:c>
      <x:c r="L76" s="11">
        <x:v>618000</x:v>
      </x:c>
      <x:c r="M76" s="11"/>
      <x:c r="N76" s="11"/>
      <x:c r="O76" s="11">
        <x:v>618000</x:v>
      </x:c>
      <x:c r="P76" s="11">
        <x:v>46350000</x:v>
      </x:c>
      <x:c r="Q76" s="14">
        <x:f t="shared" si="1"/>
        <x:v>1.3333333333333335</x:v>
      </x:c>
      <x:c r="R76" s="13" t="s">
        <x:v>833</x:v>
      </x:c>
      <x:c r="S76" s="3" t="s">
        <x:v>732</x:v>
      </x:c>
      <x:c r="T76" s="3" t="s">
        <x:v>682</x:v>
      </x:c>
      <x:c r="U76" s="3" t="s">
        <x:v>570</x:v>
      </x:c>
      <x:c r="V76" s="3" t="s">
        <x:v>571</x:v>
      </x:c>
      <x:c r="W76" s="3" t="s">
        <x:v>834</x:v>
      </x:c>
      <x:c r="X76" s="3" t="s">
        <x:v>835</x:v>
      </x:c>
      <x:c r="Y76" s="8" t="s">
        <x:v>61</x:v>
      </x:c>
    </x:row>
    <x:row r="77" ht="42">
      <x:c r="A77" s="3" t="s">
        <x:v>848</x:v>
      </x:c>
      <x:c r="B77" s="3" t="s">
        <x:v>678</x:v>
      </x:c>
      <x:c r="C77" s="3" t="s">
        <x:v>132</x:v>
      </x:c>
      <x:c r="D77" s="3" t="s">
        <x:v>133</x:v>
      </x:c>
      <x:c r="E77" s="3" t="s">
        <x:v>134</x:v>
      </x:c>
      <x:c r="F77" s="9"/>
      <x:c r="G77" s="9">
        <x:v>543840</x:v>
      </x:c>
      <x:c r="H77" s="9"/>
      <x:c r="I77" s="3" t="s">
        <x:v>431</x:v>
      </x:c>
      <x:c r="J77" s="9"/>
      <x:c r="K77" s="11">
        <x:v>0</x:v>
      </x:c>
      <x:c r="L77" s="11">
        <x:v>543840</x:v>
      </x:c>
      <x:c r="M77" s="11"/>
      <x:c r="N77" s="11"/>
      <x:c r="O77" s="11">
        <x:v>543840</x:v>
      </x:c>
      <x:c r="P77" s="11">
        <x:v>46350000</x:v>
      </x:c>
      <x:c r="Q77" s="14">
        <x:f t="shared" si="1"/>
        <x:v>1.1733333333333333</x:v>
      </x:c>
      <x:c r="R77" s="13" t="s">
        <x:v>833</x:v>
      </x:c>
      <x:c r="S77" s="3" t="s">
        <x:v>732</x:v>
      </x:c>
      <x:c r="T77" s="3" t="s">
        <x:v>682</x:v>
      </x:c>
      <x:c r="U77" s="3" t="s">
        <x:v>570</x:v>
      </x:c>
      <x:c r="V77" s="3" t="s">
        <x:v>571</x:v>
      </x:c>
      <x:c r="W77" s="3" t="s">
        <x:v>834</x:v>
      </x:c>
      <x:c r="X77" s="3" t="s">
        <x:v>835</x:v>
      </x:c>
      <x:c r="Y77" s="8" t="s">
        <x:v>61</x:v>
      </x:c>
    </x:row>
    <x:row r="78" ht="42">
      <x:c r="A78" s="3" t="s">
        <x:v>849</x:v>
      </x:c>
      <x:c r="B78" s="3" t="s">
        <x:v>678</x:v>
      </x:c>
      <x:c r="C78" s="3" t="s">
        <x:v>136</x:v>
      </x:c>
      <x:c r="D78" s="3" t="s">
        <x:v>137</x:v>
      </x:c>
      <x:c r="E78" s="3" t="s">
        <x:v>137</x:v>
      </x:c>
      <x:c r="F78" s="9"/>
      <x:c r="G78" s="9">
        <x:v>70040</x:v>
      </x:c>
      <x:c r="H78" s="9"/>
      <x:c r="I78" s="3" t="s">
        <x:v>431</x:v>
      </x:c>
      <x:c r="J78" s="9"/>
      <x:c r="K78" s="11">
        <x:v>0</x:v>
      </x:c>
      <x:c r="L78" s="11">
        <x:v>70040</x:v>
      </x:c>
      <x:c r="M78" s="11"/>
      <x:c r="N78" s="11"/>
      <x:c r="O78" s="11">
        <x:v>70040</x:v>
      </x:c>
      <x:c r="P78" s="11">
        <x:v>46350000</x:v>
      </x:c>
      <x:c r="Q78" s="14">
        <x:f t="shared" si="1"/>
        <x:v>0.15111111111111111</x:v>
      </x:c>
      <x:c r="R78" s="13" t="s">
        <x:v>833</x:v>
      </x:c>
      <x:c r="S78" s="3" t="s">
        <x:v>732</x:v>
      </x:c>
      <x:c r="T78" s="3" t="s">
        <x:v>682</x:v>
      </x:c>
      <x:c r="U78" s="3" t="s">
        <x:v>570</x:v>
      </x:c>
      <x:c r="V78" s="3" t="s">
        <x:v>571</x:v>
      </x:c>
      <x:c r="W78" s="3" t="s">
        <x:v>834</x:v>
      </x:c>
      <x:c r="X78" s="3" t="s">
        <x:v>835</x:v>
      </x:c>
      <x:c r="Y78" s="8" t="s">
        <x:v>61</x:v>
      </x:c>
    </x:row>
    <x:row r="79" ht="42">
      <x:c r="A79" s="3" t="s">
        <x:v>850</x:v>
      </x:c>
      <x:c r="B79" s="3" t="s">
        <x:v>678</x:v>
      </x:c>
      <x:c r="C79" s="3" t="s">
        <x:v>138</x:v>
      </x:c>
      <x:c r="D79" s="3" t="s">
        <x:v>139</x:v>
      </x:c>
      <x:c r="E79" s="3" t="s">
        <x:v>140</x:v>
      </x:c>
      <x:c r="F79" s="9"/>
      <x:c r="G79" s="9">
        <x:v>1030000</x:v>
      </x:c>
      <x:c r="H79" s="9"/>
      <x:c r="I79" s="3" t="s">
        <x:v>431</x:v>
      </x:c>
      <x:c r="J79" s="9"/>
      <x:c r="K79" s="11">
        <x:v>0</x:v>
      </x:c>
      <x:c r="L79" s="11">
        <x:v>1030000</x:v>
      </x:c>
      <x:c r="M79" s="11"/>
      <x:c r="N79" s="11"/>
      <x:c r="O79" s="11">
        <x:v>1030000</x:v>
      </x:c>
      <x:c r="P79" s="11">
        <x:v>46350000</x:v>
      </x:c>
      <x:c r="Q79" s="14">
        <x:f t="shared" si="1"/>
        <x:v>2.2222222222222223</x:v>
      </x:c>
      <x:c r="R79" s="13" t="s">
        <x:v>833</x:v>
      </x:c>
      <x:c r="S79" s="3" t="s">
        <x:v>732</x:v>
      </x:c>
      <x:c r="T79" s="3" t="s">
        <x:v>682</x:v>
      </x:c>
      <x:c r="U79" s="3" t="s">
        <x:v>570</x:v>
      </x:c>
      <x:c r="V79" s="3" t="s">
        <x:v>571</x:v>
      </x:c>
      <x:c r="W79" s="3" t="s">
        <x:v>834</x:v>
      </x:c>
      <x:c r="X79" s="3" t="s">
        <x:v>835</x:v>
      </x:c>
      <x:c r="Y79" s="8" t="s">
        <x:v>61</x:v>
      </x:c>
    </x:row>
    <x:row r="80" ht="42">
      <x:c r="A80" s="3" t="s">
        <x:v>851</x:v>
      </x:c>
      <x:c r="B80" s="3" t="s">
        <x:v>678</x:v>
      </x:c>
      <x:c r="C80" s="3" t="s">
        <x:v>142</x:v>
      </x:c>
      <x:c r="D80" s="3" t="s">
        <x:v>143</x:v>
      </x:c>
      <x:c r="E80" s="3" t="s">
        <x:v>144</x:v>
      </x:c>
      <x:c r="F80" s="9"/>
      <x:c r="G80" s="9">
        <x:v>343333</x:v>
      </x:c>
      <x:c r="H80" s="9"/>
      <x:c r="I80" s="3" t="s">
        <x:v>431</x:v>
      </x:c>
      <x:c r="J80" s="9"/>
      <x:c r="K80" s="11">
        <x:v>0</x:v>
      </x:c>
      <x:c r="L80" s="11">
        <x:v>343333</x:v>
      </x:c>
      <x:c r="M80" s="11"/>
      <x:c r="N80" s="11"/>
      <x:c r="O80" s="11">
        <x:v>343333</x:v>
      </x:c>
      <x:c r="P80" s="11">
        <x:v>46350000</x:v>
      </x:c>
      <x:c r="Q80" s="14">
        <x:f t="shared" si="1"/>
        <x:v>0.74074002157497298</x:v>
      </x:c>
      <x:c r="R80" s="13" t="s">
        <x:v>833</x:v>
      </x:c>
      <x:c r="S80" s="3" t="s">
        <x:v>732</x:v>
      </x:c>
      <x:c r="T80" s="3" t="s">
        <x:v>682</x:v>
      </x:c>
      <x:c r="U80" s="3" t="s">
        <x:v>570</x:v>
      </x:c>
      <x:c r="V80" s="3" t="s">
        <x:v>571</x:v>
      </x:c>
      <x:c r="W80" s="3" t="s">
        <x:v>834</x:v>
      </x:c>
      <x:c r="X80" s="3" t="s">
        <x:v>835</x:v>
      </x:c>
      <x:c r="Y80" s="8" t="s">
        <x:v>61</x:v>
      </x:c>
    </x:row>
    <x:row r="81" ht="42">
      <x:c r="A81" s="3" t="s">
        <x:v>852</x:v>
      </x:c>
      <x:c r="B81" s="3" t="s">
        <x:v>678</x:v>
      </x:c>
      <x:c r="C81" s="3" t="s">
        <x:v>146</x:v>
      </x:c>
      <x:c r="D81" s="3" t="s">
        <x:v>147</x:v>
      </x:c>
      <x:c r="E81" s="3" t="s">
        <x:v>147</x:v>
      </x:c>
      <x:c r="F81" s="9"/>
      <x:c r="G81" s="9">
        <x:v>200000</x:v>
      </x:c>
      <x:c r="H81" s="9"/>
      <x:c r="I81" s="3" t="s">
        <x:v>431</x:v>
      </x:c>
      <x:c r="J81" s="9"/>
      <x:c r="K81" s="11">
        <x:v>0</x:v>
      </x:c>
      <x:c r="L81" s="11">
        <x:v>200000</x:v>
      </x:c>
      <x:c r="M81" s="11"/>
      <x:c r="N81" s="11"/>
      <x:c r="O81" s="11">
        <x:v>200000</x:v>
      </x:c>
      <x:c r="P81" s="11">
        <x:v>46350000</x:v>
      </x:c>
      <x:c r="Q81" s="14">
        <x:f t="shared" si="1"/>
        <x:v>0.43149946062567418</x:v>
      </x:c>
      <x:c r="R81" s="13" t="s">
        <x:v>833</x:v>
      </x:c>
      <x:c r="S81" s="3" t="s">
        <x:v>732</x:v>
      </x:c>
      <x:c r="T81" s="3" t="s">
        <x:v>682</x:v>
      </x:c>
      <x:c r="U81" s="3" t="s">
        <x:v>570</x:v>
      </x:c>
      <x:c r="V81" s="3" t="s">
        <x:v>571</x:v>
      </x:c>
      <x:c r="W81" s="3" t="s">
        <x:v>834</x:v>
      </x:c>
      <x:c r="X81" s="3" t="s">
        <x:v>835</x:v>
      </x:c>
      <x:c r="Y81" s="8" t="s">
        <x:v>61</x:v>
      </x:c>
    </x:row>
    <x:row r="82" ht="42">
      <x:c r="A82" s="3" t="s">
        <x:v>853</x:v>
      </x:c>
      <x:c r="B82" s="3" t="s">
        <x:v>678</x:v>
      </x:c>
      <x:c r="C82" s="3" t="s">
        <x:v>150</x:v>
      </x:c>
      <x:c r="D82" s="3" t="s">
        <x:v>151</x:v>
      </x:c>
      <x:c r="E82" s="3" t="s">
        <x:v>151</x:v>
      </x:c>
      <x:c r="F82" s="9"/>
      <x:c r="G82" s="9">
        <x:v>200000</x:v>
      </x:c>
      <x:c r="H82" s="9"/>
      <x:c r="I82" s="3" t="s">
        <x:v>431</x:v>
      </x:c>
      <x:c r="J82" s="9"/>
      <x:c r="K82" s="11">
        <x:v>0</x:v>
      </x:c>
      <x:c r="L82" s="11">
        <x:v>200000</x:v>
      </x:c>
      <x:c r="M82" s="11"/>
      <x:c r="N82" s="11"/>
      <x:c r="O82" s="11">
        <x:v>200000</x:v>
      </x:c>
      <x:c r="P82" s="11">
        <x:v>46350000</x:v>
      </x:c>
      <x:c r="Q82" s="14">
        <x:f t="shared" si="1"/>
        <x:v>0.43149946062567418</x:v>
      </x:c>
      <x:c r="R82" s="13" t="s">
        <x:v>833</x:v>
      </x:c>
      <x:c r="S82" s="3" t="s">
        <x:v>732</x:v>
      </x:c>
      <x:c r="T82" s="3" t="s">
        <x:v>682</x:v>
      </x:c>
      <x:c r="U82" s="3" t="s">
        <x:v>570</x:v>
      </x:c>
      <x:c r="V82" s="3" t="s">
        <x:v>571</x:v>
      </x:c>
      <x:c r="W82" s="3" t="s">
        <x:v>834</x:v>
      </x:c>
      <x:c r="X82" s="3" t="s">
        <x:v>835</x:v>
      </x:c>
      <x:c r="Y82" s="8" t="s">
        <x:v>61</x:v>
      </x:c>
    </x:row>
    <x:row r="83" ht="42">
      <x:c r="A83" s="3" t="s">
        <x:v>854</x:v>
      </x:c>
      <x:c r="B83" s="3" t="s">
        <x:v>678</x:v>
      </x:c>
      <x:c r="C83" s="3" t="s">
        <x:v>152</x:v>
      </x:c>
      <x:c r="D83" s="3" t="s">
        <x:v>153</x:v>
      </x:c>
      <x:c r="E83" s="3" t="s">
        <x:v>153</x:v>
      </x:c>
      <x:c r="F83" s="9"/>
      <x:c r="G83" s="9">
        <x:v>200000</x:v>
      </x:c>
      <x:c r="H83" s="9"/>
      <x:c r="I83" s="3" t="s">
        <x:v>431</x:v>
      </x:c>
      <x:c r="J83" s="9"/>
      <x:c r="K83" s="11">
        <x:v>0</x:v>
      </x:c>
      <x:c r="L83" s="11">
        <x:v>200000</x:v>
      </x:c>
      <x:c r="M83" s="11"/>
      <x:c r="N83" s="11"/>
      <x:c r="O83" s="11">
        <x:v>200000</x:v>
      </x:c>
      <x:c r="P83" s="11">
        <x:v>46350000</x:v>
      </x:c>
      <x:c r="Q83" s="14">
        <x:f t="shared" si="1"/>
        <x:v>0.43149946062567418</x:v>
      </x:c>
      <x:c r="R83" s="13" t="s">
        <x:v>833</x:v>
      </x:c>
      <x:c r="S83" s="3" t="s">
        <x:v>732</x:v>
      </x:c>
      <x:c r="T83" s="3" t="s">
        <x:v>682</x:v>
      </x:c>
      <x:c r="U83" s="3" t="s">
        <x:v>570</x:v>
      </x:c>
      <x:c r="V83" s="3" t="s">
        <x:v>571</x:v>
      </x:c>
      <x:c r="W83" s="3" t="s">
        <x:v>834</x:v>
      </x:c>
      <x:c r="X83" s="3" t="s">
        <x:v>835</x:v>
      </x:c>
      <x:c r="Y83" s="8" t="s">
        <x:v>61</x:v>
      </x:c>
    </x:row>
    <x:row r="84" ht="42">
      <x:c r="A84" s="3" t="s">
        <x:v>855</x:v>
      </x:c>
      <x:c r="B84" s="3" t="s">
        <x:v>678</x:v>
      </x:c>
      <x:c r="C84" s="3" t="s">
        <x:v>155</x:v>
      </x:c>
      <x:c r="D84" s="3" t="s">
        <x:v>156</x:v>
      </x:c>
      <x:c r="E84" s="3" t="s">
        <x:v>156</x:v>
      </x:c>
      <x:c r="F84" s="9"/>
      <x:c r="G84" s="9">
        <x:v>600000</x:v>
      </x:c>
      <x:c r="H84" s="9"/>
      <x:c r="I84" s="3" t="s">
        <x:v>431</x:v>
      </x:c>
      <x:c r="J84" s="9"/>
      <x:c r="K84" s="11">
        <x:v>0</x:v>
      </x:c>
      <x:c r="L84" s="11">
        <x:v>600000</x:v>
      </x:c>
      <x:c r="M84" s="11"/>
      <x:c r="N84" s="11"/>
      <x:c r="O84" s="11">
        <x:v>600000</x:v>
      </x:c>
      <x:c r="P84" s="11">
        <x:v>46350000</x:v>
      </x:c>
      <x:c r="Q84" s="14">
        <x:f t="shared" si="1"/>
        <x:v>1.2944983818770228</x:v>
      </x:c>
      <x:c r="R84" s="13" t="s">
        <x:v>833</x:v>
      </x:c>
      <x:c r="S84" s="3" t="s">
        <x:v>732</x:v>
      </x:c>
      <x:c r="T84" s="3" t="s">
        <x:v>682</x:v>
      </x:c>
      <x:c r="U84" s="3" t="s">
        <x:v>570</x:v>
      </x:c>
      <x:c r="V84" s="3" t="s">
        <x:v>571</x:v>
      </x:c>
      <x:c r="W84" s="3" t="s">
        <x:v>834</x:v>
      </x:c>
      <x:c r="X84" s="3" t="s">
        <x:v>835</x:v>
      </x:c>
      <x:c r="Y84" s="8" t="s">
        <x:v>61</x:v>
      </x:c>
    </x:row>
    <x:row r="85" ht="42">
      <x:c r="A85" s="3" t="s">
        <x:v>856</x:v>
      </x:c>
      <x:c r="B85" s="3" t="s">
        <x:v>678</x:v>
      </x:c>
      <x:c r="C85" s="3" t="s">
        <x:v>157</x:v>
      </x:c>
      <x:c r="D85" s="3" t="s">
        <x:v>158</x:v>
      </x:c>
      <x:c r="E85" s="3" t="s">
        <x:v>159</x:v>
      </x:c>
      <x:c r="F85" s="9"/>
      <x:c r="G85" s="9">
        <x:v>515000</x:v>
      </x:c>
      <x:c r="H85" s="9"/>
      <x:c r="I85" s="3" t="s">
        <x:v>431</x:v>
      </x:c>
      <x:c r="J85" s="9"/>
      <x:c r="K85" s="11">
        <x:v>0</x:v>
      </x:c>
      <x:c r="L85" s="11">
        <x:v>515000</x:v>
      </x:c>
      <x:c r="M85" s="11"/>
      <x:c r="N85" s="11"/>
      <x:c r="O85" s="11">
        <x:v>515000</x:v>
      </x:c>
      <x:c r="P85" s="11">
        <x:v>46350000</x:v>
      </x:c>
      <x:c r="Q85" s="14">
        <x:f t="shared" si="1"/>
        <x:v>1.1111111111111112</x:v>
      </x:c>
      <x:c r="R85" s="13" t="s">
        <x:v>833</x:v>
      </x:c>
      <x:c r="S85" s="3" t="s">
        <x:v>732</x:v>
      </x:c>
      <x:c r="T85" s="3" t="s">
        <x:v>682</x:v>
      </x:c>
      <x:c r="U85" s="3" t="s">
        <x:v>570</x:v>
      </x:c>
      <x:c r="V85" s="3" t="s">
        <x:v>571</x:v>
      </x:c>
      <x:c r="W85" s="3" t="s">
        <x:v>834</x:v>
      </x:c>
      <x:c r="X85" s="3" t="s">
        <x:v>835</x:v>
      </x:c>
      <x:c r="Y85" s="8" t="s">
        <x:v>61</x:v>
      </x:c>
    </x:row>
    <x:row r="86" ht="42">
      <x:c r="A86" s="3" t="s">
        <x:v>857</x:v>
      </x:c>
      <x:c r="B86" s="3" t="s">
        <x:v>678</x:v>
      </x:c>
      <x:c r="C86" s="3" t="s">
        <x:v>162</x:v>
      </x:c>
      <x:c r="D86" s="3" t="s">
        <x:v>163</x:v>
      </x:c>
      <x:c r="E86" s="3" t="s">
        <x:v>164</x:v>
      </x:c>
      <x:c r="F86" s="9"/>
      <x:c r="G86" s="9">
        <x:v>274667</x:v>
      </x:c>
      <x:c r="H86" s="9"/>
      <x:c r="I86" s="3" t="s">
        <x:v>431</x:v>
      </x:c>
      <x:c r="J86" s="9"/>
      <x:c r="K86" s="11">
        <x:v>0</x:v>
      </x:c>
      <x:c r="L86" s="11">
        <x:v>274667</x:v>
      </x:c>
      <x:c r="M86" s="11"/>
      <x:c r="N86" s="11"/>
      <x:c r="O86" s="11">
        <x:v>274667</x:v>
      </x:c>
      <x:c r="P86" s="11">
        <x:v>46350000</x:v>
      </x:c>
      <x:c r="Q86" s="14">
        <x:f t="shared" si="1"/>
        <x:v>0.59259331175836027</x:v>
      </x:c>
      <x:c r="R86" s="13" t="s">
        <x:v>833</x:v>
      </x:c>
      <x:c r="S86" s="3" t="s">
        <x:v>732</x:v>
      </x:c>
      <x:c r="T86" s="3" t="s">
        <x:v>682</x:v>
      </x:c>
      <x:c r="U86" s="3" t="s">
        <x:v>570</x:v>
      </x:c>
      <x:c r="V86" s="3" t="s">
        <x:v>571</x:v>
      </x:c>
      <x:c r="W86" s="3" t="s">
        <x:v>834</x:v>
      </x:c>
      <x:c r="X86" s="3" t="s">
        <x:v>835</x:v>
      </x:c>
      <x:c r="Y86" s="8" t="s">
        <x:v>61</x:v>
      </x:c>
    </x:row>
    <x:row r="87" ht="42">
      <x:c r="A87" s="3" t="s">
        <x:v>858</x:v>
      </x:c>
      <x:c r="B87" s="3" t="s">
        <x:v>678</x:v>
      </x:c>
      <x:c r="C87" s="3" t="s">
        <x:v>166</x:v>
      </x:c>
      <x:c r="D87" s="3" t="s">
        <x:v>167</x:v>
      </x:c>
      <x:c r="E87" s="3" t="s">
        <x:v>168</x:v>
      </x:c>
      <x:c r="F87" s="9"/>
      <x:c r="G87" s="9">
        <x:v>369083</x:v>
      </x:c>
      <x:c r="H87" s="9"/>
      <x:c r="I87" s="3" t="s">
        <x:v>431</x:v>
      </x:c>
      <x:c r="J87" s="9"/>
      <x:c r="K87" s="11">
        <x:v>0</x:v>
      </x:c>
      <x:c r="L87" s="11">
        <x:v>369083</x:v>
      </x:c>
      <x:c r="M87" s="11"/>
      <x:c r="N87" s="11"/>
      <x:c r="O87" s="11">
        <x:v>369083</x:v>
      </x:c>
      <x:c r="P87" s="11">
        <x:v>46350000</x:v>
      </x:c>
      <x:c r="Q87" s="14">
        <x:f t="shared" si="1"/>
        <x:v>0.79629557713052856</x:v>
      </x:c>
      <x:c r="R87" s="13" t="s">
        <x:v>833</x:v>
      </x:c>
      <x:c r="S87" s="3" t="s">
        <x:v>732</x:v>
      </x:c>
      <x:c r="T87" s="3" t="s">
        <x:v>682</x:v>
      </x:c>
      <x:c r="U87" s="3" t="s">
        <x:v>570</x:v>
      </x:c>
      <x:c r="V87" s="3" t="s">
        <x:v>571</x:v>
      </x:c>
      <x:c r="W87" s="3" t="s">
        <x:v>834</x:v>
      </x:c>
      <x:c r="X87" s="3" t="s">
        <x:v>835</x:v>
      </x:c>
      <x:c r="Y87" s="8" t="s">
        <x:v>61</x:v>
      </x:c>
    </x:row>
    <x:row r="88" ht="28">
      <x:c r="A88" s="3" t="s">
        <x:v>859</x:v>
      </x:c>
      <x:c r="B88" s="3" t="s">
        <x:v>685</x:v>
      </x:c>
      <x:c r="C88" s="3" t="s">
        <x:v>67</x:v>
      </x:c>
      <x:c r="D88" s="3" t="s">
        <x:v>68</x:v>
      </x:c>
      <x:c r="E88" s="3" t="s">
        <x:v>68</x:v>
      </x:c>
      <x:c r="F88" s="9"/>
      <x:c r="G88" s="9">
        <x:v>17096750</x:v>
      </x:c>
      <x:c r="H88" s="9"/>
      <x:c r="I88" s="3" t="s">
        <x:v>431</x:v>
      </x:c>
      <x:c r="J88" s="9"/>
      <x:c r="K88" s="11">
        <x:v>17096750</x:v>
      </x:c>
      <x:c r="L88" s="11"/>
      <x:c r="M88" s="11"/>
      <x:c r="N88" s="11"/>
      <x:c r="O88" s="11">
        <x:v>17096750</x:v>
      </x:c>
      <x:c r="P88" s="11">
        <x:v>46350000</x:v>
      </x:c>
      <x:c r="Q88" s="14">
        <x:f t="shared" si="1"/>
        <x:v>36.88619201725998</x:v>
      </x:c>
      <x:c r="R88" s="13" t="s">
        <x:v>511</x:v>
      </x:c>
      <x:c r="S88" s="3" t="s">
        <x:v>819</x:v>
      </x:c>
      <x:c r="T88" s="3" t="s">
        <x:v>513</x:v>
      </x:c>
      <x:c r="U88" s="3" t="s">
        <x:v>583</x:v>
      </x:c>
      <x:c r="V88" s="3" t="s">
        <x:v>584</x:v>
      </x:c>
      <x:c r="W88" s="3" t="s">
        <x:v>860</x:v>
      </x:c>
      <x:c r="X88" s="3" t="s">
        <x:v>861</x:v>
      </x:c>
      <x:c r="Y88" s="8" t="s">
        <x:v>61</x:v>
      </x:c>
    </x:row>
    <x:row r="89" ht="28">
      <x:c r="A89" s="3" t="s">
        <x:v>862</x:v>
      </x:c>
      <x:c r="B89" s="3" t="s">
        <x:v>685</x:v>
      </x:c>
      <x:c r="C89" s="3" t="s">
        <x:v>62</x:v>
      </x:c>
      <x:c r="D89" s="3" t="s">
        <x:v>63</x:v>
      </x:c>
      <x:c r="E89" s="3" t="s">
        <x:v>63</x:v>
      </x:c>
      <x:c r="F89" s="9"/>
      <x:c r="G89" s="9">
        <x:v>6949860</x:v>
      </x:c>
      <x:c r="H89" s="9"/>
      <x:c r="I89" s="3" t="s">
        <x:v>431</x:v>
      </x:c>
      <x:c r="J89" s="9"/>
      <x:c r="K89" s="11">
        <x:v>6949860</x:v>
      </x:c>
      <x:c r="L89" s="11"/>
      <x:c r="M89" s="11"/>
      <x:c r="N89" s="11"/>
      <x:c r="O89" s="11">
        <x:v>6949860</x:v>
      </x:c>
      <x:c r="P89" s="11">
        <x:v>46350000</x:v>
      </x:c>
      <x:c r="Q89" s="14">
        <x:f t="shared" si="1"/>
        <x:v>14.994304207119741</x:v>
      </x:c>
      <x:c r="R89" s="13" t="s">
        <x:v>511</x:v>
      </x:c>
      <x:c r="S89" s="3" t="s">
        <x:v>819</x:v>
      </x:c>
      <x:c r="T89" s="3" t="s">
        <x:v>513</x:v>
      </x:c>
      <x:c r="U89" s="3" t="s">
        <x:v>583</x:v>
      </x:c>
      <x:c r="V89" s="3" t="s">
        <x:v>584</x:v>
      </x:c>
      <x:c r="W89" s="3" t="s">
        <x:v>860</x:v>
      </x:c>
      <x:c r="X89" s="3" t="s">
        <x:v>861</x:v>
      </x:c>
      <x:c r="Y89" s="8" t="s">
        <x:v>61</x:v>
      </x:c>
    </x:row>
    <x:row r="90" ht="28">
      <x:c r="A90" s="3" t="s">
        <x:v>863</x:v>
      </x:c>
      <x:c r="B90" s="3" t="s">
        <x:v>685</x:v>
      </x:c>
      <x:c r="C90" s="3" t="s">
        <x:v>78</x:v>
      </x:c>
      <x:c r="D90" s="3" t="s">
        <x:v>79</x:v>
      </x:c>
      <x:c r="E90" s="3" t="s">
        <x:v>80</x:v>
      </x:c>
      <x:c r="F90" s="9"/>
      <x:c r="G90" s="9">
        <x:v>5004000</x:v>
      </x:c>
      <x:c r="H90" s="9"/>
      <x:c r="I90" s="3" t="s">
        <x:v>431</x:v>
      </x:c>
      <x:c r="J90" s="9"/>
      <x:c r="K90" s="11">
        <x:v>5004000</x:v>
      </x:c>
      <x:c r="L90" s="11"/>
      <x:c r="M90" s="11"/>
      <x:c r="N90" s="11"/>
      <x:c r="O90" s="11">
        <x:v>5004000</x:v>
      </x:c>
      <x:c r="P90" s="11">
        <x:v>46350000</x:v>
      </x:c>
      <x:c r="Q90" s="14">
        <x:f t="shared" si="1"/>
        <x:v>10.796116504854369</x:v>
      </x:c>
      <x:c r="R90" s="13" t="s">
        <x:v>511</x:v>
      </x:c>
      <x:c r="S90" s="3" t="s">
        <x:v>819</x:v>
      </x:c>
      <x:c r="T90" s="3" t="s">
        <x:v>513</x:v>
      </x:c>
      <x:c r="U90" s="3" t="s">
        <x:v>583</x:v>
      </x:c>
      <x:c r="V90" s="3" t="s">
        <x:v>584</x:v>
      </x:c>
      <x:c r="W90" s="3" t="s">
        <x:v>860</x:v>
      </x:c>
      <x:c r="X90" s="3" t="s">
        <x:v>861</x:v>
      </x:c>
      <x:c r="Y90" s="8" t="s">
        <x:v>61</x:v>
      </x:c>
    </x:row>
    <x:row r="91" ht="28">
      <x:c r="A91" s="3" t="s">
        <x:v>864</x:v>
      </x:c>
      <x:c r="B91" s="3" t="s">
        <x:v>685</x:v>
      </x:c>
      <x:c r="C91" s="3" t="s">
        <x:v>89</x:v>
      </x:c>
      <x:c r="D91" s="3" t="s">
        <x:v>90</x:v>
      </x:c>
      <x:c r="E91" s="3" t="s">
        <x:v>91</x:v>
      </x:c>
      <x:c r="F91" s="9"/>
      <x:c r="G91" s="9">
        <x:v>2835320</x:v>
      </x:c>
      <x:c r="H91" s="9"/>
      <x:c r="I91" s="3" t="s">
        <x:v>431</x:v>
      </x:c>
      <x:c r="J91" s="9"/>
      <x:c r="K91" s="11">
        <x:v>2835320</x:v>
      </x:c>
      <x:c r="L91" s="11"/>
      <x:c r="M91" s="11"/>
      <x:c r="N91" s="11"/>
      <x:c r="O91" s="11">
        <x:v>2835320</x:v>
      </x:c>
      <x:c r="P91" s="11">
        <x:v>46350000</x:v>
      </x:c>
      <x:c r="Q91" s="14">
        <x:f t="shared" si="1"/>
        <x:v>6.1171952535059333</x:v>
      </x:c>
      <x:c r="R91" s="13" t="s">
        <x:v>511</x:v>
      </x:c>
      <x:c r="S91" s="3" t="s">
        <x:v>819</x:v>
      </x:c>
      <x:c r="T91" s="3" t="s">
        <x:v>513</x:v>
      </x:c>
      <x:c r="U91" s="3" t="s">
        <x:v>583</x:v>
      </x:c>
      <x:c r="V91" s="3" t="s">
        <x:v>584</x:v>
      </x:c>
      <x:c r="W91" s="3" t="s">
        <x:v>860</x:v>
      </x:c>
      <x:c r="X91" s="3" t="s">
        <x:v>861</x:v>
      </x:c>
      <x:c r="Y91" s="8" t="s">
        <x:v>61</x:v>
      </x:c>
    </x:row>
    <x:row r="92" ht="28">
      <x:c r="A92" s="3" t="s">
        <x:v>865</x:v>
      </x:c>
      <x:c r="B92" s="3" t="s">
        <x:v>685</x:v>
      </x:c>
      <x:c r="C92" s="3" t="s">
        <x:v>85</x:v>
      </x:c>
      <x:c r="D92" s="3" t="s">
        <x:v>86</x:v>
      </x:c>
      <x:c r="E92" s="3" t="s">
        <x:v>87</x:v>
      </x:c>
      <x:c r="F92" s="9"/>
      <x:c r="G92" s="9">
        <x:v>2502000</x:v>
      </x:c>
      <x:c r="H92" s="9"/>
      <x:c r="I92" s="3" t="s">
        <x:v>431</x:v>
      </x:c>
      <x:c r="J92" s="9"/>
      <x:c r="K92" s="11">
        <x:v>2502000</x:v>
      </x:c>
      <x:c r="L92" s="11"/>
      <x:c r="M92" s="11"/>
      <x:c r="N92" s="11"/>
      <x:c r="O92" s="11">
        <x:v>2502000</x:v>
      </x:c>
      <x:c r="P92" s="11">
        <x:v>46350000</x:v>
      </x:c>
      <x:c r="Q92" s="14">
        <x:f t="shared" si="1"/>
        <x:v>5.3980582524271847</x:v>
      </x:c>
      <x:c r="R92" s="13" t="s">
        <x:v>511</x:v>
      </x:c>
      <x:c r="S92" s="3" t="s">
        <x:v>819</x:v>
      </x:c>
      <x:c r="T92" s="3" t="s">
        <x:v>513</x:v>
      </x:c>
      <x:c r="U92" s="3" t="s">
        <x:v>583</x:v>
      </x:c>
      <x:c r="V92" s="3" t="s">
        <x:v>584</x:v>
      </x:c>
      <x:c r="W92" s="3" t="s">
        <x:v>860</x:v>
      </x:c>
      <x:c r="X92" s="3" t="s">
        <x:v>861</x:v>
      </x:c>
      <x:c r="Y92" s="8" t="s">
        <x:v>61</x:v>
      </x:c>
    </x:row>
    <x:row r="93" ht="28">
      <x:c r="A93" s="3" t="s">
        <x:v>866</x:v>
      </x:c>
      <x:c r="B93" s="3" t="s">
        <x:v>685</x:v>
      </x:c>
      <x:c r="C93" s="3" t="s">
        <x:v>70</x:v>
      </x:c>
      <x:c r="D93" s="3" t="s">
        <x:v>71</x:v>
      </x:c>
      <x:c r="E93" s="3" t="s">
        <x:v>72</x:v>
      </x:c>
      <x:c r="F93" s="9"/>
      <x:c r="G93" s="9">
        <x:v>1053360</x:v>
      </x:c>
      <x:c r="H93" s="9"/>
      <x:c r="I93" s="3" t="s">
        <x:v>431</x:v>
      </x:c>
      <x:c r="J93" s="9"/>
      <x:c r="K93" s="11">
        <x:v>1853360</x:v>
      </x:c>
      <x:c r="L93" s="11"/>
      <x:c r="M93" s="11"/>
      <x:c r="N93" s="11">
        <x:v>800000</x:v>
      </x:c>
      <x:c r="O93" s="11">
        <x:v>1053360</x:v>
      </x:c>
      <x:c r="P93" s="11">
        <x:v>46350000</x:v>
      </x:c>
      <x:c r="Q93" s="14">
        <x:f t="shared" si="1"/>
        <x:v>2.2726213592233013</x:v>
      </x:c>
      <x:c r="R93" s="13" t="s">
        <x:v>511</x:v>
      </x:c>
      <x:c r="S93" s="3" t="s">
        <x:v>744</x:v>
      </x:c>
      <x:c r="T93" s="3" t="s">
        <x:v>513</x:v>
      </x:c>
      <x:c r="U93" s="3" t="s">
        <x:v>583</x:v>
      </x:c>
      <x:c r="V93" s="3" t="s">
        <x:v>584</x:v>
      </x:c>
      <x:c r="W93" s="3" t="s">
        <x:v>860</x:v>
      </x:c>
      <x:c r="X93" s="3" t="s">
        <x:v>861</x:v>
      </x:c>
      <x:c r="Y93" s="8" t="s">
        <x:v>61</x:v>
      </x:c>
    </x:row>
    <x:row r="94" ht="28">
      <x:c r="A94" s="3" t="s">
        <x:v>867</x:v>
      </x:c>
      <x:c r="B94" s="3" t="s">
        <x:v>685</x:v>
      </x:c>
      <x:c r="C94" s="3" t="s">
        <x:v>93</x:v>
      </x:c>
      <x:c r="D94" s="3" t="s">
        <x:v>94</x:v>
      </x:c>
      <x:c r="E94" s="3" t="s">
        <x:v>95</x:v>
      </x:c>
      <x:c r="F94" s="9"/>
      <x:c r="G94" s="9">
        <x:v>933320</x:v>
      </x:c>
      <x:c r="H94" s="9"/>
      <x:c r="I94" s="3" t="s">
        <x:v>431</x:v>
      </x:c>
      <x:c r="J94" s="9"/>
      <x:c r="K94" s="11">
        <x:v>933320</x:v>
      </x:c>
      <x:c r="L94" s="11"/>
      <x:c r="M94" s="11"/>
      <x:c r="N94" s="11"/>
      <x:c r="O94" s="11">
        <x:v>933320</x:v>
      </x:c>
      <x:c r="P94" s="11">
        <x:v>46350000</x:v>
      </x:c>
      <x:c r="Q94" s="14">
        <x:f t="shared" si="1"/>
        <x:v>2.0136353829557714</x:v>
      </x:c>
      <x:c r="R94" s="13" t="s">
        <x:v>511</x:v>
      </x:c>
      <x:c r="S94" s="3" t="s">
        <x:v>819</x:v>
      </x:c>
      <x:c r="T94" s="3" t="s">
        <x:v>513</x:v>
      </x:c>
      <x:c r="U94" s="3" t="s">
        <x:v>583</x:v>
      </x:c>
      <x:c r="V94" s="3" t="s">
        <x:v>584</x:v>
      </x:c>
      <x:c r="W94" s="3" t="s">
        <x:v>860</x:v>
      </x:c>
      <x:c r="X94" s="3" t="s">
        <x:v>861</x:v>
      </x:c>
      <x:c r="Y94" s="8" t="s">
        <x:v>61</x:v>
      </x:c>
    </x:row>
    <x:row r="95" ht="28">
      <x:c r="A95" s="3" t="s">
        <x:v>868</x:v>
      </x:c>
      <x:c r="B95" s="3" t="s">
        <x:v>685</x:v>
      </x:c>
      <x:c r="C95" s="3" t="s">
        <x:v>105</x:v>
      </x:c>
      <x:c r="D95" s="3" t="s">
        <x:v>106</x:v>
      </x:c>
      <x:c r="E95" s="3" t="s">
        <x:v>107</x:v>
      </x:c>
      <x:c r="F95" s="9"/>
      <x:c r="G95" s="9">
        <x:v>333320</x:v>
      </x:c>
      <x:c r="H95" s="9"/>
      <x:c r="I95" s="3" t="s">
        <x:v>431</x:v>
      </x:c>
      <x:c r="J95" s="9"/>
      <x:c r="K95" s="11">
        <x:v>333320</x:v>
      </x:c>
      <x:c r="L95" s="11"/>
      <x:c r="M95" s="11"/>
      <x:c r="N95" s="11"/>
      <x:c r="O95" s="11">
        <x:v>333320</x:v>
      </x:c>
      <x:c r="P95" s="11">
        <x:v>46350000</x:v>
      </x:c>
      <x:c r="Q95" s="14">
        <x:f t="shared" si="1"/>
        <x:v>0.71913700107874867</x:v>
      </x:c>
      <x:c r="R95" s="13" t="s">
        <x:v>511</x:v>
      </x:c>
      <x:c r="S95" s="3" t="s">
        <x:v>819</x:v>
      </x:c>
      <x:c r="T95" s="3" t="s">
        <x:v>513</x:v>
      </x:c>
      <x:c r="U95" s="3" t="s">
        <x:v>583</x:v>
      </x:c>
      <x:c r="V95" s="3" t="s">
        <x:v>584</x:v>
      </x:c>
      <x:c r="W95" s="3" t="s">
        <x:v>860</x:v>
      </x:c>
      <x:c r="X95" s="3" t="s">
        <x:v>861</x:v>
      </x:c>
      <x:c r="Y95" s="8" t="s">
        <x:v>61</x:v>
      </x:c>
    </x:row>
    <x:row r="96" ht="28">
      <x:c r="A96" s="3" t="s">
        <x:v>869</x:v>
      </x:c>
      <x:c r="B96" s="3" t="s">
        <x:v>685</x:v>
      </x:c>
      <x:c r="C96" s="3" t="s">
        <x:v>109</x:v>
      </x:c>
      <x:c r="D96" s="3" t="s">
        <x:v>110</x:v>
      </x:c>
      <x:c r="E96" s="3" t="s">
        <x:v>111</x:v>
      </x:c>
      <x:c r="F96" s="9"/>
      <x:c r="G96" s="9">
        <x:v>333320</x:v>
      </x:c>
      <x:c r="H96" s="9"/>
      <x:c r="I96" s="3" t="s">
        <x:v>431</x:v>
      </x:c>
      <x:c r="J96" s="9"/>
      <x:c r="K96" s="11">
        <x:v>333320</x:v>
      </x:c>
      <x:c r="L96" s="11"/>
      <x:c r="M96" s="11"/>
      <x:c r="N96" s="11"/>
      <x:c r="O96" s="11">
        <x:v>333320</x:v>
      </x:c>
      <x:c r="P96" s="11">
        <x:v>46350000</x:v>
      </x:c>
      <x:c r="Q96" s="14">
        <x:f t="shared" si="1"/>
        <x:v>0.71913700107874867</x:v>
      </x:c>
      <x:c r="R96" s="13" t="s">
        <x:v>511</x:v>
      </x:c>
      <x:c r="S96" s="3" t="s">
        <x:v>819</x:v>
      </x:c>
      <x:c r="T96" s="3" t="s">
        <x:v>513</x:v>
      </x:c>
      <x:c r="U96" s="3" t="s">
        <x:v>583</x:v>
      </x:c>
      <x:c r="V96" s="3" t="s">
        <x:v>584</x:v>
      </x:c>
      <x:c r="W96" s="3" t="s">
        <x:v>860</x:v>
      </x:c>
      <x:c r="X96" s="3" t="s">
        <x:v>861</x:v>
      </x:c>
      <x:c r="Y96" s="8" t="s">
        <x:v>61</x:v>
      </x:c>
    </x:row>
    <x:row r="97" ht="42">
      <x:c r="A97" s="3" t="s">
        <x:v>870</x:v>
      </x:c>
      <x:c r="B97" s="3" t="s">
        <x:v>685</x:v>
      </x:c>
      <x:c r="C97" s="3" t="s">
        <x:v>113</x:v>
      </x:c>
      <x:c r="D97" s="3" t="s">
        <x:v>114</x:v>
      </x:c>
      <x:c r="E97" s="3" t="s">
        <x:v>115</x:v>
      </x:c>
      <x:c r="F97" s="9"/>
      <x:c r="G97" s="9">
        <x:v>333320</x:v>
      </x:c>
      <x:c r="H97" s="9"/>
      <x:c r="I97" s="3" t="s">
        <x:v>431</x:v>
      </x:c>
      <x:c r="J97" s="9"/>
      <x:c r="K97" s="11">
        <x:v>333320</x:v>
      </x:c>
      <x:c r="L97" s="11"/>
      <x:c r="M97" s="11"/>
      <x:c r="N97" s="11"/>
      <x:c r="O97" s="11">
        <x:v>333320</x:v>
      </x:c>
      <x:c r="P97" s="11">
        <x:v>46350000</x:v>
      </x:c>
      <x:c r="Q97" s="14">
        <x:f t="shared" si="1"/>
        <x:v>0.71913700107874867</x:v>
      </x:c>
      <x:c r="R97" s="13" t="s">
        <x:v>511</x:v>
      </x:c>
      <x:c r="S97" s="3" t="s">
        <x:v>819</x:v>
      </x:c>
      <x:c r="T97" s="3" t="s">
        <x:v>513</x:v>
      </x:c>
      <x:c r="U97" s="3" t="s">
        <x:v>583</x:v>
      </x:c>
      <x:c r="V97" s="3" t="s">
        <x:v>584</x:v>
      </x:c>
      <x:c r="W97" s="3" t="s">
        <x:v>860</x:v>
      </x:c>
      <x:c r="X97" s="3" t="s">
        <x:v>861</x:v>
      </x:c>
      <x:c r="Y97" s="8" t="s">
        <x:v>61</x:v>
      </x:c>
    </x:row>
    <x:row r="98" ht="28">
      <x:c r="A98" s="3" t="s">
        <x:v>871</x:v>
      </x:c>
      <x:c r="B98" s="3" t="s">
        <x:v>685</x:v>
      </x:c>
      <x:c r="C98" s="3" t="s">
        <x:v>117</x:v>
      </x:c>
      <x:c r="D98" s="3" t="s">
        <x:v>118</x:v>
      </x:c>
      <x:c r="E98" s="3" t="s">
        <x:v>119</x:v>
      </x:c>
      <x:c r="F98" s="9"/>
      <x:c r="G98" s="9">
        <x:v>666680</x:v>
      </x:c>
      <x:c r="H98" s="9"/>
      <x:c r="I98" s="3" t="s">
        <x:v>431</x:v>
      </x:c>
      <x:c r="J98" s="9"/>
      <x:c r="K98" s="11">
        <x:v>666680</x:v>
      </x:c>
      <x:c r="L98" s="11"/>
      <x:c r="M98" s="11"/>
      <x:c r="N98" s="11"/>
      <x:c r="O98" s="11">
        <x:v>666680</x:v>
      </x:c>
      <x:c r="P98" s="11">
        <x:v>46350000</x:v>
      </x:c>
      <x:c r="Q98" s="14">
        <x:f t="shared" si="1"/>
        <x:v>1.4383603020496225</x:v>
      </x:c>
      <x:c r="R98" s="13" t="s">
        <x:v>511</x:v>
      </x:c>
      <x:c r="S98" s="3" t="s">
        <x:v>819</x:v>
      </x:c>
      <x:c r="T98" s="3" t="s">
        <x:v>513</x:v>
      </x:c>
      <x:c r="U98" s="3" t="s">
        <x:v>583</x:v>
      </x:c>
      <x:c r="V98" s="3" t="s">
        <x:v>584</x:v>
      </x:c>
      <x:c r="W98" s="3" t="s">
        <x:v>860</x:v>
      </x:c>
      <x:c r="X98" s="3" t="s">
        <x:v>861</x:v>
      </x:c>
      <x:c r="Y98" s="8" t="s">
        <x:v>61</x:v>
      </x:c>
    </x:row>
    <x:row r="99" ht="42">
      <x:c r="A99" s="3" t="s">
        <x:v>872</x:v>
      </x:c>
      <x:c r="B99" s="3" t="s">
        <x:v>685</x:v>
      </x:c>
      <x:c r="C99" s="3" t="s">
        <x:v>122</x:v>
      </x:c>
      <x:c r="D99" s="3" t="s">
        <x:v>123</x:v>
      </x:c>
      <x:c r="E99" s="3" t="s">
        <x:v>124</x:v>
      </x:c>
      <x:c r="F99" s="9"/>
      <x:c r="G99" s="9">
        <x:v>2544787</x:v>
      </x:c>
      <x:c r="H99" s="9"/>
      <x:c r="I99" s="3" t="s">
        <x:v>431</x:v>
      </x:c>
      <x:c r="J99" s="9"/>
      <x:c r="K99" s="11">
        <x:v>2544787</x:v>
      </x:c>
      <x:c r="L99" s="11"/>
      <x:c r="M99" s="11"/>
      <x:c r="N99" s="11"/>
      <x:c r="O99" s="11">
        <x:v>2544787</x:v>
      </x:c>
      <x:c r="P99" s="11">
        <x:v>46350000</x:v>
      </x:c>
      <x:c r="Q99" s="14">
        <x:f t="shared" si="1"/>
        <x:v>5.4903710895361382</x:v>
      </x:c>
      <x:c r="R99" s="13" t="s">
        <x:v>511</x:v>
      </x:c>
      <x:c r="S99" s="3" t="s">
        <x:v>819</x:v>
      </x:c>
      <x:c r="T99" s="3" t="s">
        <x:v>513</x:v>
      </x:c>
      <x:c r="U99" s="3" t="s">
        <x:v>583</x:v>
      </x:c>
      <x:c r="V99" s="3" t="s">
        <x:v>584</x:v>
      </x:c>
      <x:c r="W99" s="3" t="s">
        <x:v>860</x:v>
      </x:c>
      <x:c r="X99" s="3" t="s">
        <x:v>861</x:v>
      </x:c>
      <x:c r="Y99" s="8" t="s">
        <x:v>61</x:v>
      </x:c>
    </x:row>
    <x:row r="100" ht="28">
      <x:c r="A100" s="3" t="s">
        <x:v>873</x:v>
      </x:c>
      <x:c r="B100" s="3" t="s">
        <x:v>685</x:v>
      </x:c>
      <x:c r="C100" s="3" t="s">
        <x:v>128</x:v>
      </x:c>
      <x:c r="D100" s="3" t="s">
        <x:v>129</x:v>
      </x:c>
      <x:c r="E100" s="3" t="s">
        <x:v>130</x:v>
      </x:c>
      <x:c r="F100" s="9"/>
      <x:c r="G100" s="9">
        <x:v>618000</x:v>
      </x:c>
      <x:c r="H100" s="9"/>
      <x:c r="I100" s="3" t="s">
        <x:v>431</x:v>
      </x:c>
      <x:c r="J100" s="9"/>
      <x:c r="K100" s="11">
        <x:v>618000</x:v>
      </x:c>
      <x:c r="L100" s="11"/>
      <x:c r="M100" s="11"/>
      <x:c r="N100" s="11"/>
      <x:c r="O100" s="11">
        <x:v>618000</x:v>
      </x:c>
      <x:c r="P100" s="11">
        <x:v>46350000</x:v>
      </x:c>
      <x:c r="Q100" s="14">
        <x:f t="shared" si="1"/>
        <x:v>1.3333333333333335</x:v>
      </x:c>
      <x:c r="R100" s="13" t="s">
        <x:v>511</x:v>
      </x:c>
      <x:c r="S100" s="3" t="s">
        <x:v>819</x:v>
      </x:c>
      <x:c r="T100" s="3" t="s">
        <x:v>513</x:v>
      </x:c>
      <x:c r="U100" s="3" t="s">
        <x:v>583</x:v>
      </x:c>
      <x:c r="V100" s="3" t="s">
        <x:v>584</x:v>
      </x:c>
      <x:c r="W100" s="3" t="s">
        <x:v>860</x:v>
      </x:c>
      <x:c r="X100" s="3" t="s">
        <x:v>861</x:v>
      </x:c>
      <x:c r="Y100" s="8" t="s">
        <x:v>61</x:v>
      </x:c>
    </x:row>
    <x:row r="101" ht="28">
      <x:c r="A101" s="3" t="s">
        <x:v>874</x:v>
      </x:c>
      <x:c r="B101" s="3" t="s">
        <x:v>685</x:v>
      </x:c>
      <x:c r="C101" s="3" t="s">
        <x:v>132</x:v>
      </x:c>
      <x:c r="D101" s="3" t="s">
        <x:v>133</x:v>
      </x:c>
      <x:c r="E101" s="3" t="s">
        <x:v>134</x:v>
      </x:c>
      <x:c r="F101" s="9"/>
      <x:c r="G101" s="9">
        <x:v>543840</x:v>
      </x:c>
      <x:c r="H101" s="9"/>
      <x:c r="I101" s="3" t="s">
        <x:v>431</x:v>
      </x:c>
      <x:c r="J101" s="9"/>
      <x:c r="K101" s="11">
        <x:v>543840</x:v>
      </x:c>
      <x:c r="L101" s="11"/>
      <x:c r="M101" s="11"/>
      <x:c r="N101" s="11"/>
      <x:c r="O101" s="11">
        <x:v>543840</x:v>
      </x:c>
      <x:c r="P101" s="11">
        <x:v>46350000</x:v>
      </x:c>
      <x:c r="Q101" s="14">
        <x:f t="shared" si="1"/>
        <x:v>1.1733333333333333</x:v>
      </x:c>
      <x:c r="R101" s="13" t="s">
        <x:v>511</x:v>
      </x:c>
      <x:c r="S101" s="3" t="s">
        <x:v>819</x:v>
      </x:c>
      <x:c r="T101" s="3" t="s">
        <x:v>513</x:v>
      </x:c>
      <x:c r="U101" s="3" t="s">
        <x:v>583</x:v>
      </x:c>
      <x:c r="V101" s="3" t="s">
        <x:v>584</x:v>
      </x:c>
      <x:c r="W101" s="3" t="s">
        <x:v>860</x:v>
      </x:c>
      <x:c r="X101" s="3" t="s">
        <x:v>861</x:v>
      </x:c>
      <x:c r="Y101" s="8" t="s">
        <x:v>61</x:v>
      </x:c>
    </x:row>
    <x:row r="102" ht="28">
      <x:c r="A102" s="3" t="s">
        <x:v>875</x:v>
      </x:c>
      <x:c r="B102" s="3" t="s">
        <x:v>685</x:v>
      </x:c>
      <x:c r="C102" s="3" t="s">
        <x:v>136</x:v>
      </x:c>
      <x:c r="D102" s="3" t="s">
        <x:v>137</x:v>
      </x:c>
      <x:c r="E102" s="3" t="s">
        <x:v>137</x:v>
      </x:c>
      <x:c r="F102" s="9"/>
      <x:c r="G102" s="9">
        <x:v>70040</x:v>
      </x:c>
      <x:c r="H102" s="9"/>
      <x:c r="I102" s="3" t="s">
        <x:v>431</x:v>
      </x:c>
      <x:c r="J102" s="9"/>
      <x:c r="K102" s="11">
        <x:v>70040</x:v>
      </x:c>
      <x:c r="L102" s="11"/>
      <x:c r="M102" s="11"/>
      <x:c r="N102" s="11"/>
      <x:c r="O102" s="11">
        <x:v>70040</x:v>
      </x:c>
      <x:c r="P102" s="11">
        <x:v>46350000</x:v>
      </x:c>
      <x:c r="Q102" s="14">
        <x:f t="shared" si="1"/>
        <x:v>0.15111111111111111</x:v>
      </x:c>
      <x:c r="R102" s="13" t="s">
        <x:v>511</x:v>
      </x:c>
      <x:c r="S102" s="3" t="s">
        <x:v>819</x:v>
      </x:c>
      <x:c r="T102" s="3" t="s">
        <x:v>513</x:v>
      </x:c>
      <x:c r="U102" s="3" t="s">
        <x:v>583</x:v>
      </x:c>
      <x:c r="V102" s="3" t="s">
        <x:v>584</x:v>
      </x:c>
      <x:c r="W102" s="3" t="s">
        <x:v>860</x:v>
      </x:c>
      <x:c r="X102" s="3" t="s">
        <x:v>861</x:v>
      </x:c>
      <x:c r="Y102" s="8" t="s">
        <x:v>61</x:v>
      </x:c>
    </x:row>
    <x:row r="103" ht="42">
      <x:c r="A103" s="3" t="s">
        <x:v>876</x:v>
      </x:c>
      <x:c r="B103" s="3" t="s">
        <x:v>685</x:v>
      </x:c>
      <x:c r="C103" s="3" t="s">
        <x:v>138</x:v>
      </x:c>
      <x:c r="D103" s="3" t="s">
        <x:v>139</x:v>
      </x:c>
      <x:c r="E103" s="3" t="s">
        <x:v>140</x:v>
      </x:c>
      <x:c r="F103" s="9"/>
      <x:c r="G103" s="9">
        <x:v>1030000</x:v>
      </x:c>
      <x:c r="H103" s="9"/>
      <x:c r="I103" s="3" t="s">
        <x:v>431</x:v>
      </x:c>
      <x:c r="J103" s="9"/>
      <x:c r="K103" s="11">
        <x:v>1030000</x:v>
      </x:c>
      <x:c r="L103" s="11"/>
      <x:c r="M103" s="11"/>
      <x:c r="N103" s="11"/>
      <x:c r="O103" s="11">
        <x:v>1030000</x:v>
      </x:c>
      <x:c r="P103" s="11">
        <x:v>46350000</x:v>
      </x:c>
      <x:c r="Q103" s="14">
        <x:f t="shared" si="1"/>
        <x:v>2.2222222222222223</x:v>
      </x:c>
      <x:c r="R103" s="13" t="s">
        <x:v>511</x:v>
      </x:c>
      <x:c r="S103" s="3" t="s">
        <x:v>819</x:v>
      </x:c>
      <x:c r="T103" s="3" t="s">
        <x:v>513</x:v>
      </x:c>
      <x:c r="U103" s="3" t="s">
        <x:v>583</x:v>
      </x:c>
      <x:c r="V103" s="3" t="s">
        <x:v>584</x:v>
      </x:c>
      <x:c r="W103" s="3" t="s">
        <x:v>860</x:v>
      </x:c>
      <x:c r="X103" s="3" t="s">
        <x:v>861</x:v>
      </x:c>
      <x:c r="Y103" s="8" t="s">
        <x:v>61</x:v>
      </x:c>
    </x:row>
    <x:row r="104" ht="28">
      <x:c r="A104" s="3" t="s">
        <x:v>877</x:v>
      </x:c>
      <x:c r="B104" s="3" t="s">
        <x:v>685</x:v>
      </x:c>
      <x:c r="C104" s="3" t="s">
        <x:v>142</x:v>
      </x:c>
      <x:c r="D104" s="3" t="s">
        <x:v>143</x:v>
      </x:c>
      <x:c r="E104" s="3" t="s">
        <x:v>144</x:v>
      </x:c>
      <x:c r="F104" s="9"/>
      <x:c r="G104" s="9">
        <x:v>343333</x:v>
      </x:c>
      <x:c r="H104" s="9"/>
      <x:c r="I104" s="3" t="s">
        <x:v>431</x:v>
      </x:c>
      <x:c r="J104" s="9"/>
      <x:c r="K104" s="11">
        <x:v>343333</x:v>
      </x:c>
      <x:c r="L104" s="11"/>
      <x:c r="M104" s="11"/>
      <x:c r="N104" s="11"/>
      <x:c r="O104" s="11">
        <x:v>343333</x:v>
      </x:c>
      <x:c r="P104" s="11">
        <x:v>46350000</x:v>
      </x:c>
      <x:c r="Q104" s="14">
        <x:f t="shared" si="1"/>
        <x:v>0.74074002157497298</x:v>
      </x:c>
      <x:c r="R104" s="13" t="s">
        <x:v>511</x:v>
      </x:c>
      <x:c r="S104" s="3" t="s">
        <x:v>819</x:v>
      </x:c>
      <x:c r="T104" s="3" t="s">
        <x:v>513</x:v>
      </x:c>
      <x:c r="U104" s="3" t="s">
        <x:v>583</x:v>
      </x:c>
      <x:c r="V104" s="3" t="s">
        <x:v>584</x:v>
      </x:c>
      <x:c r="W104" s="3" t="s">
        <x:v>860</x:v>
      </x:c>
      <x:c r="X104" s="3" t="s">
        <x:v>861</x:v>
      </x:c>
      <x:c r="Y104" s="8" t="s">
        <x:v>61</x:v>
      </x:c>
    </x:row>
    <x:row r="105" ht="28">
      <x:c r="A105" s="3" t="s">
        <x:v>878</x:v>
      </x:c>
      <x:c r="B105" s="3" t="s">
        <x:v>685</x:v>
      </x:c>
      <x:c r="C105" s="3" t="s">
        <x:v>146</x:v>
      </x:c>
      <x:c r="D105" s="3" t="s">
        <x:v>147</x:v>
      </x:c>
      <x:c r="E105" s="3" t="s">
        <x:v>147</x:v>
      </x:c>
      <x:c r="F105" s="9"/>
      <x:c r="G105" s="9">
        <x:v>600000</x:v>
      </x:c>
      <x:c r="H105" s="9"/>
      <x:c r="I105" s="3" t="s">
        <x:v>431</x:v>
      </x:c>
      <x:c r="J105" s="9"/>
      <x:c r="K105" s="11">
        <x:v>200000</x:v>
      </x:c>
      <x:c r="L105" s="11"/>
      <x:c r="M105" s="11">
        <x:v>400000</x:v>
      </x:c>
      <x:c r="N105" s="11"/>
      <x:c r="O105" s="11">
        <x:v>600000</x:v>
      </x:c>
      <x:c r="P105" s="11">
        <x:v>46350000</x:v>
      </x:c>
      <x:c r="Q105" s="14">
        <x:f t="shared" si="1"/>
        <x:v>1.2944983818770228</x:v>
      </x:c>
      <x:c r="R105" s="13" t="s">
        <x:v>511</x:v>
      </x:c>
      <x:c r="S105" s="3" t="s">
        <x:v>375</x:v>
      </x:c>
      <x:c r="T105" s="3" t="s">
        <x:v>513</x:v>
      </x:c>
      <x:c r="U105" s="3" t="s">
        <x:v>583</x:v>
      </x:c>
      <x:c r="V105" s="3" t="s">
        <x:v>584</x:v>
      </x:c>
      <x:c r="W105" s="3" t="s">
        <x:v>860</x:v>
      </x:c>
      <x:c r="X105" s="3" t="s">
        <x:v>861</x:v>
      </x:c>
      <x:c r="Y105" s="8" t="s">
        <x:v>61</x:v>
      </x:c>
    </x:row>
    <x:row r="106" ht="28">
      <x:c r="A106" s="3" t="s">
        <x:v>879</x:v>
      </x:c>
      <x:c r="B106" s="3" t="s">
        <x:v>685</x:v>
      </x:c>
      <x:c r="C106" s="3" t="s">
        <x:v>150</x:v>
      </x:c>
      <x:c r="D106" s="3" t="s">
        <x:v>151</x:v>
      </x:c>
      <x:c r="E106" s="3" t="s">
        <x:v>151</x:v>
      </x:c>
      <x:c r="F106" s="9"/>
      <x:c r="G106" s="9">
        <x:v>600000</x:v>
      </x:c>
      <x:c r="H106" s="9"/>
      <x:c r="I106" s="3" t="s">
        <x:v>431</x:v>
      </x:c>
      <x:c r="J106" s="9"/>
      <x:c r="K106" s="11">
        <x:v>200000</x:v>
      </x:c>
      <x:c r="L106" s="11"/>
      <x:c r="M106" s="11">
        <x:v>400000</x:v>
      </x:c>
      <x:c r="N106" s="11"/>
      <x:c r="O106" s="11">
        <x:v>600000</x:v>
      </x:c>
      <x:c r="P106" s="11">
        <x:v>46350000</x:v>
      </x:c>
      <x:c r="Q106" s="14">
        <x:f t="shared" si="1"/>
        <x:v>1.2944983818770228</x:v>
      </x:c>
      <x:c r="R106" s="13" t="s">
        <x:v>511</x:v>
      </x:c>
      <x:c r="S106" s="3" t="s">
        <x:v>375</x:v>
      </x:c>
      <x:c r="T106" s="3" t="s">
        <x:v>513</x:v>
      </x:c>
      <x:c r="U106" s="3" t="s">
        <x:v>583</x:v>
      </x:c>
      <x:c r="V106" s="3" t="s">
        <x:v>584</x:v>
      </x:c>
      <x:c r="W106" s="3" t="s">
        <x:v>860</x:v>
      </x:c>
      <x:c r="X106" s="3" t="s">
        <x:v>861</x:v>
      </x:c>
      <x:c r="Y106" s="8" t="s">
        <x:v>61</x:v>
      </x:c>
    </x:row>
    <x:row r="107" ht="28">
      <x:c r="A107" s="3" t="s">
        <x:v>880</x:v>
      </x:c>
      <x:c r="B107" s="3" t="s">
        <x:v>685</x:v>
      </x:c>
      <x:c r="C107" s="3" t="s">
        <x:v>152</x:v>
      </x:c>
      <x:c r="D107" s="3" t="s">
        <x:v>153</x:v>
      </x:c>
      <x:c r="E107" s="3" t="s">
        <x:v>153</x:v>
      </x:c>
      <x:c r="F107" s="9"/>
      <x:c r="G107" s="9">
        <x:v>200000</x:v>
      </x:c>
      <x:c r="H107" s="9"/>
      <x:c r="I107" s="3" t="s">
        <x:v>431</x:v>
      </x:c>
      <x:c r="J107" s="9"/>
      <x:c r="K107" s="11">
        <x:v>200000</x:v>
      </x:c>
      <x:c r="L107" s="11"/>
      <x:c r="M107" s="11"/>
      <x:c r="N107" s="11"/>
      <x:c r="O107" s="11">
        <x:v>200000</x:v>
      </x:c>
      <x:c r="P107" s="11">
        <x:v>46350000</x:v>
      </x:c>
      <x:c r="Q107" s="14">
        <x:f t="shared" si="1"/>
        <x:v>0.43149946062567418</x:v>
      </x:c>
      <x:c r="R107" s="13" t="s">
        <x:v>511</x:v>
      </x:c>
      <x:c r="S107" s="3" t="s">
        <x:v>819</x:v>
      </x:c>
      <x:c r="T107" s="3" t="s">
        <x:v>513</x:v>
      </x:c>
      <x:c r="U107" s="3" t="s">
        <x:v>583</x:v>
      </x:c>
      <x:c r="V107" s="3" t="s">
        <x:v>584</x:v>
      </x:c>
      <x:c r="W107" s="3" t="s">
        <x:v>860</x:v>
      </x:c>
      <x:c r="X107" s="3" t="s">
        <x:v>861</x:v>
      </x:c>
      <x:c r="Y107" s="8" t="s">
        <x:v>61</x:v>
      </x:c>
    </x:row>
    <x:row r="108" ht="28">
      <x:c r="A108" s="3" t="s">
        <x:v>881</x:v>
      </x:c>
      <x:c r="B108" s="3" t="s">
        <x:v>685</x:v>
      </x:c>
      <x:c r="C108" s="3" t="s">
        <x:v>155</x:v>
      </x:c>
      <x:c r="D108" s="3" t="s">
        <x:v>156</x:v>
      </x:c>
      <x:c r="E108" s="3" t="s">
        <x:v>156</x:v>
      </x:c>
      <x:c r="F108" s="9"/>
      <x:c r="G108" s="9">
        <x:v>600000</x:v>
      </x:c>
      <x:c r="H108" s="9"/>
      <x:c r="I108" s="3" t="s">
        <x:v>431</x:v>
      </x:c>
      <x:c r="J108" s="9"/>
      <x:c r="K108" s="11">
        <x:v>600000</x:v>
      </x:c>
      <x:c r="L108" s="11"/>
      <x:c r="M108" s="11"/>
      <x:c r="N108" s="11"/>
      <x:c r="O108" s="11">
        <x:v>600000</x:v>
      </x:c>
      <x:c r="P108" s="11">
        <x:v>46350000</x:v>
      </x:c>
      <x:c r="Q108" s="14">
        <x:f t="shared" si="1"/>
        <x:v>1.2944983818770228</x:v>
      </x:c>
      <x:c r="R108" s="13" t="s">
        <x:v>511</x:v>
      </x:c>
      <x:c r="S108" s="3" t="s">
        <x:v>819</x:v>
      </x:c>
      <x:c r="T108" s="3" t="s">
        <x:v>513</x:v>
      </x:c>
      <x:c r="U108" s="3" t="s">
        <x:v>583</x:v>
      </x:c>
      <x:c r="V108" s="3" t="s">
        <x:v>584</x:v>
      </x:c>
      <x:c r="W108" s="3" t="s">
        <x:v>860</x:v>
      </x:c>
      <x:c r="X108" s="3" t="s">
        <x:v>861</x:v>
      </x:c>
      <x:c r="Y108" s="8" t="s">
        <x:v>61</x:v>
      </x:c>
    </x:row>
    <x:row r="109" ht="42">
      <x:c r="A109" s="3" t="s">
        <x:v>882</x:v>
      </x:c>
      <x:c r="B109" s="3" t="s">
        <x:v>685</x:v>
      </x:c>
      <x:c r="C109" s="3" t="s">
        <x:v>157</x:v>
      </x:c>
      <x:c r="D109" s="3" t="s">
        <x:v>158</x:v>
      </x:c>
      <x:c r="E109" s="3" t="s">
        <x:v>159</x:v>
      </x:c>
      <x:c r="F109" s="9"/>
      <x:c r="G109" s="9">
        <x:v>515000</x:v>
      </x:c>
      <x:c r="H109" s="9"/>
      <x:c r="I109" s="3" t="s">
        <x:v>431</x:v>
      </x:c>
      <x:c r="J109" s="9"/>
      <x:c r="K109" s="11">
        <x:v>515000</x:v>
      </x:c>
      <x:c r="L109" s="11"/>
      <x:c r="M109" s="11"/>
      <x:c r="N109" s="11"/>
      <x:c r="O109" s="11">
        <x:v>515000</x:v>
      </x:c>
      <x:c r="P109" s="11">
        <x:v>46350000</x:v>
      </x:c>
      <x:c r="Q109" s="14">
        <x:f t="shared" si="1"/>
        <x:v>1.1111111111111112</x:v>
      </x:c>
      <x:c r="R109" s="13" t="s">
        <x:v>511</x:v>
      </x:c>
      <x:c r="S109" s="3" t="s">
        <x:v>819</x:v>
      </x:c>
      <x:c r="T109" s="3" t="s">
        <x:v>513</x:v>
      </x:c>
      <x:c r="U109" s="3" t="s">
        <x:v>583</x:v>
      </x:c>
      <x:c r="V109" s="3" t="s">
        <x:v>584</x:v>
      </x:c>
      <x:c r="W109" s="3" t="s">
        <x:v>860</x:v>
      </x:c>
      <x:c r="X109" s="3" t="s">
        <x:v>861</x:v>
      </x:c>
      <x:c r="Y109" s="8" t="s">
        <x:v>61</x:v>
      </x:c>
    </x:row>
    <x:row r="110" ht="28">
      <x:c r="A110" s="3" t="s">
        <x:v>883</x:v>
      </x:c>
      <x:c r="B110" s="3" t="s">
        <x:v>685</x:v>
      </x:c>
      <x:c r="C110" s="3" t="s">
        <x:v>162</x:v>
      </x:c>
      <x:c r="D110" s="3" t="s">
        <x:v>163</x:v>
      </x:c>
      <x:c r="E110" s="3" t="s">
        <x:v>164</x:v>
      </x:c>
      <x:c r="F110" s="9"/>
      <x:c r="G110" s="9">
        <x:v>274667</x:v>
      </x:c>
      <x:c r="H110" s="9"/>
      <x:c r="I110" s="3" t="s">
        <x:v>431</x:v>
      </x:c>
      <x:c r="J110" s="9"/>
      <x:c r="K110" s="11">
        <x:v>274667</x:v>
      </x:c>
      <x:c r="L110" s="11"/>
      <x:c r="M110" s="11"/>
      <x:c r="N110" s="11"/>
      <x:c r="O110" s="11">
        <x:v>274667</x:v>
      </x:c>
      <x:c r="P110" s="11">
        <x:v>46350000</x:v>
      </x:c>
      <x:c r="Q110" s="14">
        <x:f t="shared" si="1"/>
        <x:v>0.59259331175836027</x:v>
      </x:c>
      <x:c r="R110" s="13" t="s">
        <x:v>511</x:v>
      </x:c>
      <x:c r="S110" s="3" t="s">
        <x:v>819</x:v>
      </x:c>
      <x:c r="T110" s="3" t="s">
        <x:v>513</x:v>
      </x:c>
      <x:c r="U110" s="3" t="s">
        <x:v>583</x:v>
      </x:c>
      <x:c r="V110" s="3" t="s">
        <x:v>584</x:v>
      </x:c>
      <x:c r="W110" s="3" t="s">
        <x:v>860</x:v>
      </x:c>
      <x:c r="X110" s="3" t="s">
        <x:v>861</x:v>
      </x:c>
      <x:c r="Y110" s="8" t="s">
        <x:v>61</x:v>
      </x:c>
    </x:row>
    <x:row r="111" ht="28">
      <x:c r="A111" s="3" t="s">
        <x:v>884</x:v>
      </x:c>
      <x:c r="B111" s="3" t="s">
        <x:v>685</x:v>
      </x:c>
      <x:c r="C111" s="3" t="s">
        <x:v>166</x:v>
      </x:c>
      <x:c r="D111" s="3" t="s">
        <x:v>167</x:v>
      </x:c>
      <x:c r="E111" s="3" t="s">
        <x:v>168</x:v>
      </x:c>
      <x:c r="F111" s="9"/>
      <x:c r="G111" s="9">
        <x:v>369083</x:v>
      </x:c>
      <x:c r="H111" s="9"/>
      <x:c r="I111" s="3" t="s">
        <x:v>431</x:v>
      </x:c>
      <x:c r="J111" s="9"/>
      <x:c r="K111" s="11">
        <x:v>369083</x:v>
      </x:c>
      <x:c r="L111" s="11"/>
      <x:c r="M111" s="11"/>
      <x:c r="N111" s="11"/>
      <x:c r="O111" s="11">
        <x:v>369083</x:v>
      </x:c>
      <x:c r="P111" s="11">
        <x:v>46350000</x:v>
      </x:c>
      <x:c r="Q111" s="14">
        <x:f t="shared" si="1"/>
        <x:v>0.79629557713052856</x:v>
      </x:c>
      <x:c r="R111" s="13" t="s">
        <x:v>511</x:v>
      </x:c>
      <x:c r="S111" s="3" t="s">
        <x:v>819</x:v>
      </x:c>
      <x:c r="T111" s="3" t="s">
        <x:v>513</x:v>
      </x:c>
      <x:c r="U111" s="3" t="s">
        <x:v>583</x:v>
      </x:c>
      <x:c r="V111" s="3" t="s">
        <x:v>584</x:v>
      </x:c>
      <x:c r="W111" s="3" t="s">
        <x:v>860</x:v>
      </x:c>
      <x:c r="X111" s="3" t="s">
        <x:v>861</x:v>
      </x:c>
      <x:c r="Y111" s="8" t="s">
        <x:v>61</x:v>
      </x:c>
    </x:row>
    <x:row r="112" ht="28">
      <x:c r="A112" s="3" t="s">
        <x:v>885</x:v>
      </x:c>
      <x:c r="B112" s="3" t="s">
        <x:v>687</x:v>
      </x:c>
      <x:c r="C112" s="3" t="s">
        <x:v>67</x:v>
      </x:c>
      <x:c r="D112" s="3" t="s">
        <x:v>68</x:v>
      </x:c>
      <x:c r="E112" s="3" t="s">
        <x:v>68</x:v>
      </x:c>
      <x:c r="F112" s="9"/>
      <x:c r="G112" s="9">
        <x:v>17096750</x:v>
      </x:c>
      <x:c r="H112" s="9"/>
      <x:c r="I112" s="3" t="s">
        <x:v>431</x:v>
      </x:c>
      <x:c r="J112" s="9"/>
      <x:c r="K112" s="11">
        <x:v>17096750</x:v>
      </x:c>
      <x:c r="L112" s="11"/>
      <x:c r="M112" s="11"/>
      <x:c r="N112" s="11"/>
      <x:c r="O112" s="11">
        <x:v>17096750</x:v>
      </x:c>
      <x:c r="P112" s="11">
        <x:v>47480488</x:v>
      </x:c>
      <x:c r="Q112" s="14">
        <x:f t="shared" si="1"/>
        <x:v>36.007949202207016</x:v>
      </x:c>
      <x:c r="R112" s="13" t="s">
        <x:v>688</x:v>
      </x:c>
      <x:c r="S112" s="3" t="s">
        <x:v>819</x:v>
      </x:c>
      <x:c r="T112" s="3" t="s">
        <x:v>433</x:v>
      </x:c>
      <x:c r="U112" s="3" t="s">
        <x:v>689</x:v>
      </x:c>
      <x:c r="V112" s="3" t="s">
        <x:v>583</x:v>
      </x:c>
      <x:c r="W112" s="3" t="s">
        <x:v>886</x:v>
      </x:c>
      <x:c r="X112" s="3" t="s">
        <x:v>887</x:v>
      </x:c>
      <x:c r="Y112" s="8" t="s">
        <x:v>61</x:v>
      </x:c>
    </x:row>
    <x:row r="113" ht="28">
      <x:c r="A113" s="3" t="s">
        <x:v>888</x:v>
      </x:c>
      <x:c r="B113" s="3" t="s">
        <x:v>687</x:v>
      </x:c>
      <x:c r="C113" s="3" t="s">
        <x:v>62</x:v>
      </x:c>
      <x:c r="D113" s="3" t="s">
        <x:v>63</x:v>
      </x:c>
      <x:c r="E113" s="3" t="s">
        <x:v>63</x:v>
      </x:c>
      <x:c r="F113" s="9"/>
      <x:c r="G113" s="9">
        <x:v>6949860</x:v>
      </x:c>
      <x:c r="H113" s="9"/>
      <x:c r="I113" s="3" t="s">
        <x:v>431</x:v>
      </x:c>
      <x:c r="J113" s="9"/>
      <x:c r="K113" s="11">
        <x:v>6949860</x:v>
      </x:c>
      <x:c r="L113" s="11"/>
      <x:c r="M113" s="11"/>
      <x:c r="N113" s="11"/>
      <x:c r="O113" s="11">
        <x:v>6949860</x:v>
      </x:c>
      <x:c r="P113" s="11">
        <x:v>47480488</x:v>
      </x:c>
      <x:c r="Q113" s="14">
        <x:f t="shared" si="1"/>
        <x:v>14.637296903940836</x:v>
      </x:c>
      <x:c r="R113" s="13" t="s">
        <x:v>688</x:v>
      </x:c>
      <x:c r="S113" s="3" t="s">
        <x:v>819</x:v>
      </x:c>
      <x:c r="T113" s="3" t="s">
        <x:v>433</x:v>
      </x:c>
      <x:c r="U113" s="3" t="s">
        <x:v>689</x:v>
      </x:c>
      <x:c r="V113" s="3" t="s">
        <x:v>583</x:v>
      </x:c>
      <x:c r="W113" s="3" t="s">
        <x:v>886</x:v>
      </x:c>
      <x:c r="X113" s="3" t="s">
        <x:v>887</x:v>
      </x:c>
      <x:c r="Y113" s="8" t="s">
        <x:v>61</x:v>
      </x:c>
    </x:row>
    <x:row r="114" ht="28">
      <x:c r="A114" s="3" t="s">
        <x:v>889</x:v>
      </x:c>
      <x:c r="B114" s="3" t="s">
        <x:v>687</x:v>
      </x:c>
      <x:c r="C114" s="3" t="s">
        <x:v>78</x:v>
      </x:c>
      <x:c r="D114" s="3" t="s">
        <x:v>79</x:v>
      </x:c>
      <x:c r="E114" s="3" t="s">
        <x:v>80</x:v>
      </x:c>
      <x:c r="F114" s="9"/>
      <x:c r="G114" s="9">
        <x:v>5004000</x:v>
      </x:c>
      <x:c r="H114" s="9"/>
      <x:c r="I114" s="3" t="s">
        <x:v>431</x:v>
      </x:c>
      <x:c r="J114" s="9"/>
      <x:c r="K114" s="11">
        <x:v>5004000</x:v>
      </x:c>
      <x:c r="L114" s="11"/>
      <x:c r="M114" s="11"/>
      <x:c r="N114" s="11"/>
      <x:c r="O114" s="11">
        <x:v>5004000</x:v>
      </x:c>
      <x:c r="P114" s="11">
        <x:v>47480488</x:v>
      </x:c>
      <x:c r="Q114" s="14">
        <x:f t="shared" si="1"/>
        <x:v>10.539066068571156</x:v>
      </x:c>
      <x:c r="R114" s="13" t="s">
        <x:v>688</x:v>
      </x:c>
      <x:c r="S114" s="3" t="s">
        <x:v>819</x:v>
      </x:c>
      <x:c r="T114" s="3" t="s">
        <x:v>433</x:v>
      </x:c>
      <x:c r="U114" s="3" t="s">
        <x:v>689</x:v>
      </x:c>
      <x:c r="V114" s="3" t="s">
        <x:v>583</x:v>
      </x:c>
      <x:c r="W114" s="3" t="s">
        <x:v>886</x:v>
      </x:c>
      <x:c r="X114" s="3" t="s">
        <x:v>887</x:v>
      </x:c>
      <x:c r="Y114" s="8" t="s">
        <x:v>61</x:v>
      </x:c>
    </x:row>
    <x:row r="115" ht="28">
      <x:c r="A115" s="3" t="s">
        <x:v>890</x:v>
      </x:c>
      <x:c r="B115" s="3" t="s">
        <x:v>687</x:v>
      </x:c>
      <x:c r="C115" s="3" t="s">
        <x:v>89</x:v>
      </x:c>
      <x:c r="D115" s="3" t="s">
        <x:v>90</x:v>
      </x:c>
      <x:c r="E115" s="3" t="s">
        <x:v>91</x:v>
      </x:c>
      <x:c r="F115" s="9"/>
      <x:c r="G115" s="9">
        <x:v>2835320</x:v>
      </x:c>
      <x:c r="H115" s="9"/>
      <x:c r="I115" s="3" t="s">
        <x:v>431</x:v>
      </x:c>
      <x:c r="J115" s="9"/>
      <x:c r="K115" s="11">
        <x:v>2835320</x:v>
      </x:c>
      <x:c r="L115" s="11"/>
      <x:c r="M115" s="11"/>
      <x:c r="N115" s="11"/>
      <x:c r="O115" s="11">
        <x:v>2835320</x:v>
      </x:c>
      <x:c r="P115" s="11">
        <x:v>47480488</x:v>
      </x:c>
      <x:c r="Q115" s="14">
        <x:f t="shared" si="1"/>
        <x:v>5.9715477229298912</x:v>
      </x:c>
      <x:c r="R115" s="13" t="s">
        <x:v>688</x:v>
      </x:c>
      <x:c r="S115" s="3" t="s">
        <x:v>819</x:v>
      </x:c>
      <x:c r="T115" s="3" t="s">
        <x:v>433</x:v>
      </x:c>
      <x:c r="U115" s="3" t="s">
        <x:v>689</x:v>
      </x:c>
      <x:c r="V115" s="3" t="s">
        <x:v>583</x:v>
      </x:c>
      <x:c r="W115" s="3" t="s">
        <x:v>886</x:v>
      </x:c>
      <x:c r="X115" s="3" t="s">
        <x:v>887</x:v>
      </x:c>
      <x:c r="Y115" s="8" t="s">
        <x:v>61</x:v>
      </x:c>
    </x:row>
    <x:row r="116" ht="28">
      <x:c r="A116" s="3" t="s">
        <x:v>891</x:v>
      </x:c>
      <x:c r="B116" s="3" t="s">
        <x:v>687</x:v>
      </x:c>
      <x:c r="C116" s="3" t="s">
        <x:v>85</x:v>
      </x:c>
      <x:c r="D116" s="3" t="s">
        <x:v>86</x:v>
      </x:c>
      <x:c r="E116" s="3" t="s">
        <x:v>87</x:v>
      </x:c>
      <x:c r="F116" s="9"/>
      <x:c r="G116" s="9">
        <x:v>2502000</x:v>
      </x:c>
      <x:c r="H116" s="9"/>
      <x:c r="I116" s="3" t="s">
        <x:v>431</x:v>
      </x:c>
      <x:c r="J116" s="9"/>
      <x:c r="K116" s="11">
        <x:v>2502000</x:v>
      </x:c>
      <x:c r="L116" s="11"/>
      <x:c r="M116" s="11"/>
      <x:c r="N116" s="11"/>
      <x:c r="O116" s="11">
        <x:v>2502000</x:v>
      </x:c>
      <x:c r="P116" s="11">
        <x:v>47480488</x:v>
      </x:c>
      <x:c r="Q116" s="14">
        <x:f t="shared" si="1"/>
        <x:v>5.269533034285578</x:v>
      </x:c>
      <x:c r="R116" s="13" t="s">
        <x:v>688</x:v>
      </x:c>
      <x:c r="S116" s="3" t="s">
        <x:v>819</x:v>
      </x:c>
      <x:c r="T116" s="3" t="s">
        <x:v>433</x:v>
      </x:c>
      <x:c r="U116" s="3" t="s">
        <x:v>689</x:v>
      </x:c>
      <x:c r="V116" s="3" t="s">
        <x:v>583</x:v>
      </x:c>
      <x:c r="W116" s="3" t="s">
        <x:v>886</x:v>
      </x:c>
      <x:c r="X116" s="3" t="s">
        <x:v>887</x:v>
      </x:c>
      <x:c r="Y116" s="8" t="s">
        <x:v>61</x:v>
      </x:c>
    </x:row>
    <x:row r="117" ht="28">
      <x:c r="A117" s="3" t="s">
        <x:v>892</x:v>
      </x:c>
      <x:c r="B117" s="3" t="s">
        <x:v>687</x:v>
      </x:c>
      <x:c r="C117" s="3" t="s">
        <x:v>70</x:v>
      </x:c>
      <x:c r="D117" s="3" t="s">
        <x:v>71</x:v>
      </x:c>
      <x:c r="E117" s="3" t="s">
        <x:v>72</x:v>
      </x:c>
      <x:c r="F117" s="9"/>
      <x:c r="G117" s="9">
        <x:v>1053360</x:v>
      </x:c>
      <x:c r="H117" s="9"/>
      <x:c r="I117" s="3" t="s">
        <x:v>431</x:v>
      </x:c>
      <x:c r="J117" s="9"/>
      <x:c r="K117" s="11">
        <x:v>1053360</x:v>
      </x:c>
      <x:c r="L117" s="11"/>
      <x:c r="M117" s="11"/>
      <x:c r="N117" s="11"/>
      <x:c r="O117" s="11">
        <x:v>1053360</x:v>
      </x:c>
      <x:c r="P117" s="11">
        <x:v>47480488</x:v>
      </x:c>
      <x:c r="Q117" s="14">
        <x:f t="shared" si="1"/>
        <x:v>2.218511317743828</x:v>
      </x:c>
      <x:c r="R117" s="13" t="s">
        <x:v>688</x:v>
      </x:c>
      <x:c r="S117" s="3" t="s">
        <x:v>819</x:v>
      </x:c>
      <x:c r="T117" s="3" t="s">
        <x:v>433</x:v>
      </x:c>
      <x:c r="U117" s="3" t="s">
        <x:v>689</x:v>
      </x:c>
      <x:c r="V117" s="3" t="s">
        <x:v>583</x:v>
      </x:c>
      <x:c r="W117" s="3" t="s">
        <x:v>886</x:v>
      </x:c>
      <x:c r="X117" s="3" t="s">
        <x:v>887</x:v>
      </x:c>
      <x:c r="Y117" s="8" t="s">
        <x:v>61</x:v>
      </x:c>
    </x:row>
    <x:row r="118" ht="28">
      <x:c r="A118" s="3" t="s">
        <x:v>893</x:v>
      </x:c>
      <x:c r="B118" s="3" t="s">
        <x:v>687</x:v>
      </x:c>
      <x:c r="C118" s="3" t="s">
        <x:v>93</x:v>
      </x:c>
      <x:c r="D118" s="3" t="s">
        <x:v>94</x:v>
      </x:c>
      <x:c r="E118" s="3" t="s">
        <x:v>95</x:v>
      </x:c>
      <x:c r="F118" s="9"/>
      <x:c r="G118" s="9">
        <x:v>933320</x:v>
      </x:c>
      <x:c r="H118" s="9"/>
      <x:c r="I118" s="3" t="s">
        <x:v>431</x:v>
      </x:c>
      <x:c r="J118" s="9"/>
      <x:c r="K118" s="11">
        <x:v>933320</x:v>
      </x:c>
      <x:c r="L118" s="11"/>
      <x:c r="M118" s="11"/>
      <x:c r="N118" s="11"/>
      <x:c r="O118" s="11">
        <x:v>933320</x:v>
      </x:c>
      <x:c r="P118" s="11">
        <x:v>47480488</x:v>
      </x:c>
      <x:c r="Q118" s="14">
        <x:f t="shared" si="1"/>
        <x:v>1.9656916752835394</x:v>
      </x:c>
      <x:c r="R118" s="13" t="s">
        <x:v>688</x:v>
      </x:c>
      <x:c r="S118" s="3" t="s">
        <x:v>819</x:v>
      </x:c>
      <x:c r="T118" s="3" t="s">
        <x:v>433</x:v>
      </x:c>
      <x:c r="U118" s="3" t="s">
        <x:v>689</x:v>
      </x:c>
      <x:c r="V118" s="3" t="s">
        <x:v>583</x:v>
      </x:c>
      <x:c r="W118" s="3" t="s">
        <x:v>886</x:v>
      </x:c>
      <x:c r="X118" s="3" t="s">
        <x:v>887</x:v>
      </x:c>
      <x:c r="Y118" s="8" t="s">
        <x:v>61</x:v>
      </x:c>
    </x:row>
    <x:row r="119" ht="28">
      <x:c r="A119" s="3" t="s">
        <x:v>894</x:v>
      </x:c>
      <x:c r="B119" s="3" t="s">
        <x:v>687</x:v>
      </x:c>
      <x:c r="C119" s="3" t="s">
        <x:v>105</x:v>
      </x:c>
      <x:c r="D119" s="3" t="s">
        <x:v>106</x:v>
      </x:c>
      <x:c r="E119" s="3" t="s">
        <x:v>107</x:v>
      </x:c>
      <x:c r="F119" s="9"/>
      <x:c r="G119" s="9">
        <x:v>333320</x:v>
      </x:c>
      <x:c r="H119" s="9"/>
      <x:c r="I119" s="3" t="s">
        <x:v>431</x:v>
      </x:c>
      <x:c r="J119" s="9"/>
      <x:c r="K119" s="11">
        <x:v>333320</x:v>
      </x:c>
      <x:c r="L119" s="11"/>
      <x:c r="M119" s="11"/>
      <x:c r="N119" s="11"/>
      <x:c r="O119" s="11">
        <x:v>333320</x:v>
      </x:c>
      <x:c r="P119" s="11">
        <x:v>47480488</x:v>
      </x:c>
      <x:c r="Q119" s="14">
        <x:f t="shared" si="1"/>
        <x:v>0.70201468864431216</x:v>
      </x:c>
      <x:c r="R119" s="13" t="s">
        <x:v>688</x:v>
      </x:c>
      <x:c r="S119" s="3" t="s">
        <x:v>819</x:v>
      </x:c>
      <x:c r="T119" s="3" t="s">
        <x:v>433</x:v>
      </x:c>
      <x:c r="U119" s="3" t="s">
        <x:v>689</x:v>
      </x:c>
      <x:c r="V119" s="3" t="s">
        <x:v>583</x:v>
      </x:c>
      <x:c r="W119" s="3" t="s">
        <x:v>886</x:v>
      </x:c>
      <x:c r="X119" s="3" t="s">
        <x:v>887</x:v>
      </x:c>
      <x:c r="Y119" s="8" t="s">
        <x:v>61</x:v>
      </x:c>
    </x:row>
    <x:row r="120" ht="28">
      <x:c r="A120" s="3" t="s">
        <x:v>895</x:v>
      </x:c>
      <x:c r="B120" s="3" t="s">
        <x:v>687</x:v>
      </x:c>
      <x:c r="C120" s="3" t="s">
        <x:v>109</x:v>
      </x:c>
      <x:c r="D120" s="3" t="s">
        <x:v>110</x:v>
      </x:c>
      <x:c r="E120" s="3" t="s">
        <x:v>111</x:v>
      </x:c>
      <x:c r="F120" s="9"/>
      <x:c r="G120" s="9">
        <x:v>333320</x:v>
      </x:c>
      <x:c r="H120" s="9"/>
      <x:c r="I120" s="3" t="s">
        <x:v>431</x:v>
      </x:c>
      <x:c r="J120" s="9"/>
      <x:c r="K120" s="11">
        <x:v>333320</x:v>
      </x:c>
      <x:c r="L120" s="11"/>
      <x:c r="M120" s="11"/>
      <x:c r="N120" s="11"/>
      <x:c r="O120" s="11">
        <x:v>333320</x:v>
      </x:c>
      <x:c r="P120" s="11">
        <x:v>47480488</x:v>
      </x:c>
      <x:c r="Q120" s="14">
        <x:f t="shared" si="1"/>
        <x:v>0.70201468864431216</x:v>
      </x:c>
      <x:c r="R120" s="13" t="s">
        <x:v>688</x:v>
      </x:c>
      <x:c r="S120" s="3" t="s">
        <x:v>819</x:v>
      </x:c>
      <x:c r="T120" s="3" t="s">
        <x:v>433</x:v>
      </x:c>
      <x:c r="U120" s="3" t="s">
        <x:v>689</x:v>
      </x:c>
      <x:c r="V120" s="3" t="s">
        <x:v>583</x:v>
      </x:c>
      <x:c r="W120" s="3" t="s">
        <x:v>886</x:v>
      </x:c>
      <x:c r="X120" s="3" t="s">
        <x:v>887</x:v>
      </x:c>
      <x:c r="Y120" s="8" t="s">
        <x:v>61</x:v>
      </x:c>
    </x:row>
    <x:row r="121" ht="42">
      <x:c r="A121" s="3" t="s">
        <x:v>896</x:v>
      </x:c>
      <x:c r="B121" s="3" t="s">
        <x:v>687</x:v>
      </x:c>
      <x:c r="C121" s="3" t="s">
        <x:v>113</x:v>
      </x:c>
      <x:c r="D121" s="3" t="s">
        <x:v>114</x:v>
      </x:c>
      <x:c r="E121" s="3" t="s">
        <x:v>115</x:v>
      </x:c>
      <x:c r="F121" s="9"/>
      <x:c r="G121" s="9">
        <x:v>333320</x:v>
      </x:c>
      <x:c r="H121" s="9"/>
      <x:c r="I121" s="3" t="s">
        <x:v>431</x:v>
      </x:c>
      <x:c r="J121" s="9"/>
      <x:c r="K121" s="11">
        <x:v>333320</x:v>
      </x:c>
      <x:c r="L121" s="11"/>
      <x:c r="M121" s="11"/>
      <x:c r="N121" s="11"/>
      <x:c r="O121" s="11">
        <x:v>333320</x:v>
      </x:c>
      <x:c r="P121" s="11">
        <x:v>47480488</x:v>
      </x:c>
      <x:c r="Q121" s="14">
        <x:f t="shared" si="1"/>
        <x:v>0.70201468864431216</x:v>
      </x:c>
      <x:c r="R121" s="13" t="s">
        <x:v>688</x:v>
      </x:c>
      <x:c r="S121" s="3" t="s">
        <x:v>819</x:v>
      </x:c>
      <x:c r="T121" s="3" t="s">
        <x:v>433</x:v>
      </x:c>
      <x:c r="U121" s="3" t="s">
        <x:v>689</x:v>
      </x:c>
      <x:c r="V121" s="3" t="s">
        <x:v>583</x:v>
      </x:c>
      <x:c r="W121" s="3" t="s">
        <x:v>886</x:v>
      </x:c>
      <x:c r="X121" s="3" t="s">
        <x:v>887</x:v>
      </x:c>
      <x:c r="Y121" s="8" t="s">
        <x:v>61</x:v>
      </x:c>
    </x:row>
    <x:row r="122" ht="28">
      <x:c r="A122" s="3" t="s">
        <x:v>897</x:v>
      </x:c>
      <x:c r="B122" s="3" t="s">
        <x:v>687</x:v>
      </x:c>
      <x:c r="C122" s="3" t="s">
        <x:v>117</x:v>
      </x:c>
      <x:c r="D122" s="3" t="s">
        <x:v>118</x:v>
      </x:c>
      <x:c r="E122" s="3" t="s">
        <x:v>119</x:v>
      </x:c>
      <x:c r="F122" s="9"/>
      <x:c r="G122" s="9">
        <x:v>666680</x:v>
      </x:c>
      <x:c r="H122" s="9"/>
      <x:c r="I122" s="3" t="s">
        <x:v>431</x:v>
      </x:c>
      <x:c r="J122" s="9"/>
      <x:c r="K122" s="11">
        <x:v>666680</x:v>
      </x:c>
      <x:c r="L122" s="11"/>
      <x:c r="M122" s="11"/>
      <x:c r="N122" s="11"/>
      <x:c r="O122" s="11">
        <x:v>666680</x:v>
      </x:c>
      <x:c r="P122" s="11">
        <x:v>47480488</x:v>
      </x:c>
      <x:c r="Q122" s="14">
        <x:f t="shared" si="1"/>
        <x:v>1.4041136224210671</x:v>
      </x:c>
      <x:c r="R122" s="13" t="s">
        <x:v>688</x:v>
      </x:c>
      <x:c r="S122" s="3" t="s">
        <x:v>819</x:v>
      </x:c>
      <x:c r="T122" s="3" t="s">
        <x:v>433</x:v>
      </x:c>
      <x:c r="U122" s="3" t="s">
        <x:v>689</x:v>
      </x:c>
      <x:c r="V122" s="3" t="s">
        <x:v>583</x:v>
      </x:c>
      <x:c r="W122" s="3" t="s">
        <x:v>886</x:v>
      </x:c>
      <x:c r="X122" s="3" t="s">
        <x:v>887</x:v>
      </x:c>
      <x:c r="Y122" s="8" t="s">
        <x:v>61</x:v>
      </x:c>
    </x:row>
    <x:row r="123" ht="42">
      <x:c r="A123" s="3" t="s">
        <x:v>898</x:v>
      </x:c>
      <x:c r="B123" s="3" t="s">
        <x:v>687</x:v>
      </x:c>
      <x:c r="C123" s="3" t="s">
        <x:v>122</x:v>
      </x:c>
      <x:c r="D123" s="3" t="s">
        <x:v>123</x:v>
      </x:c>
      <x:c r="E123" s="3" t="s">
        <x:v>124</x:v>
      </x:c>
      <x:c r="F123" s="9"/>
      <x:c r="G123" s="9">
        <x:v>2544787</x:v>
      </x:c>
      <x:c r="H123" s="9"/>
      <x:c r="I123" s="3" t="s">
        <x:v>431</x:v>
      </x:c>
      <x:c r="J123" s="9"/>
      <x:c r="K123" s="11">
        <x:v>2544787</x:v>
      </x:c>
      <x:c r="L123" s="11"/>
      <x:c r="M123" s="11"/>
      <x:c r="N123" s="11"/>
      <x:c r="O123" s="11">
        <x:v>2544787</x:v>
      </x:c>
      <x:c r="P123" s="11">
        <x:v>47480488</x:v>
      </x:c>
      <x:c r="Q123" s="14">
        <x:f t="shared" si="1"/>
        <x:v>5.3596479463311333</x:v>
      </x:c>
      <x:c r="R123" s="13" t="s">
        <x:v>688</x:v>
      </x:c>
      <x:c r="S123" s="3" t="s">
        <x:v>819</x:v>
      </x:c>
      <x:c r="T123" s="3" t="s">
        <x:v>433</x:v>
      </x:c>
      <x:c r="U123" s="3" t="s">
        <x:v>689</x:v>
      </x:c>
      <x:c r="V123" s="3" t="s">
        <x:v>583</x:v>
      </x:c>
      <x:c r="W123" s="3" t="s">
        <x:v>886</x:v>
      </x:c>
      <x:c r="X123" s="3" t="s">
        <x:v>887</x:v>
      </x:c>
      <x:c r="Y123" s="8" t="s">
        <x:v>61</x:v>
      </x:c>
    </x:row>
    <x:row r="124" ht="28">
      <x:c r="A124" s="3" t="s">
        <x:v>899</x:v>
      </x:c>
      <x:c r="B124" s="3" t="s">
        <x:v>687</x:v>
      </x:c>
      <x:c r="C124" s="3" t="s">
        <x:v>128</x:v>
      </x:c>
      <x:c r="D124" s="3" t="s">
        <x:v>129</x:v>
      </x:c>
      <x:c r="E124" s="3" t="s">
        <x:v>130</x:v>
      </x:c>
      <x:c r="F124" s="9"/>
      <x:c r="G124" s="9">
        <x:v>618000</x:v>
      </x:c>
      <x:c r="H124" s="9"/>
      <x:c r="I124" s="3" t="s">
        <x:v>431</x:v>
      </x:c>
      <x:c r="J124" s="9"/>
      <x:c r="K124" s="11">
        <x:v>618000</x:v>
      </x:c>
      <x:c r="L124" s="11"/>
      <x:c r="M124" s="11"/>
      <x:c r="N124" s="11"/>
      <x:c r="O124" s="11">
        <x:v>618000</x:v>
      </x:c>
      <x:c r="P124" s="11">
        <x:v>47480488</x:v>
      </x:c>
      <x:c r="Q124" s="14">
        <x:f t="shared" si="1"/>
        <x:v>1.3015872962384043</x:v>
      </x:c>
      <x:c r="R124" s="13" t="s">
        <x:v>688</x:v>
      </x:c>
      <x:c r="S124" s="3" t="s">
        <x:v>819</x:v>
      </x:c>
      <x:c r="T124" s="3" t="s">
        <x:v>433</x:v>
      </x:c>
      <x:c r="U124" s="3" t="s">
        <x:v>689</x:v>
      </x:c>
      <x:c r="V124" s="3" t="s">
        <x:v>583</x:v>
      </x:c>
      <x:c r="W124" s="3" t="s">
        <x:v>886</x:v>
      </x:c>
      <x:c r="X124" s="3" t="s">
        <x:v>887</x:v>
      </x:c>
      <x:c r="Y124" s="8" t="s">
        <x:v>61</x:v>
      </x:c>
    </x:row>
    <x:row r="125" ht="28">
      <x:c r="A125" s="3" t="s">
        <x:v>900</x:v>
      </x:c>
      <x:c r="B125" s="3" t="s">
        <x:v>687</x:v>
      </x:c>
      <x:c r="C125" s="3" t="s">
        <x:v>132</x:v>
      </x:c>
      <x:c r="D125" s="3" t="s">
        <x:v>133</x:v>
      </x:c>
      <x:c r="E125" s="3" t="s">
        <x:v>134</x:v>
      </x:c>
      <x:c r="F125" s="9"/>
      <x:c r="G125" s="9">
        <x:v>543840</x:v>
      </x:c>
      <x:c r="H125" s="9"/>
      <x:c r="I125" s="3" t="s">
        <x:v>431</x:v>
      </x:c>
      <x:c r="J125" s="9"/>
      <x:c r="K125" s="11">
        <x:v>543840</x:v>
      </x:c>
      <x:c r="L125" s="11"/>
      <x:c r="M125" s="11"/>
      <x:c r="N125" s="11"/>
      <x:c r="O125" s="11">
        <x:v>543840</x:v>
      </x:c>
      <x:c r="P125" s="11">
        <x:v>47480488</x:v>
      </x:c>
      <x:c r="Q125" s="14">
        <x:f t="shared" si="1"/>
        <x:v>1.1453968206897958</x:v>
      </x:c>
      <x:c r="R125" s="13" t="s">
        <x:v>688</x:v>
      </x:c>
      <x:c r="S125" s="3" t="s">
        <x:v>819</x:v>
      </x:c>
      <x:c r="T125" s="3" t="s">
        <x:v>433</x:v>
      </x:c>
      <x:c r="U125" s="3" t="s">
        <x:v>689</x:v>
      </x:c>
      <x:c r="V125" s="3" t="s">
        <x:v>583</x:v>
      </x:c>
      <x:c r="W125" s="3" t="s">
        <x:v>886</x:v>
      </x:c>
      <x:c r="X125" s="3" t="s">
        <x:v>887</x:v>
      </x:c>
      <x:c r="Y125" s="8" t="s">
        <x:v>61</x:v>
      </x:c>
    </x:row>
    <x:row r="126" ht="28">
      <x:c r="A126" s="3" t="s">
        <x:v>901</x:v>
      </x:c>
      <x:c r="B126" s="3" t="s">
        <x:v>687</x:v>
      </x:c>
      <x:c r="C126" s="3" t="s">
        <x:v>136</x:v>
      </x:c>
      <x:c r="D126" s="3" t="s">
        <x:v>137</x:v>
      </x:c>
      <x:c r="E126" s="3" t="s">
        <x:v>137</x:v>
      </x:c>
      <x:c r="F126" s="9"/>
      <x:c r="G126" s="9">
        <x:v>70040</x:v>
      </x:c>
      <x:c r="H126" s="9"/>
      <x:c r="I126" s="3" t="s">
        <x:v>431</x:v>
      </x:c>
      <x:c r="J126" s="9"/>
      <x:c r="K126" s="11">
        <x:v>70040</x:v>
      </x:c>
      <x:c r="L126" s="11"/>
      <x:c r="M126" s="11"/>
      <x:c r="N126" s="11"/>
      <x:c r="O126" s="11">
        <x:v>70040</x:v>
      </x:c>
      <x:c r="P126" s="11">
        <x:v>47480488</x:v>
      </x:c>
      <x:c r="Q126" s="14">
        <x:f t="shared" si="1"/>
        <x:v>0.14751322690701915</x:v>
      </x:c>
      <x:c r="R126" s="13" t="s">
        <x:v>688</x:v>
      </x:c>
      <x:c r="S126" s="3" t="s">
        <x:v>819</x:v>
      </x:c>
      <x:c r="T126" s="3" t="s">
        <x:v>433</x:v>
      </x:c>
      <x:c r="U126" s="3" t="s">
        <x:v>689</x:v>
      </x:c>
      <x:c r="V126" s="3" t="s">
        <x:v>583</x:v>
      </x:c>
      <x:c r="W126" s="3" t="s">
        <x:v>886</x:v>
      </x:c>
      <x:c r="X126" s="3" t="s">
        <x:v>887</x:v>
      </x:c>
      <x:c r="Y126" s="8" t="s">
        <x:v>61</x:v>
      </x:c>
    </x:row>
    <x:row r="127" ht="42">
      <x:c r="A127" s="3" t="s">
        <x:v>902</x:v>
      </x:c>
      <x:c r="B127" s="3" t="s">
        <x:v>687</x:v>
      </x:c>
      <x:c r="C127" s="3" t="s">
        <x:v>138</x:v>
      </x:c>
      <x:c r="D127" s="3" t="s">
        <x:v>139</x:v>
      </x:c>
      <x:c r="E127" s="3" t="s">
        <x:v>140</x:v>
      </x:c>
      <x:c r="F127" s="9"/>
      <x:c r="G127" s="9">
        <x:v>1030000</x:v>
      </x:c>
      <x:c r="H127" s="9"/>
      <x:c r="I127" s="3" t="s">
        <x:v>431</x:v>
      </x:c>
      <x:c r="J127" s="9"/>
      <x:c r="K127" s="11">
        <x:v>1030000</x:v>
      </x:c>
      <x:c r="L127" s="11"/>
      <x:c r="M127" s="11"/>
      <x:c r="N127" s="11"/>
      <x:c r="O127" s="11">
        <x:v>1030000</x:v>
      </x:c>
      <x:c r="P127" s="11">
        <x:v>47480488</x:v>
      </x:c>
      <x:c r="Q127" s="14">
        <x:f t="shared" si="1"/>
        <x:v>2.1693121603973404</x:v>
      </x:c>
      <x:c r="R127" s="13" t="s">
        <x:v>688</x:v>
      </x:c>
      <x:c r="S127" s="3" t="s">
        <x:v>819</x:v>
      </x:c>
      <x:c r="T127" s="3" t="s">
        <x:v>433</x:v>
      </x:c>
      <x:c r="U127" s="3" t="s">
        <x:v>689</x:v>
      </x:c>
      <x:c r="V127" s="3" t="s">
        <x:v>583</x:v>
      </x:c>
      <x:c r="W127" s="3" t="s">
        <x:v>886</x:v>
      </x:c>
      <x:c r="X127" s="3" t="s">
        <x:v>887</x:v>
      </x:c>
      <x:c r="Y127" s="8" t="s">
        <x:v>61</x:v>
      </x:c>
    </x:row>
    <x:row r="128" ht="28">
      <x:c r="A128" s="3" t="s">
        <x:v>903</x:v>
      </x:c>
      <x:c r="B128" s="3" t="s">
        <x:v>687</x:v>
      </x:c>
      <x:c r="C128" s="3" t="s">
        <x:v>142</x:v>
      </x:c>
      <x:c r="D128" s="3" t="s">
        <x:v>143</x:v>
      </x:c>
      <x:c r="E128" s="3" t="s">
        <x:v>144</x:v>
      </x:c>
      <x:c r="F128" s="9"/>
      <x:c r="G128" s="9">
        <x:v>343333</x:v>
      </x:c>
      <x:c r="H128" s="9"/>
      <x:c r="I128" s="3" t="s">
        <x:v>431</x:v>
      </x:c>
      <x:c r="J128" s="9"/>
      <x:c r="K128" s="11">
        <x:v>343333</x:v>
      </x:c>
      <x:c r="L128" s="11"/>
      <x:c r="M128" s="11"/>
      <x:c r="N128" s="11"/>
      <x:c r="O128" s="11">
        <x:v>343333</x:v>
      </x:c>
      <x:c r="P128" s="11">
        <x:v>47480488</x:v>
      </x:c>
      <x:c r="Q128" s="14">
        <x:f t="shared" si="1"/>
        <x:v>0.72310335142300985</x:v>
      </x:c>
      <x:c r="R128" s="13" t="s">
        <x:v>688</x:v>
      </x:c>
      <x:c r="S128" s="3" t="s">
        <x:v>819</x:v>
      </x:c>
      <x:c r="T128" s="3" t="s">
        <x:v>433</x:v>
      </x:c>
      <x:c r="U128" s="3" t="s">
        <x:v>689</x:v>
      </x:c>
      <x:c r="V128" s="3" t="s">
        <x:v>583</x:v>
      </x:c>
      <x:c r="W128" s="3" t="s">
        <x:v>886</x:v>
      </x:c>
      <x:c r="X128" s="3" t="s">
        <x:v>887</x:v>
      </x:c>
      <x:c r="Y128" s="8" t="s">
        <x:v>61</x:v>
      </x:c>
    </x:row>
    <x:row r="129" ht="28">
      <x:c r="A129" s="3" t="s">
        <x:v>904</x:v>
      </x:c>
      <x:c r="B129" s="3" t="s">
        <x:v>687</x:v>
      </x:c>
      <x:c r="C129" s="3" t="s">
        <x:v>146</x:v>
      </x:c>
      <x:c r="D129" s="3" t="s">
        <x:v>147</x:v>
      </x:c>
      <x:c r="E129" s="3" t="s">
        <x:v>147</x:v>
      </x:c>
      <x:c r="F129" s="9"/>
      <x:c r="G129" s="9">
        <x:v>600000</x:v>
      </x:c>
      <x:c r="H129" s="9"/>
      <x:c r="I129" s="3" t="s">
        <x:v>431</x:v>
      </x:c>
      <x:c r="J129" s="9"/>
      <x:c r="K129" s="11">
        <x:v>600000</x:v>
      </x:c>
      <x:c r="L129" s="11"/>
      <x:c r="M129" s="11"/>
      <x:c r="N129" s="11"/>
      <x:c r="O129" s="11">
        <x:v>600000</x:v>
      </x:c>
      <x:c r="P129" s="11">
        <x:v>47480488</x:v>
      </x:c>
      <x:c r="Q129" s="14">
        <x:f t="shared" si="1"/>
        <x:v>1.2636769866392275</x:v>
      </x:c>
      <x:c r="R129" s="13" t="s">
        <x:v>688</x:v>
      </x:c>
      <x:c r="S129" s="3" t="s">
        <x:v>819</x:v>
      </x:c>
      <x:c r="T129" s="3" t="s">
        <x:v>433</x:v>
      </x:c>
      <x:c r="U129" s="3" t="s">
        <x:v>689</x:v>
      </x:c>
      <x:c r="V129" s="3" t="s">
        <x:v>583</x:v>
      </x:c>
      <x:c r="W129" s="3" t="s">
        <x:v>886</x:v>
      </x:c>
      <x:c r="X129" s="3" t="s">
        <x:v>887</x:v>
      </x:c>
      <x:c r="Y129" s="8" t="s">
        <x:v>61</x:v>
      </x:c>
    </x:row>
    <x:row r="130" ht="28">
      <x:c r="A130" s="3" t="s">
        <x:v>905</x:v>
      </x:c>
      <x:c r="B130" s="3" t="s">
        <x:v>687</x:v>
      </x:c>
      <x:c r="C130" s="3" t="s">
        <x:v>150</x:v>
      </x:c>
      <x:c r="D130" s="3" t="s">
        <x:v>151</x:v>
      </x:c>
      <x:c r="E130" s="3" t="s">
        <x:v>151</x:v>
      </x:c>
      <x:c r="F130" s="9"/>
      <x:c r="G130" s="9">
        <x:v>600000</x:v>
      </x:c>
      <x:c r="H130" s="9"/>
      <x:c r="I130" s="3" t="s">
        <x:v>431</x:v>
      </x:c>
      <x:c r="J130" s="9"/>
      <x:c r="K130" s="11">
        <x:v>600000</x:v>
      </x:c>
      <x:c r="L130" s="11"/>
      <x:c r="M130" s="11"/>
      <x:c r="N130" s="11"/>
      <x:c r="O130" s="11">
        <x:v>600000</x:v>
      </x:c>
      <x:c r="P130" s="11">
        <x:v>47480488</x:v>
      </x:c>
      <x:c r="Q130" s="14">
        <x:f t="shared" si="1"/>
        <x:v>1.2636769866392275</x:v>
      </x:c>
      <x:c r="R130" s="13" t="s">
        <x:v>688</x:v>
      </x:c>
      <x:c r="S130" s="3" t="s">
        <x:v>819</x:v>
      </x:c>
      <x:c r="T130" s="3" t="s">
        <x:v>433</x:v>
      </x:c>
      <x:c r="U130" s="3" t="s">
        <x:v>689</x:v>
      </x:c>
      <x:c r="V130" s="3" t="s">
        <x:v>583</x:v>
      </x:c>
      <x:c r="W130" s="3" t="s">
        <x:v>886</x:v>
      </x:c>
      <x:c r="X130" s="3" t="s">
        <x:v>887</x:v>
      </x:c>
      <x:c r="Y130" s="8" t="s">
        <x:v>61</x:v>
      </x:c>
    </x:row>
    <x:row r="131" ht="28">
      <x:c r="A131" s="3" t="s">
        <x:v>906</x:v>
      </x:c>
      <x:c r="B131" s="3" t="s">
        <x:v>687</x:v>
      </x:c>
      <x:c r="C131" s="3" t="s">
        <x:v>152</x:v>
      </x:c>
      <x:c r="D131" s="3" t="s">
        <x:v>153</x:v>
      </x:c>
      <x:c r="E131" s="3" t="s">
        <x:v>153</x:v>
      </x:c>
      <x:c r="F131" s="9"/>
      <x:c r="G131" s="9">
        <x:v>200000</x:v>
      </x:c>
      <x:c r="H131" s="9"/>
      <x:c r="I131" s="3" t="s">
        <x:v>431</x:v>
      </x:c>
      <x:c r="J131" s="9"/>
      <x:c r="K131" s="11">
        <x:v>200000</x:v>
      </x:c>
      <x:c r="L131" s="11"/>
      <x:c r="M131" s="11"/>
      <x:c r="N131" s="11"/>
      <x:c r="O131" s="11">
        <x:v>200000</x:v>
      </x:c>
      <x:c r="P131" s="11">
        <x:v>47480488</x:v>
      </x:c>
      <x:c r="Q131" s="14">
        <x:f t="shared" si="1"/>
        <x:v>0.42122566221307584</x:v>
      </x:c>
      <x:c r="R131" s="13" t="s">
        <x:v>688</x:v>
      </x:c>
      <x:c r="S131" s="3" t="s">
        <x:v>819</x:v>
      </x:c>
      <x:c r="T131" s="3" t="s">
        <x:v>433</x:v>
      </x:c>
      <x:c r="U131" s="3" t="s">
        <x:v>689</x:v>
      </x:c>
      <x:c r="V131" s="3" t="s">
        <x:v>583</x:v>
      </x:c>
      <x:c r="W131" s="3" t="s">
        <x:v>886</x:v>
      </x:c>
      <x:c r="X131" s="3" t="s">
        <x:v>887</x:v>
      </x:c>
      <x:c r="Y131" s="8" t="s">
        <x:v>61</x:v>
      </x:c>
    </x:row>
    <x:row r="132" ht="28">
      <x:c r="A132" s="3" t="s">
        <x:v>907</x:v>
      </x:c>
      <x:c r="B132" s="3" t="s">
        <x:v>687</x:v>
      </x:c>
      <x:c r="C132" s="3" t="s">
        <x:v>155</x:v>
      </x:c>
      <x:c r="D132" s="3" t="s">
        <x:v>156</x:v>
      </x:c>
      <x:c r="E132" s="3" t="s">
        <x:v>156</x:v>
      </x:c>
      <x:c r="F132" s="9"/>
      <x:c r="G132" s="9">
        <x:v>600000</x:v>
      </x:c>
      <x:c r="H132" s="9"/>
      <x:c r="I132" s="3" t="s">
        <x:v>431</x:v>
      </x:c>
      <x:c r="J132" s="9"/>
      <x:c r="K132" s="11">
        <x:v>600000</x:v>
      </x:c>
      <x:c r="L132" s="11"/>
      <x:c r="M132" s="11"/>
      <x:c r="N132" s="11"/>
      <x:c r="O132" s="11">
        <x:v>600000</x:v>
      </x:c>
      <x:c r="P132" s="11">
        <x:v>47480488</x:v>
      </x:c>
      <x:c r="Q132" s="14" t="n">
        <x:f t="shared" ref="Q132:Q195" si="2">IF(AND(O132&lt;&gt;"",P132&lt;&gt;"",P132&lt;&gt;0),O132/P132*100,"")</x:f>
        <x:v>1.2636769866392275</x:v>
      </x:c>
      <x:c r="R132" s="13" t="s">
        <x:v>688</x:v>
      </x:c>
      <x:c r="S132" s="3" t="s">
        <x:v>819</x:v>
      </x:c>
      <x:c r="T132" s="3" t="s">
        <x:v>433</x:v>
      </x:c>
      <x:c r="U132" s="3" t="s">
        <x:v>689</x:v>
      </x:c>
      <x:c r="V132" s="3" t="s">
        <x:v>583</x:v>
      </x:c>
      <x:c r="W132" s="3" t="s">
        <x:v>886</x:v>
      </x:c>
      <x:c r="X132" s="3" t="s">
        <x:v>887</x:v>
      </x:c>
      <x:c r="Y132" s="8" t="s">
        <x:v>61</x:v>
      </x:c>
    </x:row>
    <x:row r="133" ht="42">
      <x:c r="A133" s="3" t="s">
        <x:v>908</x:v>
      </x:c>
      <x:c r="B133" s="3" t="s">
        <x:v>687</x:v>
      </x:c>
      <x:c r="C133" s="3" t="s">
        <x:v>157</x:v>
      </x:c>
      <x:c r="D133" s="3" t="s">
        <x:v>158</x:v>
      </x:c>
      <x:c r="E133" s="3" t="s">
        <x:v>159</x:v>
      </x:c>
      <x:c r="F133" s="9"/>
      <x:c r="G133" s="9">
        <x:v>515000</x:v>
      </x:c>
      <x:c r="H133" s="9"/>
      <x:c r="I133" s="3" t="s">
        <x:v>431</x:v>
      </x:c>
      <x:c r="J133" s="9"/>
      <x:c r="K133" s="11">
        <x:v>515000</x:v>
      </x:c>
      <x:c r="L133" s="11"/>
      <x:c r="M133" s="11"/>
      <x:c r="N133" s="11"/>
      <x:c r="O133" s="11">
        <x:v>515000</x:v>
      </x:c>
      <x:c r="P133" s="11">
        <x:v>47480488</x:v>
      </x:c>
      <x:c r="Q133" s="14">
        <x:f t="shared" si="2"/>
        <x:v>1.0846560801986702</x:v>
      </x:c>
      <x:c r="R133" s="13" t="s">
        <x:v>688</x:v>
      </x:c>
      <x:c r="S133" s="3" t="s">
        <x:v>819</x:v>
      </x:c>
      <x:c r="T133" s="3" t="s">
        <x:v>433</x:v>
      </x:c>
      <x:c r="U133" s="3" t="s">
        <x:v>689</x:v>
      </x:c>
      <x:c r="V133" s="3" t="s">
        <x:v>583</x:v>
      </x:c>
      <x:c r="W133" s="3" t="s">
        <x:v>886</x:v>
      </x:c>
      <x:c r="X133" s="3" t="s">
        <x:v>887</x:v>
      </x:c>
      <x:c r="Y133" s="8" t="s">
        <x:v>61</x:v>
      </x:c>
    </x:row>
    <x:row r="134" ht="28">
      <x:c r="A134" s="3" t="s">
        <x:v>909</x:v>
      </x:c>
      <x:c r="B134" s="3" t="s">
        <x:v>687</x:v>
      </x:c>
      <x:c r="C134" s="3" t="s">
        <x:v>162</x:v>
      </x:c>
      <x:c r="D134" s="3" t="s">
        <x:v>163</x:v>
      </x:c>
      <x:c r="E134" s="3" t="s">
        <x:v>164</x:v>
      </x:c>
      <x:c r="F134" s="9"/>
      <x:c r="G134" s="9">
        <x:v>274667</x:v>
      </x:c>
      <x:c r="H134" s="9"/>
      <x:c r="I134" s="3" t="s">
        <x:v>431</x:v>
      </x:c>
      <x:c r="J134" s="9"/>
      <x:c r="K134" s="11">
        <x:v>274667</x:v>
      </x:c>
      <x:c r="L134" s="11"/>
      <x:c r="M134" s="11"/>
      <x:c r="N134" s="11"/>
      <x:c r="O134" s="11">
        <x:v>274667</x:v>
      </x:c>
      <x:c r="P134" s="11">
        <x:v>47480488</x:v>
      </x:c>
      <x:c r="Q134" s="14">
        <x:f t="shared" si="2"/>
        <x:v>0.57848394481539445</x:v>
      </x:c>
      <x:c r="R134" s="13" t="s">
        <x:v>688</x:v>
      </x:c>
      <x:c r="S134" s="3" t="s">
        <x:v>819</x:v>
      </x:c>
      <x:c r="T134" s="3" t="s">
        <x:v>433</x:v>
      </x:c>
      <x:c r="U134" s="3" t="s">
        <x:v>689</x:v>
      </x:c>
      <x:c r="V134" s="3" t="s">
        <x:v>583</x:v>
      </x:c>
      <x:c r="W134" s="3" t="s">
        <x:v>886</x:v>
      </x:c>
      <x:c r="X134" s="3" t="s">
        <x:v>887</x:v>
      </x:c>
      <x:c r="Y134" s="8" t="s">
        <x:v>61</x:v>
      </x:c>
    </x:row>
    <x:row r="135" ht="28">
      <x:c r="A135" s="3" t="s">
        <x:v>910</x:v>
      </x:c>
      <x:c r="B135" s="3" t="s">
        <x:v>687</x:v>
      </x:c>
      <x:c r="C135" s="3" t="s">
        <x:v>166</x:v>
      </x:c>
      <x:c r="D135" s="3" t="s">
        <x:v>167</x:v>
      </x:c>
      <x:c r="E135" s="3" t="s">
        <x:v>168</x:v>
      </x:c>
      <x:c r="F135" s="9"/>
      <x:c r="G135" s="9">
        <x:v>369083</x:v>
      </x:c>
      <x:c r="H135" s="9"/>
      <x:c r="I135" s="3" t="s">
        <x:v>431</x:v>
      </x:c>
      <x:c r="J135" s="9"/>
      <x:c r="K135" s="11">
        <x:v>369083</x:v>
      </x:c>
      <x:c r="L135" s="11"/>
      <x:c r="M135" s="11"/>
      <x:c r="N135" s="11"/>
      <x:c r="O135" s="11">
        <x:v>369083</x:v>
      </x:c>
      <x:c r="P135" s="11">
        <x:v>47480488</x:v>
      </x:c>
      <x:c r="Q135" s="14">
        <x:f t="shared" si="2"/>
        <x:v>0.77733615543294332</x:v>
      </x:c>
      <x:c r="R135" s="13" t="s">
        <x:v>688</x:v>
      </x:c>
      <x:c r="S135" s="3" t="s">
        <x:v>819</x:v>
      </x:c>
      <x:c r="T135" s="3" t="s">
        <x:v>433</x:v>
      </x:c>
      <x:c r="U135" s="3" t="s">
        <x:v>689</x:v>
      </x:c>
      <x:c r="V135" s="3" t="s">
        <x:v>583</x:v>
      </x:c>
      <x:c r="W135" s="3" t="s">
        <x:v>886</x:v>
      </x:c>
      <x:c r="X135" s="3" t="s">
        <x:v>887</x:v>
      </x:c>
      <x:c r="Y135" s="8" t="s">
        <x:v>61</x:v>
      </x:c>
    </x:row>
    <x:row r="136" ht="28">
      <x:c r="A136" s="3" t="s">
        <x:v>911</x:v>
      </x:c>
      <x:c r="B136" s="3" t="s">
        <x:v>687</x:v>
      </x:c>
      <x:c r="C136" s="3" t="s">
        <x:v>171</x:v>
      </x:c>
      <x:c r="D136" s="3" t="s">
        <x:v>172</x:v>
      </x:c>
      <x:c r="E136" s="3" t="s">
        <x:v>173</x:v>
      </x:c>
      <x:c r="F136" s="9"/>
      <x:c r="G136" s="9">
        <x:v>1130488</x:v>
      </x:c>
      <x:c r="H136" s="9"/>
      <x:c r="I136" s="3" t="s">
        <x:v>431</x:v>
      </x:c>
      <x:c r="J136" s="9"/>
      <x:c r="K136" s="11">
        <x:v>0</x:v>
      </x:c>
      <x:c r="L136" s="11">
        <x:v>1130488</x:v>
      </x:c>
      <x:c r="M136" s="11"/>
      <x:c r="N136" s="11"/>
      <x:c r="O136" s="11">
        <x:v>1130488</x:v>
      </x:c>
      <x:c r="P136" s="11">
        <x:v>47480488</x:v>
      </x:c>
      <x:c r="Q136" s="14">
        <x:f t="shared" si="2"/>
        <x:v>2.3809527821196785</x:v>
      </x:c>
      <x:c r="R136" s="13" t="s">
        <x:v>688</x:v>
      </x:c>
      <x:c r="S136" s="3" t="s">
        <x:v>732</x:v>
      </x:c>
      <x:c r="T136" s="3" t="s">
        <x:v>433</x:v>
      </x:c>
      <x:c r="U136" s="3" t="s">
        <x:v>689</x:v>
      </x:c>
      <x:c r="V136" s="3" t="s">
        <x:v>583</x:v>
      </x:c>
      <x:c r="W136" s="3" t="s">
        <x:v>886</x:v>
      </x:c>
      <x:c r="X136" s="3" t="s">
        <x:v>887</x:v>
      </x:c>
      <x:c r="Y136" s="8" t="s">
        <x:v>61</x:v>
      </x:c>
    </x:row>
    <x:row r="137" ht="42">
      <x:c r="A137" s="3" t="s">
        <x:v>912</x:v>
      </x:c>
      <x:c r="B137" s="3" t="s">
        <x:v>691</x:v>
      </x:c>
      <x:c r="C137" s="3" t="s">
        <x:v>67</x:v>
      </x:c>
      <x:c r="D137" s="3" t="s">
        <x:v>68</x:v>
      </x:c>
      <x:c r="E137" s="3" t="s">
        <x:v>68</x:v>
      </x:c>
      <x:c r="F137" s="9"/>
      <x:c r="G137" s="9">
        <x:v>16132255</x:v>
      </x:c>
      <x:c r="H137" s="9"/>
      <x:c r="I137" s="3" t="s">
        <x:v>431</x:v>
      </x:c>
      <x:c r="J137" s="9"/>
      <x:c r="K137" s="11">
        <x:v>17096750</x:v>
      </x:c>
      <x:c r="L137" s="11"/>
      <x:c r="M137" s="11"/>
      <x:c r="N137" s="11">
        <x:v>964495</x:v>
      </x:c>
      <x:c r="O137" s="11">
        <x:v>16132255</x:v>
      </x:c>
      <x:c r="P137" s="11">
        <x:v>48837074</x:v>
      </x:c>
      <x:c r="Q137" s="14">
        <x:f t="shared" si="2"/>
        <x:v>33.03280413564498</x:v>
      </x:c>
      <x:c r="R137" s="13" t="s">
        <x:v>694</x:v>
      </x:c>
      <x:c r="S137" s="3" t="s">
        <x:v>744</x:v>
      </x:c>
      <x:c r="T137" s="3" t="s">
        <x:v>695</x:v>
      </x:c>
      <x:c r="U137" s="3" t="s">
        <x:v>696</x:v>
      </x:c>
      <x:c r="V137" s="3" t="s">
        <x:v>697</x:v>
      </x:c>
      <x:c r="W137" s="3" t="s">
        <x:v>834</x:v>
      </x:c>
      <x:c r="X137" s="3" t="s">
        <x:v>913</x:v>
      </x:c>
      <x:c r="Y137" s="8" t="s">
        <x:v>61</x:v>
      </x:c>
    </x:row>
    <x:row r="138" ht="42">
      <x:c r="A138" s="3" t="s">
        <x:v>914</x:v>
      </x:c>
      <x:c r="B138" s="3" t="s">
        <x:v>691</x:v>
      </x:c>
      <x:c r="C138" s="3" t="s">
        <x:v>62</x:v>
      </x:c>
      <x:c r="D138" s="3" t="s">
        <x:v>63</x:v>
      </x:c>
      <x:c r="E138" s="3" t="s">
        <x:v>63</x:v>
      </x:c>
      <x:c r="F138" s="9"/>
      <x:c r="G138" s="9">
        <x:v>6454820</x:v>
      </x:c>
      <x:c r="H138" s="9"/>
      <x:c r="I138" s="3" t="s">
        <x:v>431</x:v>
      </x:c>
      <x:c r="J138" s="9"/>
      <x:c r="K138" s="11">
        <x:v>6949860</x:v>
      </x:c>
      <x:c r="L138" s="11"/>
      <x:c r="M138" s="11"/>
      <x:c r="N138" s="11">
        <x:v>495040</x:v>
      </x:c>
      <x:c r="O138" s="11">
        <x:v>6454820</x:v>
      </x:c>
      <x:c r="P138" s="11">
        <x:v>48837074</x:v>
      </x:c>
      <x:c r="Q138" s="14">
        <x:f t="shared" si="2"/>
        <x:v>13.21704899847194</x:v>
      </x:c>
      <x:c r="R138" s="13" t="s">
        <x:v>694</x:v>
      </x:c>
      <x:c r="S138" s="3" t="s">
        <x:v>744</x:v>
      </x:c>
      <x:c r="T138" s="3" t="s">
        <x:v>695</x:v>
      </x:c>
      <x:c r="U138" s="3" t="s">
        <x:v>696</x:v>
      </x:c>
      <x:c r="V138" s="3" t="s">
        <x:v>697</x:v>
      </x:c>
      <x:c r="W138" s="3" t="s">
        <x:v>834</x:v>
      </x:c>
      <x:c r="X138" s="3" t="s">
        <x:v>913</x:v>
      </x:c>
      <x:c r="Y138" s="8" t="s">
        <x:v>61</x:v>
      </x:c>
    </x:row>
    <x:row r="139" ht="42">
      <x:c r="A139" s="3" t="s">
        <x:v>915</x:v>
      </x:c>
      <x:c r="B139" s="3" t="s">
        <x:v>691</x:v>
      </x:c>
      <x:c r="C139" s="3" t="s">
        <x:v>78</x:v>
      </x:c>
      <x:c r="D139" s="3" t="s">
        <x:v>79</x:v>
      </x:c>
      <x:c r="E139" s="3" t="s">
        <x:v>80</x:v>
      </x:c>
      <x:c r="F139" s="9"/>
      <x:c r="G139" s="9">
        <x:v>5004000</x:v>
      </x:c>
      <x:c r="H139" s="9"/>
      <x:c r="I139" s="3" t="s">
        <x:v>431</x:v>
      </x:c>
      <x:c r="J139" s="9"/>
      <x:c r="K139" s="11">
        <x:v>5004000</x:v>
      </x:c>
      <x:c r="L139" s="11"/>
      <x:c r="M139" s="11"/>
      <x:c r="N139" s="11"/>
      <x:c r="O139" s="11">
        <x:v>5004000</x:v>
      </x:c>
      <x:c r="P139" s="11">
        <x:v>48837074</x:v>
      </x:c>
      <x:c r="Q139" s="14">
        <x:f t="shared" si="2"/>
        <x:v>10.246314101454972</x:v>
      </x:c>
      <x:c r="R139" s="13" t="s">
        <x:v>694</x:v>
      </x:c>
      <x:c r="S139" s="3" t="s">
        <x:v>819</x:v>
      </x:c>
      <x:c r="T139" s="3" t="s">
        <x:v>695</x:v>
      </x:c>
      <x:c r="U139" s="3" t="s">
        <x:v>696</x:v>
      </x:c>
      <x:c r="V139" s="3" t="s">
        <x:v>697</x:v>
      </x:c>
      <x:c r="W139" s="3" t="s">
        <x:v>834</x:v>
      </x:c>
      <x:c r="X139" s="3" t="s">
        <x:v>913</x:v>
      </x:c>
      <x:c r="Y139" s="8" t="s">
        <x:v>61</x:v>
      </x:c>
    </x:row>
    <x:row r="140" ht="42">
      <x:c r="A140" s="3" t="s">
        <x:v>916</x:v>
      </x:c>
      <x:c r="B140" s="3" t="s">
        <x:v>691</x:v>
      </x:c>
      <x:c r="C140" s="3" t="s">
        <x:v>89</x:v>
      </x:c>
      <x:c r="D140" s="3" t="s">
        <x:v>90</x:v>
      </x:c>
      <x:c r="E140" s="3" t="s">
        <x:v>91</x:v>
      </x:c>
      <x:c r="F140" s="9"/>
      <x:c r="G140" s="9">
        <x:v>2835320</x:v>
      </x:c>
      <x:c r="H140" s="9"/>
      <x:c r="I140" s="3" t="s">
        <x:v>431</x:v>
      </x:c>
      <x:c r="J140" s="9"/>
      <x:c r="K140" s="11">
        <x:v>2835320</x:v>
      </x:c>
      <x:c r="L140" s="11"/>
      <x:c r="M140" s="11"/>
      <x:c r="N140" s="11"/>
      <x:c r="O140" s="11">
        <x:v>2835320</x:v>
      </x:c>
      <x:c r="P140" s="11">
        <x:v>48837074</x:v>
      </x:c>
      <x:c r="Q140" s="14">
        <x:f t="shared" si="2"/>
        <x:v>5.805671322569407</x:v>
      </x:c>
      <x:c r="R140" s="13" t="s">
        <x:v>694</x:v>
      </x:c>
      <x:c r="S140" s="3" t="s">
        <x:v>819</x:v>
      </x:c>
      <x:c r="T140" s="3" t="s">
        <x:v>695</x:v>
      </x:c>
      <x:c r="U140" s="3" t="s">
        <x:v>696</x:v>
      </x:c>
      <x:c r="V140" s="3" t="s">
        <x:v>697</x:v>
      </x:c>
      <x:c r="W140" s="3" t="s">
        <x:v>834</x:v>
      </x:c>
      <x:c r="X140" s="3" t="s">
        <x:v>913</x:v>
      </x:c>
      <x:c r="Y140" s="8" t="s">
        <x:v>61</x:v>
      </x:c>
    </x:row>
    <x:row r="141" ht="42">
      <x:c r="A141" s="3" t="s">
        <x:v>917</x:v>
      </x:c>
      <x:c r="B141" s="3" t="s">
        <x:v>691</x:v>
      </x:c>
      <x:c r="C141" s="3" t="s">
        <x:v>122</x:v>
      </x:c>
      <x:c r="D141" s="3" t="s">
        <x:v>123</x:v>
      </x:c>
      <x:c r="E141" s="3" t="s">
        <x:v>124</x:v>
      </x:c>
      <x:c r="F141" s="9"/>
      <x:c r="G141" s="9">
        <x:v>2544787</x:v>
      </x:c>
      <x:c r="H141" s="9"/>
      <x:c r="I141" s="3" t="s">
        <x:v>431</x:v>
      </x:c>
      <x:c r="J141" s="9"/>
      <x:c r="K141" s="11">
        <x:v>2544787</x:v>
      </x:c>
      <x:c r="L141" s="11"/>
      <x:c r="M141" s="11"/>
      <x:c r="N141" s="11"/>
      <x:c r="O141" s="11">
        <x:v>2544787</x:v>
      </x:c>
      <x:c r="P141" s="11">
        <x:v>48837074</x:v>
      </x:c>
      <x:c r="Q141" s="14">
        <x:f t="shared" si="2"/>
        <x:v>5.2107687696441438</x:v>
      </x:c>
      <x:c r="R141" s="13" t="s">
        <x:v>694</x:v>
      </x:c>
      <x:c r="S141" s="3" t="s">
        <x:v>819</x:v>
      </x:c>
      <x:c r="T141" s="3" t="s">
        <x:v>695</x:v>
      </x:c>
      <x:c r="U141" s="3" t="s">
        <x:v>696</x:v>
      </x:c>
      <x:c r="V141" s="3" t="s">
        <x:v>697</x:v>
      </x:c>
      <x:c r="W141" s="3" t="s">
        <x:v>834</x:v>
      </x:c>
      <x:c r="X141" s="3" t="s">
        <x:v>913</x:v>
      </x:c>
      <x:c r="Y141" s="8" t="s">
        <x:v>61</x:v>
      </x:c>
    </x:row>
    <x:row r="142" ht="42">
      <x:c r="A142" s="3" t="s">
        <x:v>918</x:v>
      </x:c>
      <x:c r="B142" s="3" t="s">
        <x:v>691</x:v>
      </x:c>
      <x:c r="C142" s="3" t="s">
        <x:v>85</x:v>
      </x:c>
      <x:c r="D142" s="3" t="s">
        <x:v>86</x:v>
      </x:c>
      <x:c r="E142" s="3" t="s">
        <x:v>87</x:v>
      </x:c>
      <x:c r="F142" s="9"/>
      <x:c r="G142" s="9">
        <x:v>2502000</x:v>
      </x:c>
      <x:c r="H142" s="9"/>
      <x:c r="I142" s="3" t="s">
        <x:v>431</x:v>
      </x:c>
      <x:c r="J142" s="9"/>
      <x:c r="K142" s="11">
        <x:v>2502000</x:v>
      </x:c>
      <x:c r="L142" s="11"/>
      <x:c r="M142" s="11"/>
      <x:c r="N142" s="11"/>
      <x:c r="O142" s="11">
        <x:v>2502000</x:v>
      </x:c>
      <x:c r="P142" s="11">
        <x:v>48837074</x:v>
      </x:c>
      <x:c r="Q142" s="14">
        <x:f t="shared" si="2"/>
        <x:v>5.1231570507274862</x:v>
      </x:c>
      <x:c r="R142" s="13" t="s">
        <x:v>694</x:v>
      </x:c>
      <x:c r="S142" s="3" t="s">
        <x:v>819</x:v>
      </x:c>
      <x:c r="T142" s="3" t="s">
        <x:v>695</x:v>
      </x:c>
      <x:c r="U142" s="3" t="s">
        <x:v>696</x:v>
      </x:c>
      <x:c r="V142" s="3" t="s">
        <x:v>697</x:v>
      </x:c>
      <x:c r="W142" s="3" t="s">
        <x:v>834</x:v>
      </x:c>
      <x:c r="X142" s="3" t="s">
        <x:v>913</x:v>
      </x:c>
      <x:c r="Y142" s="8" t="s">
        <x:v>61</x:v>
      </x:c>
    </x:row>
    <x:row r="143" ht="42">
      <x:c r="A143" s="3" t="s">
        <x:v>919</x:v>
      </x:c>
      <x:c r="B143" s="3" t="s">
        <x:v>691</x:v>
      </x:c>
      <x:c r="C143" s="3" t="s">
        <x:v>171</x:v>
      </x:c>
      <x:c r="D143" s="3" t="s">
        <x:v>172</x:v>
      </x:c>
      <x:c r="E143" s="3" t="s">
        <x:v>173</x:v>
      </x:c>
      <x:c r="F143" s="9"/>
      <x:c r="G143" s="9">
        <x:v>1130488</x:v>
      </x:c>
      <x:c r="H143" s="9"/>
      <x:c r="I143" s="3" t="s">
        <x:v>431</x:v>
      </x:c>
      <x:c r="J143" s="9"/>
      <x:c r="K143" s="11">
        <x:v>1130488</x:v>
      </x:c>
      <x:c r="L143" s="11"/>
      <x:c r="M143" s="11"/>
      <x:c r="N143" s="11"/>
      <x:c r="O143" s="11">
        <x:v>1130488</x:v>
      </x:c>
      <x:c r="P143" s="11">
        <x:v>48837074</x:v>
      </x:c>
      <x:c r="Q143" s="14">
        <x:f t="shared" si="2"/>
        <x:v>2.3148151750450898</x:v>
      </x:c>
      <x:c r="R143" s="13" t="s">
        <x:v>694</x:v>
      </x:c>
      <x:c r="S143" s="3" t="s">
        <x:v>819</x:v>
      </x:c>
      <x:c r="T143" s="3" t="s">
        <x:v>695</x:v>
      </x:c>
      <x:c r="U143" s="3" t="s">
        <x:v>696</x:v>
      </x:c>
      <x:c r="V143" s="3" t="s">
        <x:v>697</x:v>
      </x:c>
      <x:c r="W143" s="3" t="s">
        <x:v>834</x:v>
      </x:c>
      <x:c r="X143" s="3" t="s">
        <x:v>913</x:v>
      </x:c>
      <x:c r="Y143" s="8" t="s">
        <x:v>61</x:v>
      </x:c>
    </x:row>
    <x:row r="144" ht="42">
      <x:c r="A144" s="3" t="s">
        <x:v>920</x:v>
      </x:c>
      <x:c r="B144" s="3" t="s">
        <x:v>691</x:v>
      </x:c>
      <x:c r="C144" s="3" t="s">
        <x:v>70</x:v>
      </x:c>
      <x:c r="D144" s="3" t="s">
        <x:v>71</x:v>
      </x:c>
      <x:c r="E144" s="3" t="s">
        <x:v>72</x:v>
      </x:c>
      <x:c r="F144" s="9"/>
      <x:c r="G144" s="9">
        <x:v>1053360</x:v>
      </x:c>
      <x:c r="H144" s="9"/>
      <x:c r="I144" s="3" t="s">
        <x:v>431</x:v>
      </x:c>
      <x:c r="J144" s="9"/>
      <x:c r="K144" s="11">
        <x:v>1053360</x:v>
      </x:c>
      <x:c r="L144" s="11"/>
      <x:c r="M144" s="11"/>
      <x:c r="N144" s="11"/>
      <x:c r="O144" s="11">
        <x:v>1053360</x:v>
      </x:c>
      <x:c r="P144" s="11">
        <x:v>48837074</x:v>
      </x:c>
      <x:c r="Q144" s="14">
        <x:f t="shared" si="2"/>
        <x:v>2.1568859756012406</x:v>
      </x:c>
      <x:c r="R144" s="13" t="s">
        <x:v>694</x:v>
      </x:c>
      <x:c r="S144" s="3" t="s">
        <x:v>819</x:v>
      </x:c>
      <x:c r="T144" s="3" t="s">
        <x:v>695</x:v>
      </x:c>
      <x:c r="U144" s="3" t="s">
        <x:v>696</x:v>
      </x:c>
      <x:c r="V144" s="3" t="s">
        <x:v>697</x:v>
      </x:c>
      <x:c r="W144" s="3" t="s">
        <x:v>834</x:v>
      </x:c>
      <x:c r="X144" s="3" t="s">
        <x:v>913</x:v>
      </x:c>
      <x:c r="Y144" s="8" t="s">
        <x:v>61</x:v>
      </x:c>
    </x:row>
    <x:row r="145" ht="42">
      <x:c r="A145" s="3" t="s">
        <x:v>921</x:v>
      </x:c>
      <x:c r="B145" s="3" t="s">
        <x:v>691</x:v>
      </x:c>
      <x:c r="C145" s="3" t="s">
        <x:v>138</x:v>
      </x:c>
      <x:c r="D145" s="3" t="s">
        <x:v>139</x:v>
      </x:c>
      <x:c r="E145" s="3" t="s">
        <x:v>140</x:v>
      </x:c>
      <x:c r="F145" s="9"/>
      <x:c r="G145" s="9">
        <x:v>1030000</x:v>
      </x:c>
      <x:c r="H145" s="9"/>
      <x:c r="I145" s="3" t="s">
        <x:v>431</x:v>
      </x:c>
      <x:c r="J145" s="9"/>
      <x:c r="K145" s="11">
        <x:v>1030000</x:v>
      </x:c>
      <x:c r="L145" s="11"/>
      <x:c r="M145" s="11"/>
      <x:c r="N145" s="11"/>
      <x:c r="O145" s="11">
        <x:v>1030000</x:v>
      </x:c>
      <x:c r="P145" s="11">
        <x:v>48837074</x:v>
      </x:c>
      <x:c r="Q145" s="14">
        <x:f t="shared" si="2"/>
        <x:v>2.1090534621300203</x:v>
      </x:c>
      <x:c r="R145" s="13" t="s">
        <x:v>694</x:v>
      </x:c>
      <x:c r="S145" s="3" t="s">
        <x:v>819</x:v>
      </x:c>
      <x:c r="T145" s="3" t="s">
        <x:v>695</x:v>
      </x:c>
      <x:c r="U145" s="3" t="s">
        <x:v>696</x:v>
      </x:c>
      <x:c r="V145" s="3" t="s">
        <x:v>697</x:v>
      </x:c>
      <x:c r="W145" s="3" t="s">
        <x:v>834</x:v>
      </x:c>
      <x:c r="X145" s="3" t="s">
        <x:v>913</x:v>
      </x:c>
      <x:c r="Y145" s="8" t="s">
        <x:v>61</x:v>
      </x:c>
    </x:row>
    <x:row r="146" ht="42">
      <x:c r="A146" s="3" t="s">
        <x:v>922</x:v>
      </x:c>
      <x:c r="B146" s="3" t="s">
        <x:v>691</x:v>
      </x:c>
      <x:c r="C146" s="3" t="s">
        <x:v>177</x:v>
      </x:c>
      <x:c r="D146" s="3" t="s">
        <x:v>178</x:v>
      </x:c>
      <x:c r="E146" s="3" t="s">
        <x:v>179</x:v>
      </x:c>
      <x:c r="F146" s="9"/>
      <x:c r="G146" s="9">
        <x:v>968990</x:v>
      </x:c>
      <x:c r="H146" s="9"/>
      <x:c r="I146" s="3" t="s">
        <x:v>431</x:v>
      </x:c>
      <x:c r="J146" s="9"/>
      <x:c r="K146" s="11">
        <x:v>0</x:v>
      </x:c>
      <x:c r="L146" s="11">
        <x:v>968990</x:v>
      </x:c>
      <x:c r="M146" s="11">
        <x:v>968990</x:v>
      </x:c>
      <x:c r="N146" s="11"/>
      <x:c r="O146" s="11">
        <x:v>968990</x:v>
      </x:c>
      <x:c r="P146" s="11">
        <x:v>48837074</x:v>
      </x:c>
      <x:c r="Q146" s="14">
        <x:f t="shared" si="2"/>
        <x:v>1.9841278779314255</x:v>
      </x:c>
      <x:c r="R146" s="13" t="s">
        <x:v>694</x:v>
      </x:c>
      <x:c r="S146" s="3" t="s">
        <x:v>732</x:v>
      </x:c>
      <x:c r="T146" s="3" t="s">
        <x:v>695</x:v>
      </x:c>
      <x:c r="U146" s="3" t="s">
        <x:v>696</x:v>
      </x:c>
      <x:c r="V146" s="3" t="s">
        <x:v>697</x:v>
      </x:c>
      <x:c r="W146" s="3" t="s">
        <x:v>834</x:v>
      </x:c>
      <x:c r="X146" s="3" t="s">
        <x:v>913</x:v>
      </x:c>
      <x:c r="Y146" s="8" t="s">
        <x:v>61</x:v>
      </x:c>
    </x:row>
    <x:row r="147" ht="42">
      <x:c r="A147" s="3" t="s">
        <x:v>923</x:v>
      </x:c>
      <x:c r="B147" s="3" t="s">
        <x:v>691</x:v>
      </x:c>
      <x:c r="C147" s="3" t="s">
        <x:v>93</x:v>
      </x:c>
      <x:c r="D147" s="3" t="s">
        <x:v>94</x:v>
      </x:c>
      <x:c r="E147" s="3" t="s">
        <x:v>95</x:v>
      </x:c>
      <x:c r="F147" s="9"/>
      <x:c r="G147" s="9">
        <x:v>933320</x:v>
      </x:c>
      <x:c r="H147" s="9"/>
      <x:c r="I147" s="3" t="s">
        <x:v>431</x:v>
      </x:c>
      <x:c r="J147" s="9"/>
      <x:c r="K147" s="11">
        <x:v>933320</x:v>
      </x:c>
      <x:c r="L147" s="11"/>
      <x:c r="M147" s="11"/>
      <x:c r="N147" s="11"/>
      <x:c r="O147" s="11">
        <x:v>933320</x:v>
      </x:c>
      <x:c r="P147" s="11">
        <x:v>48837074</x:v>
      </x:c>
      <x:c r="Q147" s="14">
        <x:f t="shared" si="2"/>
        <x:v>1.9110891041506706</x:v>
      </x:c>
      <x:c r="R147" s="13" t="s">
        <x:v>694</x:v>
      </x:c>
      <x:c r="S147" s="3" t="s">
        <x:v>819</x:v>
      </x:c>
      <x:c r="T147" s="3" t="s">
        <x:v>695</x:v>
      </x:c>
      <x:c r="U147" s="3" t="s">
        <x:v>696</x:v>
      </x:c>
      <x:c r="V147" s="3" t="s">
        <x:v>697</x:v>
      </x:c>
      <x:c r="W147" s="3" t="s">
        <x:v>834</x:v>
      </x:c>
      <x:c r="X147" s="3" t="s">
        <x:v>913</x:v>
      </x:c>
      <x:c r="Y147" s="8" t="s">
        <x:v>61</x:v>
      </x:c>
    </x:row>
    <x:row r="148" ht="42">
      <x:c r="A148" s="3" t="s">
        <x:v>924</x:v>
      </x:c>
      <x:c r="B148" s="3" t="s">
        <x:v>691</x:v>
      </x:c>
      <x:c r="C148" s="3" t="s">
        <x:v>166</x:v>
      </x:c>
      <x:c r="D148" s="3" t="s">
        <x:v>167</x:v>
      </x:c>
      <x:c r="E148" s="3" t="s">
        <x:v>168</x:v>
      </x:c>
      <x:c r="F148" s="9"/>
      <x:c r="G148" s="9">
        <x:v>849083</x:v>
      </x:c>
      <x:c r="H148" s="9"/>
      <x:c r="I148" s="3" t="s">
        <x:v>431</x:v>
      </x:c>
      <x:c r="J148" s="9"/>
      <x:c r="K148" s="11">
        <x:v>369083</x:v>
      </x:c>
      <x:c r="L148" s="11">
        <x:v>480000</x:v>
      </x:c>
      <x:c r="M148" s="11">
        <x:v>480000</x:v>
      </x:c>
      <x:c r="N148" s="11"/>
      <x:c r="O148" s="11">
        <x:v>849083</x:v>
      </x:c>
      <x:c r="P148" s="11">
        <x:v>48837074</x:v>
      </x:c>
      <x:c r="Q148" s="14">
        <x:f t="shared" si="2"/>
        <x:v>1.7386033405686836</x:v>
      </x:c>
      <x:c r="R148" s="13" t="s">
        <x:v>694</x:v>
      </x:c>
      <x:c r="S148" s="3" t="s">
        <x:v>375</x:v>
      </x:c>
      <x:c r="T148" s="3" t="s">
        <x:v>695</x:v>
      </x:c>
      <x:c r="U148" s="3" t="s">
        <x:v>696</x:v>
      </x:c>
      <x:c r="V148" s="3" t="s">
        <x:v>697</x:v>
      </x:c>
      <x:c r="W148" s="3" t="s">
        <x:v>834</x:v>
      </x:c>
      <x:c r="X148" s="3" t="s">
        <x:v>913</x:v>
      </x:c>
      <x:c r="Y148" s="8" t="s">
        <x:v>61</x:v>
      </x:c>
    </x:row>
    <x:row r="149" ht="42">
      <x:c r="A149" s="3" t="s">
        <x:v>925</x:v>
      </x:c>
      <x:c r="B149" s="3" t="s">
        <x:v>691</x:v>
      </x:c>
      <x:c r="C149" s="3" t="s">
        <x:v>117</x:v>
      </x:c>
      <x:c r="D149" s="3" t="s">
        <x:v>118</x:v>
      </x:c>
      <x:c r="E149" s="3" t="s">
        <x:v>119</x:v>
      </x:c>
      <x:c r="F149" s="9"/>
      <x:c r="G149" s="9">
        <x:v>666680</x:v>
      </x:c>
      <x:c r="H149" s="9"/>
      <x:c r="I149" s="3" t="s">
        <x:v>431</x:v>
      </x:c>
      <x:c r="J149" s="9"/>
      <x:c r="K149" s="11">
        <x:v>666680</x:v>
      </x:c>
      <x:c r="L149" s="11"/>
      <x:c r="M149" s="11"/>
      <x:c r="N149" s="11"/>
      <x:c r="O149" s="11">
        <x:v>666680</x:v>
      </x:c>
      <x:c r="P149" s="11">
        <x:v>48837074</x:v>
      </x:c>
      <x:c r="Q149" s="14">
        <x:f t="shared" si="2"/>
        <x:v>1.3651104486726622</x:v>
      </x:c>
      <x:c r="R149" s="13" t="s">
        <x:v>694</x:v>
      </x:c>
      <x:c r="S149" s="3" t="s">
        <x:v>819</x:v>
      </x:c>
      <x:c r="T149" s="3" t="s">
        <x:v>695</x:v>
      </x:c>
      <x:c r="U149" s="3" t="s">
        <x:v>696</x:v>
      </x:c>
      <x:c r="V149" s="3" t="s">
        <x:v>697</x:v>
      </x:c>
      <x:c r="W149" s="3" t="s">
        <x:v>834</x:v>
      </x:c>
      <x:c r="X149" s="3" t="s">
        <x:v>913</x:v>
      </x:c>
      <x:c r="Y149" s="8" t="s">
        <x:v>61</x:v>
      </x:c>
    </x:row>
    <x:row r="150" ht="42">
      <x:c r="A150" s="3" t="s">
        <x:v>926</x:v>
      </x:c>
      <x:c r="B150" s="3" t="s">
        <x:v>691</x:v>
      </x:c>
      <x:c r="C150" s="3" t="s">
        <x:v>128</x:v>
      </x:c>
      <x:c r="D150" s="3" t="s">
        <x:v>129</x:v>
      </x:c>
      <x:c r="E150" s="3" t="s">
        <x:v>130</x:v>
      </x:c>
      <x:c r="F150" s="9"/>
      <x:c r="G150" s="9">
        <x:v>618000</x:v>
      </x:c>
      <x:c r="H150" s="9"/>
      <x:c r="I150" s="3" t="s">
        <x:v>431</x:v>
      </x:c>
      <x:c r="J150" s="9"/>
      <x:c r="K150" s="11">
        <x:v>618000</x:v>
      </x:c>
      <x:c r="L150" s="11"/>
      <x:c r="M150" s="11"/>
      <x:c r="N150" s="11"/>
      <x:c r="O150" s="11">
        <x:v>618000</x:v>
      </x:c>
      <x:c r="P150" s="11">
        <x:v>48837074</x:v>
      </x:c>
      <x:c r="Q150" s="14">
        <x:f t="shared" si="2"/>
        <x:v>1.2654320772780121</x:v>
      </x:c>
      <x:c r="R150" s="13" t="s">
        <x:v>694</x:v>
      </x:c>
      <x:c r="S150" s="3" t="s">
        <x:v>819</x:v>
      </x:c>
      <x:c r="T150" s="3" t="s">
        <x:v>695</x:v>
      </x:c>
      <x:c r="U150" s="3" t="s">
        <x:v>696</x:v>
      </x:c>
      <x:c r="V150" s="3" t="s">
        <x:v>697</x:v>
      </x:c>
      <x:c r="W150" s="3" t="s">
        <x:v>834</x:v>
      </x:c>
      <x:c r="X150" s="3" t="s">
        <x:v>913</x:v>
      </x:c>
      <x:c r="Y150" s="8" t="s">
        <x:v>61</x:v>
      </x:c>
    </x:row>
    <x:row r="151" ht="42">
      <x:c r="A151" s="3" t="s">
        <x:v>927</x:v>
      </x:c>
      <x:c r="B151" s="3" t="s">
        <x:v>691</x:v>
      </x:c>
      <x:c r="C151" s="3" t="s">
        <x:v>155</x:v>
      </x:c>
      <x:c r="D151" s="3" t="s">
        <x:v>156</x:v>
      </x:c>
      <x:c r="E151" s="3" t="s">
        <x:v>156</x:v>
      </x:c>
      <x:c r="F151" s="9"/>
      <x:c r="G151" s="9">
        <x:v>600000</x:v>
      </x:c>
      <x:c r="H151" s="9"/>
      <x:c r="I151" s="3" t="s">
        <x:v>431</x:v>
      </x:c>
      <x:c r="J151" s="9"/>
      <x:c r="K151" s="11">
        <x:v>600000</x:v>
      </x:c>
      <x:c r="L151" s="11"/>
      <x:c r="M151" s="11"/>
      <x:c r="N151" s="11"/>
      <x:c r="O151" s="11">
        <x:v>600000</x:v>
      </x:c>
      <x:c r="P151" s="11">
        <x:v>48837074</x:v>
      </x:c>
      <x:c r="Q151" s="14">
        <x:f t="shared" si="2"/>
        <x:v>1.2285748323087498</x:v>
      </x:c>
      <x:c r="R151" s="13" t="s">
        <x:v>694</x:v>
      </x:c>
      <x:c r="S151" s="3" t="s">
        <x:v>819</x:v>
      </x:c>
      <x:c r="T151" s="3" t="s">
        <x:v>695</x:v>
      </x:c>
      <x:c r="U151" s="3" t="s">
        <x:v>696</x:v>
      </x:c>
      <x:c r="V151" s="3" t="s">
        <x:v>697</x:v>
      </x:c>
      <x:c r="W151" s="3" t="s">
        <x:v>834</x:v>
      </x:c>
      <x:c r="X151" s="3" t="s">
        <x:v>913</x:v>
      </x:c>
      <x:c r="Y151" s="8" t="s">
        <x:v>61</x:v>
      </x:c>
    </x:row>
    <x:row r="152" ht="42">
      <x:c r="A152" s="3" t="s">
        <x:v>928</x:v>
      </x:c>
      <x:c r="B152" s="3" t="s">
        <x:v>691</x:v>
      </x:c>
      <x:c r="C152" s="3" t="s">
        <x:v>146</x:v>
      </x:c>
      <x:c r="D152" s="3" t="s">
        <x:v>147</x:v>
      </x:c>
      <x:c r="E152" s="3" t="s">
        <x:v>147</x:v>
      </x:c>
      <x:c r="F152" s="9"/>
      <x:c r="G152" s="9">
        <x:v>550000</x:v>
      </x:c>
      <x:c r="H152" s="9"/>
      <x:c r="I152" s="3" t="s">
        <x:v>431</x:v>
      </x:c>
      <x:c r="J152" s="9"/>
      <x:c r="K152" s="11">
        <x:v>600000</x:v>
      </x:c>
      <x:c r="L152" s="11"/>
      <x:c r="M152" s="11"/>
      <x:c r="N152" s="11">
        <x:v>50000</x:v>
      </x:c>
      <x:c r="O152" s="11">
        <x:v>550000</x:v>
      </x:c>
      <x:c r="P152" s="11">
        <x:v>48837074</x:v>
      </x:c>
      <x:c r="Q152" s="14">
        <x:f t="shared" si="2"/>
        <x:v>1.1261935962830205</x:v>
      </x:c>
      <x:c r="R152" s="13" t="s">
        <x:v>694</x:v>
      </x:c>
      <x:c r="S152" s="3" t="s">
        <x:v>744</x:v>
      </x:c>
      <x:c r="T152" s="3" t="s">
        <x:v>695</x:v>
      </x:c>
      <x:c r="U152" s="3" t="s">
        <x:v>696</x:v>
      </x:c>
      <x:c r="V152" s="3" t="s">
        <x:v>697</x:v>
      </x:c>
      <x:c r="W152" s="3" t="s">
        <x:v>834</x:v>
      </x:c>
      <x:c r="X152" s="3" t="s">
        <x:v>913</x:v>
      </x:c>
      <x:c r="Y152" s="8" t="s">
        <x:v>61</x:v>
      </x:c>
    </x:row>
    <x:row r="153" ht="42">
      <x:c r="A153" s="3" t="s">
        <x:v>929</x:v>
      </x:c>
      <x:c r="B153" s="3" t="s">
        <x:v>691</x:v>
      </x:c>
      <x:c r="C153" s="3" t="s">
        <x:v>132</x:v>
      </x:c>
      <x:c r="D153" s="3" t="s">
        <x:v>133</x:v>
      </x:c>
      <x:c r="E153" s="3" t="s">
        <x:v>134</x:v>
      </x:c>
      <x:c r="F153" s="9"/>
      <x:c r="G153" s="9">
        <x:v>543840</x:v>
      </x:c>
      <x:c r="H153" s="9"/>
      <x:c r="I153" s="3" t="s">
        <x:v>431</x:v>
      </x:c>
      <x:c r="J153" s="9"/>
      <x:c r="K153" s="11">
        <x:v>543840</x:v>
      </x:c>
      <x:c r="L153" s="11"/>
      <x:c r="M153" s="11"/>
      <x:c r="N153" s="11"/>
      <x:c r="O153" s="11">
        <x:v>543840</x:v>
      </x:c>
      <x:c r="P153" s="11">
        <x:v>48837074</x:v>
      </x:c>
      <x:c r="Q153" s="14">
        <x:f t="shared" si="2"/>
        <x:v>1.1135802280046507</x:v>
      </x:c>
      <x:c r="R153" s="13" t="s">
        <x:v>694</x:v>
      </x:c>
      <x:c r="S153" s="3" t="s">
        <x:v>819</x:v>
      </x:c>
      <x:c r="T153" s="3" t="s">
        <x:v>695</x:v>
      </x:c>
      <x:c r="U153" s="3" t="s">
        <x:v>696</x:v>
      </x:c>
      <x:c r="V153" s="3" t="s">
        <x:v>697</x:v>
      </x:c>
      <x:c r="W153" s="3" t="s">
        <x:v>834</x:v>
      </x:c>
      <x:c r="X153" s="3" t="s">
        <x:v>913</x:v>
      </x:c>
      <x:c r="Y153" s="8" t="s">
        <x:v>61</x:v>
      </x:c>
    </x:row>
    <x:row r="154" ht="42">
      <x:c r="A154" s="3" t="s">
        <x:v>930</x:v>
      </x:c>
      <x:c r="B154" s="3" t="s">
        <x:v>691</x:v>
      </x:c>
      <x:c r="C154" s="3" t="s">
        <x:v>157</x:v>
      </x:c>
      <x:c r="D154" s="3" t="s">
        <x:v>158</x:v>
      </x:c>
      <x:c r="E154" s="3" t="s">
        <x:v>159</x:v>
      </x:c>
      <x:c r="F154" s="9"/>
      <x:c r="G154" s="9">
        <x:v>515000</x:v>
      </x:c>
      <x:c r="H154" s="9"/>
      <x:c r="I154" s="3" t="s">
        <x:v>431</x:v>
      </x:c>
      <x:c r="J154" s="9"/>
      <x:c r="K154" s="11">
        <x:v>515000</x:v>
      </x:c>
      <x:c r="L154" s="11"/>
      <x:c r="M154" s="11"/>
      <x:c r="N154" s="11"/>
      <x:c r="O154" s="11">
        <x:v>515000</x:v>
      </x:c>
      <x:c r="P154" s="11">
        <x:v>48837074</x:v>
      </x:c>
      <x:c r="Q154" s="14">
        <x:f t="shared" si="2"/>
        <x:v>1.0545267310650102</x:v>
      </x:c>
      <x:c r="R154" s="13" t="s">
        <x:v>694</x:v>
      </x:c>
      <x:c r="S154" s="3" t="s">
        <x:v>819</x:v>
      </x:c>
      <x:c r="T154" s="3" t="s">
        <x:v>695</x:v>
      </x:c>
      <x:c r="U154" s="3" t="s">
        <x:v>696</x:v>
      </x:c>
      <x:c r="V154" s="3" t="s">
        <x:v>697</x:v>
      </x:c>
      <x:c r="W154" s="3" t="s">
        <x:v>834</x:v>
      </x:c>
      <x:c r="X154" s="3" t="s">
        <x:v>913</x:v>
      </x:c>
      <x:c r="Y154" s="8" t="s">
        <x:v>61</x:v>
      </x:c>
    </x:row>
    <x:row r="155" ht="42">
      <x:c r="A155" s="3" t="s">
        <x:v>931</x:v>
      </x:c>
      <x:c r="B155" s="3" t="s">
        <x:v>691</x:v>
      </x:c>
      <x:c r="C155" s="3" t="s">
        <x:v>187</x:v>
      </x:c>
      <x:c r="D155" s="3" t="s">
        <x:v>188</x:v>
      </x:c>
      <x:c r="E155" s="3" t="s">
        <x:v>188</x:v>
      </x:c>
      <x:c r="F155" s="9"/>
      <x:c r="G155" s="9">
        <x:v>484495</x:v>
      </x:c>
      <x:c r="H155" s="9"/>
      <x:c r="I155" s="3" t="s">
        <x:v>431</x:v>
      </x:c>
      <x:c r="J155" s="9"/>
      <x:c r="K155" s="11">
        <x:v>0</x:v>
      </x:c>
      <x:c r="L155" s="11">
        <x:v>484495</x:v>
      </x:c>
      <x:c r="M155" s="11">
        <x:v>484495</x:v>
      </x:c>
      <x:c r="N155" s="11"/>
      <x:c r="O155" s="11">
        <x:v>484495</x:v>
      </x:c>
      <x:c r="P155" s="11">
        <x:v>48837074</x:v>
      </x:c>
      <x:c r="Q155" s="14">
        <x:f t="shared" si="2"/>
        <x:v>0.99206393896571277</x:v>
      </x:c>
      <x:c r="R155" s="13" t="s">
        <x:v>694</x:v>
      </x:c>
      <x:c r="S155" s="3" t="s">
        <x:v>732</x:v>
      </x:c>
      <x:c r="T155" s="3" t="s">
        <x:v>695</x:v>
      </x:c>
      <x:c r="U155" s="3" t="s">
        <x:v>696</x:v>
      </x:c>
      <x:c r="V155" s="3" t="s">
        <x:v>697</x:v>
      </x:c>
      <x:c r="W155" s="3" t="s">
        <x:v>834</x:v>
      </x:c>
      <x:c r="X155" s="3" t="s">
        <x:v>913</x:v>
      </x:c>
      <x:c r="Y155" s="8" t="s">
        <x:v>61</x:v>
      </x:c>
    </x:row>
    <x:row r="156" ht="42">
      <x:c r="A156" s="3" t="s">
        <x:v>932</x:v>
      </x:c>
      <x:c r="B156" s="3" t="s">
        <x:v>691</x:v>
      </x:c>
      <x:c r="C156" s="3" t="s">
        <x:v>150</x:v>
      </x:c>
      <x:c r="D156" s="3" t="s">
        <x:v>151</x:v>
      </x:c>
      <x:c r="E156" s="3" t="s">
        <x:v>151</x:v>
      </x:c>
      <x:c r="F156" s="9"/>
      <x:c r="G156" s="9">
        <x:v>450000</x:v>
      </x:c>
      <x:c r="H156" s="9"/>
      <x:c r="I156" s="3" t="s">
        <x:v>431</x:v>
      </x:c>
      <x:c r="J156" s="9"/>
      <x:c r="K156" s="11">
        <x:v>600000</x:v>
      </x:c>
      <x:c r="L156" s="11"/>
      <x:c r="M156" s="11"/>
      <x:c r="N156" s="11">
        <x:v>150000</x:v>
      </x:c>
      <x:c r="O156" s="11">
        <x:v>450000</x:v>
      </x:c>
      <x:c r="P156" s="11">
        <x:v>48837074</x:v>
      </x:c>
      <x:c r="Q156" s="14">
        <x:f t="shared" si="2"/>
        <x:v>0.92143112423156237</x:v>
      </x:c>
      <x:c r="R156" s="13" t="s">
        <x:v>694</x:v>
      </x:c>
      <x:c r="S156" s="3" t="s">
        <x:v>744</x:v>
      </x:c>
      <x:c r="T156" s="3" t="s">
        <x:v>695</x:v>
      </x:c>
      <x:c r="U156" s="3" t="s">
        <x:v>696</x:v>
      </x:c>
      <x:c r="V156" s="3" t="s">
        <x:v>697</x:v>
      </x:c>
      <x:c r="W156" s="3" t="s">
        <x:v>834</x:v>
      </x:c>
      <x:c r="X156" s="3" t="s">
        <x:v>913</x:v>
      </x:c>
      <x:c r="Y156" s="8" t="s">
        <x:v>61</x:v>
      </x:c>
    </x:row>
    <x:row r="157" ht="42">
      <x:c r="A157" s="3" t="s">
        <x:v>933</x:v>
      </x:c>
      <x:c r="B157" s="3" t="s">
        <x:v>691</x:v>
      </x:c>
      <x:c r="C157" s="3" t="s">
        <x:v>183</x:v>
      </x:c>
      <x:c r="D157" s="3" t="s">
        <x:v>184</x:v>
      </x:c>
      <x:c r="E157" s="3" t="s">
        <x:v>185</x:v>
      </x:c>
      <x:c r="F157" s="9"/>
      <x:c r="G157" s="9">
        <x:v>387596</x:v>
      </x:c>
      <x:c r="H157" s="9"/>
      <x:c r="I157" s="3" t="s">
        <x:v>431</x:v>
      </x:c>
      <x:c r="J157" s="9"/>
      <x:c r="K157" s="11">
        <x:v>0</x:v>
      </x:c>
      <x:c r="L157" s="11">
        <x:v>387596</x:v>
      </x:c>
      <x:c r="M157" s="11">
        <x:v>387596</x:v>
      </x:c>
      <x:c r="N157" s="11"/>
      <x:c r="O157" s="11">
        <x:v>387596</x:v>
      </x:c>
      <x:c r="P157" s="11">
        <x:v>48837074</x:v>
      </x:c>
      <x:c r="Q157" s="14">
        <x:f t="shared" si="2"/>
        <x:v>0.79365115117257024</x:v>
      </x:c>
      <x:c r="R157" s="13" t="s">
        <x:v>694</x:v>
      </x:c>
      <x:c r="S157" s="3" t="s">
        <x:v>732</x:v>
      </x:c>
      <x:c r="T157" s="3" t="s">
        <x:v>695</x:v>
      </x:c>
      <x:c r="U157" s="3" t="s">
        <x:v>696</x:v>
      </x:c>
      <x:c r="V157" s="3" t="s">
        <x:v>697</x:v>
      </x:c>
      <x:c r="W157" s="3" t="s">
        <x:v>834</x:v>
      </x:c>
      <x:c r="X157" s="3" t="s">
        <x:v>913</x:v>
      </x:c>
      <x:c r="Y157" s="8" t="s">
        <x:v>61</x:v>
      </x:c>
    </x:row>
    <x:row r="158" ht="42">
      <x:c r="A158" s="3" t="s">
        <x:v>934</x:v>
      </x:c>
      <x:c r="B158" s="3" t="s">
        <x:v>691</x:v>
      </x:c>
      <x:c r="C158" s="3" t="s">
        <x:v>142</x:v>
      </x:c>
      <x:c r="D158" s="3" t="s">
        <x:v>143</x:v>
      </x:c>
      <x:c r="E158" s="3" t="s">
        <x:v>144</x:v>
      </x:c>
      <x:c r="F158" s="9"/>
      <x:c r="G158" s="9">
        <x:v>343333</x:v>
      </x:c>
      <x:c r="H158" s="9"/>
      <x:c r="I158" s="3" t="s">
        <x:v>431</x:v>
      </x:c>
      <x:c r="J158" s="9"/>
      <x:c r="K158" s="11">
        <x:v>343333</x:v>
      </x:c>
      <x:c r="L158" s="11"/>
      <x:c r="M158" s="11"/>
      <x:c r="N158" s="11"/>
      <x:c r="O158" s="11">
        <x:v>343333</x:v>
      </x:c>
      <x:c r="P158" s="11">
        <x:v>48837074</x:v>
      </x:c>
      <x:c r="Q158" s="14">
        <x:f t="shared" si="2"/>
        <x:v>0.70301713816843325</x:v>
      </x:c>
      <x:c r="R158" s="13" t="s">
        <x:v>694</x:v>
      </x:c>
      <x:c r="S158" s="3" t="s">
        <x:v>819</x:v>
      </x:c>
      <x:c r="T158" s="3" t="s">
        <x:v>695</x:v>
      </x:c>
      <x:c r="U158" s="3" t="s">
        <x:v>696</x:v>
      </x:c>
      <x:c r="V158" s="3" t="s">
        <x:v>697</x:v>
      </x:c>
      <x:c r="W158" s="3" t="s">
        <x:v>834</x:v>
      </x:c>
      <x:c r="X158" s="3" t="s">
        <x:v>913</x:v>
      </x:c>
      <x:c r="Y158" s="8" t="s">
        <x:v>61</x:v>
      </x:c>
    </x:row>
    <x:row r="159" ht="42">
      <x:c r="A159" s="3" t="s">
        <x:v>935</x:v>
      </x:c>
      <x:c r="B159" s="3" t="s">
        <x:v>691</x:v>
      </x:c>
      <x:c r="C159" s="3" t="s">
        <x:v>105</x:v>
      </x:c>
      <x:c r="D159" s="3" t="s">
        <x:v>106</x:v>
      </x:c>
      <x:c r="E159" s="3" t="s">
        <x:v>107</x:v>
      </x:c>
      <x:c r="F159" s="9"/>
      <x:c r="G159" s="9">
        <x:v>333320</x:v>
      </x:c>
      <x:c r="H159" s="9"/>
      <x:c r="I159" s="3" t="s">
        <x:v>431</x:v>
      </x:c>
      <x:c r="J159" s="9"/>
      <x:c r="K159" s="11">
        <x:v>333320</x:v>
      </x:c>
      <x:c r="L159" s="11"/>
      <x:c r="M159" s="11"/>
      <x:c r="N159" s="11"/>
      <x:c r="O159" s="11">
        <x:v>333320</x:v>
      </x:c>
      <x:c r="P159" s="11">
        <x:v>48837074</x:v>
      </x:c>
      <x:c r="Q159" s="14">
        <x:f t="shared" si="2"/>
        <x:v>0.68251427184192071</x:v>
      </x:c>
      <x:c r="R159" s="13" t="s">
        <x:v>694</x:v>
      </x:c>
      <x:c r="S159" s="3" t="s">
        <x:v>819</x:v>
      </x:c>
      <x:c r="T159" s="3" t="s">
        <x:v>695</x:v>
      </x:c>
      <x:c r="U159" s="3" t="s">
        <x:v>696</x:v>
      </x:c>
      <x:c r="V159" s="3" t="s">
        <x:v>697</x:v>
      </x:c>
      <x:c r="W159" s="3" t="s">
        <x:v>834</x:v>
      </x:c>
      <x:c r="X159" s="3" t="s">
        <x:v>913</x:v>
      </x:c>
      <x:c r="Y159" s="8" t="s">
        <x:v>61</x:v>
      </x:c>
    </x:row>
    <x:row r="160" ht="42">
      <x:c r="A160" s="3" t="s">
        <x:v>936</x:v>
      </x:c>
      <x:c r="B160" s="3" t="s">
        <x:v>691</x:v>
      </x:c>
      <x:c r="C160" s="3" t="s">
        <x:v>109</x:v>
      </x:c>
      <x:c r="D160" s="3" t="s">
        <x:v>110</x:v>
      </x:c>
      <x:c r="E160" s="3" t="s">
        <x:v>111</x:v>
      </x:c>
      <x:c r="F160" s="9"/>
      <x:c r="G160" s="9">
        <x:v>333320</x:v>
      </x:c>
      <x:c r="H160" s="9"/>
      <x:c r="I160" s="3" t="s">
        <x:v>431</x:v>
      </x:c>
      <x:c r="J160" s="9"/>
      <x:c r="K160" s="11">
        <x:v>333320</x:v>
      </x:c>
      <x:c r="L160" s="11"/>
      <x:c r="M160" s="11"/>
      <x:c r="N160" s="11"/>
      <x:c r="O160" s="11">
        <x:v>333320</x:v>
      </x:c>
      <x:c r="P160" s="11">
        <x:v>48837074</x:v>
      </x:c>
      <x:c r="Q160" s="14">
        <x:f t="shared" si="2"/>
        <x:v>0.68251427184192071</x:v>
      </x:c>
      <x:c r="R160" s="13" t="s">
        <x:v>694</x:v>
      </x:c>
      <x:c r="S160" s="3" t="s">
        <x:v>819</x:v>
      </x:c>
      <x:c r="T160" s="3" t="s">
        <x:v>695</x:v>
      </x:c>
      <x:c r="U160" s="3" t="s">
        <x:v>696</x:v>
      </x:c>
      <x:c r="V160" s="3" t="s">
        <x:v>697</x:v>
      </x:c>
      <x:c r="W160" s="3" t="s">
        <x:v>834</x:v>
      </x:c>
      <x:c r="X160" s="3" t="s">
        <x:v>913</x:v>
      </x:c>
      <x:c r="Y160" s="8" t="s">
        <x:v>61</x:v>
      </x:c>
    </x:row>
    <x:row r="161" ht="42">
      <x:c r="A161" s="3" t="s">
        <x:v>937</x:v>
      </x:c>
      <x:c r="B161" s="3" t="s">
        <x:v>691</x:v>
      </x:c>
      <x:c r="C161" s="3" t="s">
        <x:v>113</x:v>
      </x:c>
      <x:c r="D161" s="3" t="s">
        <x:v>114</x:v>
      </x:c>
      <x:c r="E161" s="3" t="s">
        <x:v>115</x:v>
      </x:c>
      <x:c r="F161" s="9"/>
      <x:c r="G161" s="9">
        <x:v>333320</x:v>
      </x:c>
      <x:c r="H161" s="9"/>
      <x:c r="I161" s="3" t="s">
        <x:v>431</x:v>
      </x:c>
      <x:c r="J161" s="9"/>
      <x:c r="K161" s="11">
        <x:v>333320</x:v>
      </x:c>
      <x:c r="L161" s="11"/>
      <x:c r="M161" s="11"/>
      <x:c r="N161" s="11"/>
      <x:c r="O161" s="11">
        <x:v>333320</x:v>
      </x:c>
      <x:c r="P161" s="11">
        <x:v>48837074</x:v>
      </x:c>
      <x:c r="Q161" s="14">
        <x:f t="shared" si="2"/>
        <x:v>0.68251427184192071</x:v>
      </x:c>
      <x:c r="R161" s="13" t="s">
        <x:v>694</x:v>
      </x:c>
      <x:c r="S161" s="3" t="s">
        <x:v>819</x:v>
      </x:c>
      <x:c r="T161" s="3" t="s">
        <x:v>695</x:v>
      </x:c>
      <x:c r="U161" s="3" t="s">
        <x:v>696</x:v>
      </x:c>
      <x:c r="V161" s="3" t="s">
        <x:v>697</x:v>
      </x:c>
      <x:c r="W161" s="3" t="s">
        <x:v>834</x:v>
      </x:c>
      <x:c r="X161" s="3" t="s">
        <x:v>913</x:v>
      </x:c>
      <x:c r="Y161" s="8" t="s">
        <x:v>61</x:v>
      </x:c>
    </x:row>
    <x:row r="162" ht="42">
      <x:c r="A162" s="3" t="s">
        <x:v>938</x:v>
      </x:c>
      <x:c r="B162" s="3" t="s">
        <x:v>691</x:v>
      </x:c>
      <x:c r="C162" s="3" t="s">
        <x:v>202</x:v>
      </x:c>
      <x:c r="D162" s="3" t="s">
        <x:v>203</x:v>
      </x:c>
      <x:c r="E162" s="3" t="s">
        <x:v>204</x:v>
      </x:c>
      <x:c r="F162" s="9"/>
      <x:c r="G162" s="9">
        <x:v>285000</x:v>
      </x:c>
      <x:c r="H162" s="9"/>
      <x:c r="I162" s="3" t="s">
        <x:v>431</x:v>
      </x:c>
      <x:c r="J162" s="9"/>
      <x:c r="K162" s="11">
        <x:v>0</x:v>
      </x:c>
      <x:c r="L162" s="11">
        <x:v>285000</x:v>
      </x:c>
      <x:c r="M162" s="11">
        <x:v>285000</x:v>
      </x:c>
      <x:c r="N162" s="11"/>
      <x:c r="O162" s="11">
        <x:v>285000</x:v>
      </x:c>
      <x:c r="P162" s="11">
        <x:v>48837074</x:v>
      </x:c>
      <x:c r="Q162" s="14">
        <x:f t="shared" si="2"/>
        <x:v>0.58357304534665611</x:v>
      </x:c>
      <x:c r="R162" s="13" t="s">
        <x:v>694</x:v>
      </x:c>
      <x:c r="S162" s="3" t="s">
        <x:v>732</x:v>
      </x:c>
      <x:c r="T162" s="3" t="s">
        <x:v>695</x:v>
      </x:c>
      <x:c r="U162" s="3" t="s">
        <x:v>696</x:v>
      </x:c>
      <x:c r="V162" s="3" t="s">
        <x:v>697</x:v>
      </x:c>
      <x:c r="W162" s="3" t="s">
        <x:v>834</x:v>
      </x:c>
      <x:c r="X162" s="3" t="s">
        <x:v>913</x:v>
      </x:c>
      <x:c r="Y162" s="8" t="s">
        <x:v>61</x:v>
      </x:c>
    </x:row>
    <x:row r="163" ht="42">
      <x:c r="A163" s="3" t="s">
        <x:v>939</x:v>
      </x:c>
      <x:c r="B163" s="3" t="s">
        <x:v>691</x:v>
      </x:c>
      <x:c r="C163" s="3" t="s">
        <x:v>162</x:v>
      </x:c>
      <x:c r="D163" s="3" t="s">
        <x:v>163</x:v>
      </x:c>
      <x:c r="E163" s="3" t="s">
        <x:v>164</x:v>
      </x:c>
      <x:c r="F163" s="9"/>
      <x:c r="G163" s="9">
        <x:v>274667</x:v>
      </x:c>
      <x:c r="H163" s="9"/>
      <x:c r="I163" s="3" t="s">
        <x:v>431</x:v>
      </x:c>
      <x:c r="J163" s="9"/>
      <x:c r="K163" s="11">
        <x:v>274667</x:v>
      </x:c>
      <x:c r="L163" s="11"/>
      <x:c r="M163" s="11"/>
      <x:c r="N163" s="11"/>
      <x:c r="O163" s="11">
        <x:v>274667</x:v>
      </x:c>
      <x:c r="P163" s="11">
        <x:v>48837074</x:v>
      </x:c>
      <x:c r="Q163" s="14">
        <x:f t="shared" si="2"/>
        <x:v>0.56241493910957896</x:v>
      </x:c>
      <x:c r="R163" s="13" t="s">
        <x:v>694</x:v>
      </x:c>
      <x:c r="S163" s="3" t="s">
        <x:v>819</x:v>
      </x:c>
      <x:c r="T163" s="3" t="s">
        <x:v>695</x:v>
      </x:c>
      <x:c r="U163" s="3" t="s">
        <x:v>696</x:v>
      </x:c>
      <x:c r="V163" s="3" t="s">
        <x:v>697</x:v>
      </x:c>
      <x:c r="W163" s="3" t="s">
        <x:v>834</x:v>
      </x:c>
      <x:c r="X163" s="3" t="s">
        <x:v>913</x:v>
      </x:c>
      <x:c r="Y163" s="8" t="s">
        <x:v>61</x:v>
      </x:c>
    </x:row>
    <x:row r="164" ht="42">
      <x:c r="A164" s="3" t="s">
        <x:v>940</x:v>
      </x:c>
      <x:c r="B164" s="3" t="s">
        <x:v>691</x:v>
      </x:c>
      <x:c r="C164" s="3" t="s">
        <x:v>152</x:v>
      </x:c>
      <x:c r="D164" s="3" t="s">
        <x:v>153</x:v>
      </x:c>
      <x:c r="E164" s="3" t="s">
        <x:v>153</x:v>
      </x:c>
      <x:c r="F164" s="9"/>
      <x:c r="G164" s="9">
        <x:v>200000</x:v>
      </x:c>
      <x:c r="H164" s="9"/>
      <x:c r="I164" s="3" t="s">
        <x:v>431</x:v>
      </x:c>
      <x:c r="J164" s="9"/>
      <x:c r="K164" s="11">
        <x:v>200000</x:v>
      </x:c>
      <x:c r="L164" s="11"/>
      <x:c r="M164" s="11"/>
      <x:c r="N164" s="11"/>
      <x:c r="O164" s="11">
        <x:v>200000</x:v>
      </x:c>
      <x:c r="P164" s="11">
        <x:v>48837074</x:v>
      </x:c>
      <x:c r="Q164" s="14">
        <x:f t="shared" si="2"/>
        <x:v>0.40952494410291657</x:v>
      </x:c>
      <x:c r="R164" s="13" t="s">
        <x:v>694</x:v>
      </x:c>
      <x:c r="S164" s="3" t="s">
        <x:v>819</x:v>
      </x:c>
      <x:c r="T164" s="3" t="s">
        <x:v>695</x:v>
      </x:c>
      <x:c r="U164" s="3" t="s">
        <x:v>696</x:v>
      </x:c>
      <x:c r="V164" s="3" t="s">
        <x:v>697</x:v>
      </x:c>
      <x:c r="W164" s="3" t="s">
        <x:v>834</x:v>
      </x:c>
      <x:c r="X164" s="3" t="s">
        <x:v>913</x:v>
      </x:c>
      <x:c r="Y164" s="8" t="s">
        <x:v>61</x:v>
      </x:c>
    </x:row>
    <x:row r="165" ht="42">
      <x:c r="A165" s="3" t="s">
        <x:v>941</x:v>
      </x:c>
      <x:c r="B165" s="3" t="s">
        <x:v>691</x:v>
      </x:c>
      <x:c r="C165" s="3" t="s">
        <x:v>190</x:v>
      </x:c>
      <x:c r="D165" s="3" t="s">
        <x:v>191</x:v>
      </x:c>
      <x:c r="E165" s="3" t="s">
        <x:v>192</x:v>
      </x:c>
      <x:c r="F165" s="9"/>
      <x:c r="G165" s="9">
        <x:v>116280</x:v>
      </x:c>
      <x:c r="H165" s="9"/>
      <x:c r="I165" s="3" t="s">
        <x:v>431</x:v>
      </x:c>
      <x:c r="J165" s="9"/>
      <x:c r="K165" s="11">
        <x:v>0</x:v>
      </x:c>
      <x:c r="L165" s="11">
        <x:v>116280</x:v>
      </x:c>
      <x:c r="M165" s="11">
        <x:v>116280</x:v>
      </x:c>
      <x:c r="N165" s="11"/>
      <x:c r="O165" s="11">
        <x:v>116280</x:v>
      </x:c>
      <x:c r="P165" s="11">
        <x:v>48837074</x:v>
      </x:c>
      <x:c r="Q165" s="14">
        <x:f t="shared" si="2"/>
        <x:v>0.2380978025014357</x:v>
      </x:c>
      <x:c r="R165" s="13" t="s">
        <x:v>694</x:v>
      </x:c>
      <x:c r="S165" s="3" t="s">
        <x:v>732</x:v>
      </x:c>
      <x:c r="T165" s="3" t="s">
        <x:v>695</x:v>
      </x:c>
      <x:c r="U165" s="3" t="s">
        <x:v>696</x:v>
      </x:c>
      <x:c r="V165" s="3" t="s">
        <x:v>697</x:v>
      </x:c>
      <x:c r="W165" s="3" t="s">
        <x:v>834</x:v>
      </x:c>
      <x:c r="X165" s="3" t="s">
        <x:v>913</x:v>
      </x:c>
      <x:c r="Y165" s="8" t="s">
        <x:v>61</x:v>
      </x:c>
    </x:row>
    <x:row r="166" ht="42">
      <x:c r="A166" s="3" t="s">
        <x:v>942</x:v>
      </x:c>
      <x:c r="B166" s="3" t="s">
        <x:v>691</x:v>
      </x:c>
      <x:c r="C166" s="3" t="s">
        <x:v>194</x:v>
      </x:c>
      <x:c r="D166" s="3" t="s">
        <x:v>195</x:v>
      </x:c>
      <x:c r="E166" s="3" t="s">
        <x:v>195</x:v>
      </x:c>
      <x:c r="F166" s="9"/>
      <x:c r="G166" s="9">
        <x:v>85000</x:v>
      </x:c>
      <x:c r="H166" s="9"/>
      <x:c r="I166" s="3" t="s">
        <x:v>431</x:v>
      </x:c>
      <x:c r="J166" s="9"/>
      <x:c r="K166" s="11">
        <x:v>0</x:v>
      </x:c>
      <x:c r="L166" s="11">
        <x:v>85000</x:v>
      </x:c>
      <x:c r="M166" s="11">
        <x:v>85000</x:v>
      </x:c>
      <x:c r="N166" s="11"/>
      <x:c r="O166" s="11">
        <x:v>85000</x:v>
      </x:c>
      <x:c r="P166" s="11">
        <x:v>48837074</x:v>
      </x:c>
      <x:c r="Q166" s="14">
        <x:f t="shared" si="2"/>
        <x:v>0.17404810124373954</x:v>
      </x:c>
      <x:c r="R166" s="13" t="s">
        <x:v>694</x:v>
      </x:c>
      <x:c r="S166" s="3" t="s">
        <x:v>732</x:v>
      </x:c>
      <x:c r="T166" s="3" t="s">
        <x:v>695</x:v>
      </x:c>
      <x:c r="U166" s="3" t="s">
        <x:v>696</x:v>
      </x:c>
      <x:c r="V166" s="3" t="s">
        <x:v>697</x:v>
      </x:c>
      <x:c r="W166" s="3" t="s">
        <x:v>834</x:v>
      </x:c>
      <x:c r="X166" s="3" t="s">
        <x:v>913</x:v>
      </x:c>
      <x:c r="Y166" s="8" t="s">
        <x:v>61</x:v>
      </x:c>
    </x:row>
    <x:row r="167" ht="42">
      <x:c r="A167" s="3" t="s">
        <x:v>943</x:v>
      </x:c>
      <x:c r="B167" s="3" t="s">
        <x:v>691</x:v>
      </x:c>
      <x:c r="C167" s="3" t="s">
        <x:v>196</x:v>
      </x:c>
      <x:c r="D167" s="3" t="s">
        <x:v>197</x:v>
      </x:c>
      <x:c r="E167" s="3" t="s">
        <x:v>197</x:v>
      </x:c>
      <x:c r="F167" s="9"/>
      <x:c r="G167" s="9">
        <x:v>85000</x:v>
      </x:c>
      <x:c r="H167" s="9"/>
      <x:c r="I167" s="3" t="s">
        <x:v>431</x:v>
      </x:c>
      <x:c r="J167" s="9"/>
      <x:c r="K167" s="11">
        <x:v>0</x:v>
      </x:c>
      <x:c r="L167" s="11">
        <x:v>85000</x:v>
      </x:c>
      <x:c r="M167" s="11">
        <x:v>85000</x:v>
      </x:c>
      <x:c r="N167" s="11"/>
      <x:c r="O167" s="11">
        <x:v>85000</x:v>
      </x:c>
      <x:c r="P167" s="11">
        <x:v>48837074</x:v>
      </x:c>
      <x:c r="Q167" s="14">
        <x:f t="shared" si="2"/>
        <x:v>0.17404810124373954</x:v>
      </x:c>
      <x:c r="R167" s="13" t="s">
        <x:v>694</x:v>
      </x:c>
      <x:c r="S167" s="3" t="s">
        <x:v>732</x:v>
      </x:c>
      <x:c r="T167" s="3" t="s">
        <x:v>695</x:v>
      </x:c>
      <x:c r="U167" s="3" t="s">
        <x:v>696</x:v>
      </x:c>
      <x:c r="V167" s="3" t="s">
        <x:v>697</x:v>
      </x:c>
      <x:c r="W167" s="3" t="s">
        <x:v>834</x:v>
      </x:c>
      <x:c r="X167" s="3" t="s">
        <x:v>913</x:v>
      </x:c>
      <x:c r="Y167" s="8" t="s">
        <x:v>61</x:v>
      </x:c>
    </x:row>
    <x:row r="168" ht="42">
      <x:c r="A168" s="3" t="s">
        <x:v>944</x:v>
      </x:c>
      <x:c r="B168" s="3" t="s">
        <x:v>691</x:v>
      </x:c>
      <x:c r="C168" s="3" t="s">
        <x:v>198</x:v>
      </x:c>
      <x:c r="D168" s="3" t="s">
        <x:v>199</x:v>
      </x:c>
      <x:c r="E168" s="3" t="s">
        <x:v>199</x:v>
      </x:c>
      <x:c r="F168" s="9"/>
      <x:c r="G168" s="9">
        <x:v>85000</x:v>
      </x:c>
      <x:c r="H168" s="9"/>
      <x:c r="I168" s="3" t="s">
        <x:v>431</x:v>
      </x:c>
      <x:c r="J168" s="9"/>
      <x:c r="K168" s="11">
        <x:v>0</x:v>
      </x:c>
      <x:c r="L168" s="11">
        <x:v>85000</x:v>
      </x:c>
      <x:c r="M168" s="11">
        <x:v>85000</x:v>
      </x:c>
      <x:c r="N168" s="11"/>
      <x:c r="O168" s="11">
        <x:v>85000</x:v>
      </x:c>
      <x:c r="P168" s="11">
        <x:v>48837074</x:v>
      </x:c>
      <x:c r="Q168" s="14">
        <x:f t="shared" si="2"/>
        <x:v>0.17404810124373954</x:v>
      </x:c>
      <x:c r="R168" s="13" t="s">
        <x:v>694</x:v>
      </x:c>
      <x:c r="S168" s="3" t="s">
        <x:v>732</x:v>
      </x:c>
      <x:c r="T168" s="3" t="s">
        <x:v>695</x:v>
      </x:c>
      <x:c r="U168" s="3" t="s">
        <x:v>696</x:v>
      </x:c>
      <x:c r="V168" s="3" t="s">
        <x:v>697</x:v>
      </x:c>
      <x:c r="W168" s="3" t="s">
        <x:v>834</x:v>
      </x:c>
      <x:c r="X168" s="3" t="s">
        <x:v>913</x:v>
      </x:c>
      <x:c r="Y168" s="8" t="s">
        <x:v>61</x:v>
      </x:c>
    </x:row>
    <x:row r="169" ht="42">
      <x:c r="A169" s="3" t="s">
        <x:v>945</x:v>
      </x:c>
      <x:c r="B169" s="3" t="s">
        <x:v>691</x:v>
      </x:c>
      <x:c r="C169" s="3" t="s">
        <x:v>136</x:v>
      </x:c>
      <x:c r="D169" s="3" t="s">
        <x:v>137</x:v>
      </x:c>
      <x:c r="E169" s="3" t="s">
        <x:v>137</x:v>
      </x:c>
      <x:c r="F169" s="9"/>
      <x:c r="G169" s="9">
        <x:v>70040</x:v>
      </x:c>
      <x:c r="H169" s="9"/>
      <x:c r="I169" s="3" t="s">
        <x:v>431</x:v>
      </x:c>
      <x:c r="J169" s="9"/>
      <x:c r="K169" s="11">
        <x:v>70040</x:v>
      </x:c>
      <x:c r="L169" s="11"/>
      <x:c r="M169" s="11"/>
      <x:c r="N169" s="11"/>
      <x:c r="O169" s="11">
        <x:v>70040</x:v>
      </x:c>
      <x:c r="P169" s="11">
        <x:v>48837074</x:v>
      </x:c>
      <x:c r="Q169" s="14">
        <x:f t="shared" si="2"/>
        <x:v>0.14341563542484137</x:v>
      </x:c>
      <x:c r="R169" s="13" t="s">
        <x:v>694</x:v>
      </x:c>
      <x:c r="S169" s="3" t="s">
        <x:v>819</x:v>
      </x:c>
      <x:c r="T169" s="3" t="s">
        <x:v>695</x:v>
      </x:c>
      <x:c r="U169" s="3" t="s">
        <x:v>696</x:v>
      </x:c>
      <x:c r="V169" s="3" t="s">
        <x:v>697</x:v>
      </x:c>
      <x:c r="W169" s="3" t="s">
        <x:v>834</x:v>
      </x:c>
      <x:c r="X169" s="3" t="s">
        <x:v>913</x:v>
      </x:c>
      <x:c r="Y169" s="8" t="s">
        <x:v>61</x:v>
      </x:c>
    </x:row>
    <x:row r="170" ht="42">
      <x:c r="A170" s="3" t="s">
        <x:v>946</x:v>
      </x:c>
      <x:c r="B170" s="3" t="s">
        <x:v>691</x:v>
      </x:c>
      <x:c r="C170" s="3" t="s">
        <x:v>200</x:v>
      </x:c>
      <x:c r="D170" s="3" t="s">
        <x:v>201</x:v>
      </x:c>
      <x:c r="E170" s="3" t="s">
        <x:v>201</x:v>
      </x:c>
      <x:c r="F170" s="9"/>
      <x:c r="G170" s="9">
        <x:v>38760</x:v>
      </x:c>
      <x:c r="H170" s="9"/>
      <x:c r="I170" s="3" t="s">
        <x:v>431</x:v>
      </x:c>
      <x:c r="J170" s="9"/>
      <x:c r="K170" s="11">
        <x:v>0</x:v>
      </x:c>
      <x:c r="L170" s="11">
        <x:v>38760</x:v>
      </x:c>
      <x:c r="M170" s="11">
        <x:v>38760</x:v>
      </x:c>
      <x:c r="N170" s="11"/>
      <x:c r="O170" s="11">
        <x:v>38760</x:v>
      </x:c>
      <x:c r="P170" s="11">
        <x:v>48837074</x:v>
      </x:c>
      <x:c r="Q170" s="14">
        <x:f t="shared" si="2"/>
        <x:v>7.9365934167145241E-2</x:v>
      </x:c>
      <x:c r="R170" s="13" t="s">
        <x:v>694</x:v>
      </x:c>
      <x:c r="S170" s="3" t="s">
        <x:v>732</x:v>
      </x:c>
      <x:c r="T170" s="3" t="s">
        <x:v>695</x:v>
      </x:c>
      <x:c r="U170" s="3" t="s">
        <x:v>696</x:v>
      </x:c>
      <x:c r="V170" s="3" t="s">
        <x:v>697</x:v>
      </x:c>
      <x:c r="W170" s="3" t="s">
        <x:v>834</x:v>
      </x:c>
      <x:c r="X170" s="3" t="s">
        <x:v>913</x:v>
      </x:c>
      <x:c r="Y170" s="8" t="s">
        <x:v>61</x:v>
      </x:c>
    </x:row>
    <x:row r="171" ht="28">
      <x:c r="A171" s="3" t="s">
        <x:v>947</x:v>
      </x:c>
      <x:c r="B171" s="3" t="s">
        <x:v>700</x:v>
      </x:c>
      <x:c r="C171" s="3" t="s">
        <x:v>67</x:v>
      </x:c>
      <x:c r="D171" s="3" t="s">
        <x:v>68</x:v>
      </x:c>
      <x:c r="E171" s="3" t="s">
        <x:v>68</x:v>
      </x:c>
      <x:c r="F171" s="9"/>
      <x:c r="G171" s="9">
        <x:v>16132255</x:v>
      </x:c>
      <x:c r="H171" s="9"/>
      <x:c r="I171" s="3" t="s">
        <x:v>431</x:v>
      </x:c>
      <x:c r="J171" s="9"/>
      <x:c r="K171" s="11">
        <x:v>16132255</x:v>
      </x:c>
      <x:c r="L171" s="11"/>
      <x:c r="M171" s="11"/>
      <x:c r="N171" s="11"/>
      <x:c r="O171" s="11">
        <x:v>16132255</x:v>
      </x:c>
      <x:c r="P171" s="11">
        <x:v>48837074</x:v>
      </x:c>
      <x:c r="Q171" s="14">
        <x:f t="shared" si="2"/>
        <x:v>33.03280413564498</x:v>
      </x:c>
      <x:c r="R171" s="13" t="s">
        <x:v>705</x:v>
      </x:c>
      <x:c r="S171" s="3" t="s">
        <x:v>819</x:v>
      </x:c>
      <x:c r="T171" s="3" t="s">
        <x:v>707</x:v>
      </x:c>
      <x:c r="U171" s="3" t="s">
        <x:v>708</x:v>
      </x:c>
      <x:c r="V171" s="3" t="s">
        <x:v>709</x:v>
      </x:c>
      <x:c r="W171" s="3" t="s">
        <x:v>948</x:v>
      </x:c>
      <x:c r="X171" s="3" t="s">
        <x:v>949</x:v>
      </x:c>
      <x:c r="Y171" s="8" t="s">
        <x:v>61</x:v>
      </x:c>
    </x:row>
    <x:row r="172" ht="28">
      <x:c r="A172" s="3" t="s">
        <x:v>950</x:v>
      </x:c>
      <x:c r="B172" s="3" t="s">
        <x:v>700</x:v>
      </x:c>
      <x:c r="C172" s="3" t="s">
        <x:v>62</x:v>
      </x:c>
      <x:c r="D172" s="3" t="s">
        <x:v>63</x:v>
      </x:c>
      <x:c r="E172" s="3" t="s">
        <x:v>63</x:v>
      </x:c>
      <x:c r="F172" s="9"/>
      <x:c r="G172" s="9">
        <x:v>6454820</x:v>
      </x:c>
      <x:c r="H172" s="9"/>
      <x:c r="I172" s="3" t="s">
        <x:v>431</x:v>
      </x:c>
      <x:c r="J172" s="9"/>
      <x:c r="K172" s="11">
        <x:v>6454820</x:v>
      </x:c>
      <x:c r="L172" s="11"/>
      <x:c r="M172" s="11"/>
      <x:c r="N172" s="11"/>
      <x:c r="O172" s="11">
        <x:v>6454820</x:v>
      </x:c>
      <x:c r="P172" s="11">
        <x:v>48837074</x:v>
      </x:c>
      <x:c r="Q172" s="14">
        <x:f t="shared" si="2"/>
        <x:v>13.21704899847194</x:v>
      </x:c>
      <x:c r="R172" s="13" t="s">
        <x:v>705</x:v>
      </x:c>
      <x:c r="S172" s="3" t="s">
        <x:v>819</x:v>
      </x:c>
      <x:c r="T172" s="3" t="s">
        <x:v>707</x:v>
      </x:c>
      <x:c r="U172" s="3" t="s">
        <x:v>708</x:v>
      </x:c>
      <x:c r="V172" s="3" t="s">
        <x:v>709</x:v>
      </x:c>
      <x:c r="W172" s="3" t="s">
        <x:v>948</x:v>
      </x:c>
      <x:c r="X172" s="3" t="s">
        <x:v>949</x:v>
      </x:c>
      <x:c r="Y172" s="8" t="s">
        <x:v>61</x:v>
      </x:c>
    </x:row>
    <x:row r="173" ht="28">
      <x:c r="A173" s="3" t="s">
        <x:v>951</x:v>
      </x:c>
      <x:c r="B173" s="3" t="s">
        <x:v>700</x:v>
      </x:c>
      <x:c r="C173" s="3" t="s">
        <x:v>78</x:v>
      </x:c>
      <x:c r="D173" s="3" t="s">
        <x:v>79</x:v>
      </x:c>
      <x:c r="E173" s="3" t="s">
        <x:v>80</x:v>
      </x:c>
      <x:c r="F173" s="9"/>
      <x:c r="G173" s="9">
        <x:v>5004000</x:v>
      </x:c>
      <x:c r="H173" s="9"/>
      <x:c r="I173" s="3" t="s">
        <x:v>431</x:v>
      </x:c>
      <x:c r="J173" s="9"/>
      <x:c r="K173" s="11">
        <x:v>5004000</x:v>
      </x:c>
      <x:c r="L173" s="11"/>
      <x:c r="M173" s="11"/>
      <x:c r="N173" s="11"/>
      <x:c r="O173" s="11">
        <x:v>5004000</x:v>
      </x:c>
      <x:c r="P173" s="11">
        <x:v>48837074</x:v>
      </x:c>
      <x:c r="Q173" s="14">
        <x:f t="shared" si="2"/>
        <x:v>10.246314101454972</x:v>
      </x:c>
      <x:c r="R173" s="13" t="s">
        <x:v>705</x:v>
      </x:c>
      <x:c r="S173" s="3" t="s">
        <x:v>819</x:v>
      </x:c>
      <x:c r="T173" s="3" t="s">
        <x:v>707</x:v>
      </x:c>
      <x:c r="U173" s="3" t="s">
        <x:v>708</x:v>
      </x:c>
      <x:c r="V173" s="3" t="s">
        <x:v>709</x:v>
      </x:c>
      <x:c r="W173" s="3" t="s">
        <x:v>948</x:v>
      </x:c>
      <x:c r="X173" s="3" t="s">
        <x:v>949</x:v>
      </x:c>
      <x:c r="Y173" s="8" t="s">
        <x:v>61</x:v>
      </x:c>
    </x:row>
    <x:row r="174" ht="28">
      <x:c r="A174" s="3" t="s">
        <x:v>952</x:v>
      </x:c>
      <x:c r="B174" s="3" t="s">
        <x:v>700</x:v>
      </x:c>
      <x:c r="C174" s="3" t="s">
        <x:v>89</x:v>
      </x:c>
      <x:c r="D174" s="3" t="s">
        <x:v>90</x:v>
      </x:c>
      <x:c r="E174" s="3" t="s">
        <x:v>91</x:v>
      </x:c>
      <x:c r="F174" s="9"/>
      <x:c r="G174" s="9">
        <x:v>2835320</x:v>
      </x:c>
      <x:c r="H174" s="9"/>
      <x:c r="I174" s="3" t="s">
        <x:v>431</x:v>
      </x:c>
      <x:c r="J174" s="9"/>
      <x:c r="K174" s="11">
        <x:v>2835320</x:v>
      </x:c>
      <x:c r="L174" s="11"/>
      <x:c r="M174" s="11"/>
      <x:c r="N174" s="11"/>
      <x:c r="O174" s="11">
        <x:v>2835320</x:v>
      </x:c>
      <x:c r="P174" s="11">
        <x:v>48837074</x:v>
      </x:c>
      <x:c r="Q174" s="14">
        <x:f t="shared" si="2"/>
        <x:v>5.805671322569407</x:v>
      </x:c>
      <x:c r="R174" s="13" t="s">
        <x:v>705</x:v>
      </x:c>
      <x:c r="S174" s="3" t="s">
        <x:v>819</x:v>
      </x:c>
      <x:c r="T174" s="3" t="s">
        <x:v>707</x:v>
      </x:c>
      <x:c r="U174" s="3" t="s">
        <x:v>708</x:v>
      </x:c>
      <x:c r="V174" s="3" t="s">
        <x:v>709</x:v>
      </x:c>
      <x:c r="W174" s="3" t="s">
        <x:v>948</x:v>
      </x:c>
      <x:c r="X174" s="3" t="s">
        <x:v>949</x:v>
      </x:c>
      <x:c r="Y174" s="8" t="s">
        <x:v>61</x:v>
      </x:c>
    </x:row>
    <x:row r="175" ht="42">
      <x:c r="A175" s="3" t="s">
        <x:v>953</x:v>
      </x:c>
      <x:c r="B175" s="3" t="s">
        <x:v>700</x:v>
      </x:c>
      <x:c r="C175" s="3" t="s">
        <x:v>122</x:v>
      </x:c>
      <x:c r="D175" s="3" t="s">
        <x:v>123</x:v>
      </x:c>
      <x:c r="E175" s="3" t="s">
        <x:v>124</x:v>
      </x:c>
      <x:c r="F175" s="9"/>
      <x:c r="G175" s="9">
        <x:v>2544787</x:v>
      </x:c>
      <x:c r="H175" s="9"/>
      <x:c r="I175" s="3" t="s">
        <x:v>431</x:v>
      </x:c>
      <x:c r="J175" s="9"/>
      <x:c r="K175" s="11">
        <x:v>2544787</x:v>
      </x:c>
      <x:c r="L175" s="11"/>
      <x:c r="M175" s="11"/>
      <x:c r="N175" s="11"/>
      <x:c r="O175" s="11">
        <x:v>2544787</x:v>
      </x:c>
      <x:c r="P175" s="11">
        <x:v>48837074</x:v>
      </x:c>
      <x:c r="Q175" s="14">
        <x:f t="shared" si="2"/>
        <x:v>5.2107687696441438</x:v>
      </x:c>
      <x:c r="R175" s="13" t="s">
        <x:v>705</x:v>
      </x:c>
      <x:c r="S175" s="3" t="s">
        <x:v>819</x:v>
      </x:c>
      <x:c r="T175" s="3" t="s">
        <x:v>707</x:v>
      </x:c>
      <x:c r="U175" s="3" t="s">
        <x:v>708</x:v>
      </x:c>
      <x:c r="V175" s="3" t="s">
        <x:v>709</x:v>
      </x:c>
      <x:c r="W175" s="3" t="s">
        <x:v>948</x:v>
      </x:c>
      <x:c r="X175" s="3" t="s">
        <x:v>949</x:v>
      </x:c>
      <x:c r="Y175" s="8" t="s">
        <x:v>61</x:v>
      </x:c>
    </x:row>
    <x:row r="176" ht="28">
      <x:c r="A176" s="3" t="s">
        <x:v>954</x:v>
      </x:c>
      <x:c r="B176" s="3" t="s">
        <x:v>700</x:v>
      </x:c>
      <x:c r="C176" s="3" t="s">
        <x:v>85</x:v>
      </x:c>
      <x:c r="D176" s="3" t="s">
        <x:v>86</x:v>
      </x:c>
      <x:c r="E176" s="3" t="s">
        <x:v>87</x:v>
      </x:c>
      <x:c r="F176" s="9"/>
      <x:c r="G176" s="9">
        <x:v>2502000</x:v>
      </x:c>
      <x:c r="H176" s="9"/>
      <x:c r="I176" s="3" t="s">
        <x:v>431</x:v>
      </x:c>
      <x:c r="J176" s="9"/>
      <x:c r="K176" s="11">
        <x:v>2502000</x:v>
      </x:c>
      <x:c r="L176" s="11"/>
      <x:c r="M176" s="11"/>
      <x:c r="N176" s="11"/>
      <x:c r="O176" s="11">
        <x:v>2502000</x:v>
      </x:c>
      <x:c r="P176" s="11">
        <x:v>48837074</x:v>
      </x:c>
      <x:c r="Q176" s="14">
        <x:f t="shared" si="2"/>
        <x:v>5.1231570507274862</x:v>
      </x:c>
      <x:c r="R176" s="13" t="s">
        <x:v>705</x:v>
      </x:c>
      <x:c r="S176" s="3" t="s">
        <x:v>819</x:v>
      </x:c>
      <x:c r="T176" s="3" t="s">
        <x:v>707</x:v>
      </x:c>
      <x:c r="U176" s="3" t="s">
        <x:v>708</x:v>
      </x:c>
      <x:c r="V176" s="3" t="s">
        <x:v>709</x:v>
      </x:c>
      <x:c r="W176" s="3" t="s">
        <x:v>948</x:v>
      </x:c>
      <x:c r="X176" s="3" t="s">
        <x:v>949</x:v>
      </x:c>
      <x:c r="Y176" s="8" t="s">
        <x:v>61</x:v>
      </x:c>
    </x:row>
    <x:row r="177" ht="28">
      <x:c r="A177" s="3" t="s">
        <x:v>955</x:v>
      </x:c>
      <x:c r="B177" s="3" t="s">
        <x:v>700</x:v>
      </x:c>
      <x:c r="C177" s="3" t="s">
        <x:v>171</x:v>
      </x:c>
      <x:c r="D177" s="3" t="s">
        <x:v>172</x:v>
      </x:c>
      <x:c r="E177" s="3" t="s">
        <x:v>173</x:v>
      </x:c>
      <x:c r="F177" s="9"/>
      <x:c r="G177" s="9">
        <x:v>1130488</x:v>
      </x:c>
      <x:c r="H177" s="9"/>
      <x:c r="I177" s="3" t="s">
        <x:v>431</x:v>
      </x:c>
      <x:c r="J177" s="9"/>
      <x:c r="K177" s="11">
        <x:v>1130488</x:v>
      </x:c>
      <x:c r="L177" s="11"/>
      <x:c r="M177" s="11"/>
      <x:c r="N177" s="11"/>
      <x:c r="O177" s="11">
        <x:v>1130488</x:v>
      </x:c>
      <x:c r="P177" s="11">
        <x:v>48837074</x:v>
      </x:c>
      <x:c r="Q177" s="14">
        <x:f t="shared" si="2"/>
        <x:v>2.3148151750450898</x:v>
      </x:c>
      <x:c r="R177" s="13" t="s">
        <x:v>705</x:v>
      </x:c>
      <x:c r="S177" s="3" t="s">
        <x:v>819</x:v>
      </x:c>
      <x:c r="T177" s="3" t="s">
        <x:v>707</x:v>
      </x:c>
      <x:c r="U177" s="3" t="s">
        <x:v>708</x:v>
      </x:c>
      <x:c r="V177" s="3" t="s">
        <x:v>709</x:v>
      </x:c>
      <x:c r="W177" s="3" t="s">
        <x:v>948</x:v>
      </x:c>
      <x:c r="X177" s="3" t="s">
        <x:v>949</x:v>
      </x:c>
      <x:c r="Y177" s="8" t="s">
        <x:v>61</x:v>
      </x:c>
    </x:row>
    <x:row r="178" ht="28">
      <x:c r="A178" s="3" t="s">
        <x:v>956</x:v>
      </x:c>
      <x:c r="B178" s="3" t="s">
        <x:v>700</x:v>
      </x:c>
      <x:c r="C178" s="3" t="s">
        <x:v>70</x:v>
      </x:c>
      <x:c r="D178" s="3" t="s">
        <x:v>71</x:v>
      </x:c>
      <x:c r="E178" s="3" t="s">
        <x:v>72</x:v>
      </x:c>
      <x:c r="F178" s="9"/>
      <x:c r="G178" s="9">
        <x:v>1053360</x:v>
      </x:c>
      <x:c r="H178" s="9"/>
      <x:c r="I178" s="3" t="s">
        <x:v>431</x:v>
      </x:c>
      <x:c r="J178" s="9"/>
      <x:c r="K178" s="11">
        <x:v>1053360</x:v>
      </x:c>
      <x:c r="L178" s="11"/>
      <x:c r="M178" s="11"/>
      <x:c r="N178" s="11"/>
      <x:c r="O178" s="11">
        <x:v>1053360</x:v>
      </x:c>
      <x:c r="P178" s="11">
        <x:v>48837074</x:v>
      </x:c>
      <x:c r="Q178" s="14">
        <x:f t="shared" si="2"/>
        <x:v>2.1568859756012406</x:v>
      </x:c>
      <x:c r="R178" s="13" t="s">
        <x:v>705</x:v>
      </x:c>
      <x:c r="S178" s="3" t="s">
        <x:v>819</x:v>
      </x:c>
      <x:c r="T178" s="3" t="s">
        <x:v>707</x:v>
      </x:c>
      <x:c r="U178" s="3" t="s">
        <x:v>708</x:v>
      </x:c>
      <x:c r="V178" s="3" t="s">
        <x:v>709</x:v>
      </x:c>
      <x:c r="W178" s="3" t="s">
        <x:v>948</x:v>
      </x:c>
      <x:c r="X178" s="3" t="s">
        <x:v>949</x:v>
      </x:c>
      <x:c r="Y178" s="8" t="s">
        <x:v>61</x:v>
      </x:c>
    </x:row>
    <x:row r="179" ht="42">
      <x:c r="A179" s="3" t="s">
        <x:v>957</x:v>
      </x:c>
      <x:c r="B179" s="3" t="s">
        <x:v>700</x:v>
      </x:c>
      <x:c r="C179" s="3" t="s">
        <x:v>138</x:v>
      </x:c>
      <x:c r="D179" s="3" t="s">
        <x:v>139</x:v>
      </x:c>
      <x:c r="E179" s="3" t="s">
        <x:v>140</x:v>
      </x:c>
      <x:c r="F179" s="9"/>
      <x:c r="G179" s="9">
        <x:v>1030000</x:v>
      </x:c>
      <x:c r="H179" s="9"/>
      <x:c r="I179" s="3" t="s">
        <x:v>431</x:v>
      </x:c>
      <x:c r="J179" s="9"/>
      <x:c r="K179" s="11">
        <x:v>1030000</x:v>
      </x:c>
      <x:c r="L179" s="11"/>
      <x:c r="M179" s="11"/>
      <x:c r="N179" s="11"/>
      <x:c r="O179" s="11">
        <x:v>1030000</x:v>
      </x:c>
      <x:c r="P179" s="11">
        <x:v>48837074</x:v>
      </x:c>
      <x:c r="Q179" s="14">
        <x:f t="shared" si="2"/>
        <x:v>2.1090534621300203</x:v>
      </x:c>
      <x:c r="R179" s="13" t="s">
        <x:v>705</x:v>
      </x:c>
      <x:c r="S179" s="3" t="s">
        <x:v>819</x:v>
      </x:c>
      <x:c r="T179" s="3" t="s">
        <x:v>707</x:v>
      </x:c>
      <x:c r="U179" s="3" t="s">
        <x:v>708</x:v>
      </x:c>
      <x:c r="V179" s="3" t="s">
        <x:v>709</x:v>
      </x:c>
      <x:c r="W179" s="3" t="s">
        <x:v>948</x:v>
      </x:c>
      <x:c r="X179" s="3" t="s">
        <x:v>949</x:v>
      </x:c>
      <x:c r="Y179" s="8" t="s">
        <x:v>61</x:v>
      </x:c>
    </x:row>
    <x:row r="180" ht="28">
      <x:c r="A180" s="3" t="s">
        <x:v>958</x:v>
      </x:c>
      <x:c r="B180" s="3" t="s">
        <x:v>700</x:v>
      </x:c>
      <x:c r="C180" s="3" t="s">
        <x:v>177</x:v>
      </x:c>
      <x:c r="D180" s="3" t="s">
        <x:v>178</x:v>
      </x:c>
      <x:c r="E180" s="3" t="s">
        <x:v>179</x:v>
      </x:c>
      <x:c r="F180" s="9"/>
      <x:c r="G180" s="9">
        <x:v>968990</x:v>
      </x:c>
      <x:c r="H180" s="9"/>
      <x:c r="I180" s="3" t="s">
        <x:v>431</x:v>
      </x:c>
      <x:c r="J180" s="9"/>
      <x:c r="K180" s="11">
        <x:v>968990</x:v>
      </x:c>
      <x:c r="L180" s="11"/>
      <x:c r="M180" s="11"/>
      <x:c r="N180" s="11"/>
      <x:c r="O180" s="11">
        <x:v>968990</x:v>
      </x:c>
      <x:c r="P180" s="11">
        <x:v>48837074</x:v>
      </x:c>
      <x:c r="Q180" s="14">
        <x:f t="shared" si="2"/>
        <x:v>1.9841278779314255</x:v>
      </x:c>
      <x:c r="R180" s="13" t="s">
        <x:v>705</x:v>
      </x:c>
      <x:c r="S180" s="3" t="s">
        <x:v>819</x:v>
      </x:c>
      <x:c r="T180" s="3" t="s">
        <x:v>707</x:v>
      </x:c>
      <x:c r="U180" s="3" t="s">
        <x:v>708</x:v>
      </x:c>
      <x:c r="V180" s="3" t="s">
        <x:v>709</x:v>
      </x:c>
      <x:c r="W180" s="3" t="s">
        <x:v>948</x:v>
      </x:c>
      <x:c r="X180" s="3" t="s">
        <x:v>949</x:v>
      </x:c>
      <x:c r="Y180" s="8" t="s">
        <x:v>61</x:v>
      </x:c>
    </x:row>
    <x:row r="181" ht="28">
      <x:c r="A181" s="3" t="s">
        <x:v>959</x:v>
      </x:c>
      <x:c r="B181" s="3" t="s">
        <x:v>700</x:v>
      </x:c>
      <x:c r="C181" s="3" t="s">
        <x:v>93</x:v>
      </x:c>
      <x:c r="D181" s="3" t="s">
        <x:v>94</x:v>
      </x:c>
      <x:c r="E181" s="3" t="s">
        <x:v>95</x:v>
      </x:c>
      <x:c r="F181" s="9"/>
      <x:c r="G181" s="9">
        <x:v>933320</x:v>
      </x:c>
      <x:c r="H181" s="9"/>
      <x:c r="I181" s="3" t="s">
        <x:v>431</x:v>
      </x:c>
      <x:c r="J181" s="9"/>
      <x:c r="K181" s="11">
        <x:v>933320</x:v>
      </x:c>
      <x:c r="L181" s="11"/>
      <x:c r="M181" s="11"/>
      <x:c r="N181" s="11"/>
      <x:c r="O181" s="11">
        <x:v>933320</x:v>
      </x:c>
      <x:c r="P181" s="11">
        <x:v>48837074</x:v>
      </x:c>
      <x:c r="Q181" s="14">
        <x:f t="shared" si="2"/>
        <x:v>1.9110891041506706</x:v>
      </x:c>
      <x:c r="R181" s="13" t="s">
        <x:v>705</x:v>
      </x:c>
      <x:c r="S181" s="3" t="s">
        <x:v>819</x:v>
      </x:c>
      <x:c r="T181" s="3" t="s">
        <x:v>707</x:v>
      </x:c>
      <x:c r="U181" s="3" t="s">
        <x:v>708</x:v>
      </x:c>
      <x:c r="V181" s="3" t="s">
        <x:v>709</x:v>
      </x:c>
      <x:c r="W181" s="3" t="s">
        <x:v>948</x:v>
      </x:c>
      <x:c r="X181" s="3" t="s">
        <x:v>949</x:v>
      </x:c>
      <x:c r="Y181" s="8" t="s">
        <x:v>61</x:v>
      </x:c>
    </x:row>
    <x:row r="182" ht="28">
      <x:c r="A182" s="3" t="s">
        <x:v>960</x:v>
      </x:c>
      <x:c r="B182" s="3" t="s">
        <x:v>700</x:v>
      </x:c>
      <x:c r="C182" s="3" t="s">
        <x:v>166</x:v>
      </x:c>
      <x:c r="D182" s="3" t="s">
        <x:v>167</x:v>
      </x:c>
      <x:c r="E182" s="3" t="s">
        <x:v>168</x:v>
      </x:c>
      <x:c r="F182" s="9"/>
      <x:c r="G182" s="9">
        <x:v>849083</x:v>
      </x:c>
      <x:c r="H182" s="9"/>
      <x:c r="I182" s="3" t="s">
        <x:v>431</x:v>
      </x:c>
      <x:c r="J182" s="9"/>
      <x:c r="K182" s="11">
        <x:v>849083</x:v>
      </x:c>
      <x:c r="L182" s="11"/>
      <x:c r="M182" s="11"/>
      <x:c r="N182" s="11"/>
      <x:c r="O182" s="11">
        <x:v>849083</x:v>
      </x:c>
      <x:c r="P182" s="11">
        <x:v>48837074</x:v>
      </x:c>
      <x:c r="Q182" s="14">
        <x:f t="shared" si="2"/>
        <x:v>1.7386033405686836</x:v>
      </x:c>
      <x:c r="R182" s="13" t="s">
        <x:v>705</x:v>
      </x:c>
      <x:c r="S182" s="3" t="s">
        <x:v>819</x:v>
      </x:c>
      <x:c r="T182" s="3" t="s">
        <x:v>707</x:v>
      </x:c>
      <x:c r="U182" s="3" t="s">
        <x:v>708</x:v>
      </x:c>
      <x:c r="V182" s="3" t="s">
        <x:v>709</x:v>
      </x:c>
      <x:c r="W182" s="3" t="s">
        <x:v>948</x:v>
      </x:c>
      <x:c r="X182" s="3" t="s">
        <x:v>949</x:v>
      </x:c>
      <x:c r="Y182" s="8" t="s">
        <x:v>61</x:v>
      </x:c>
    </x:row>
    <x:row r="183" ht="28">
      <x:c r="A183" s="3" t="s">
        <x:v>961</x:v>
      </x:c>
      <x:c r="B183" s="3" t="s">
        <x:v>700</x:v>
      </x:c>
      <x:c r="C183" s="3" t="s">
        <x:v>117</x:v>
      </x:c>
      <x:c r="D183" s="3" t="s">
        <x:v>118</x:v>
      </x:c>
      <x:c r="E183" s="3" t="s">
        <x:v>119</x:v>
      </x:c>
      <x:c r="F183" s="9"/>
      <x:c r="G183" s="9">
        <x:v>666680</x:v>
      </x:c>
      <x:c r="H183" s="9"/>
      <x:c r="I183" s="3" t="s">
        <x:v>431</x:v>
      </x:c>
      <x:c r="J183" s="9"/>
      <x:c r="K183" s="11">
        <x:v>666680</x:v>
      </x:c>
      <x:c r="L183" s="11"/>
      <x:c r="M183" s="11"/>
      <x:c r="N183" s="11"/>
      <x:c r="O183" s="11">
        <x:v>666680</x:v>
      </x:c>
      <x:c r="P183" s="11">
        <x:v>48837074</x:v>
      </x:c>
      <x:c r="Q183" s="14">
        <x:f t="shared" si="2"/>
        <x:v>1.3651104486726622</x:v>
      </x:c>
      <x:c r="R183" s="13" t="s">
        <x:v>705</x:v>
      </x:c>
      <x:c r="S183" s="3" t="s">
        <x:v>819</x:v>
      </x:c>
      <x:c r="T183" s="3" t="s">
        <x:v>707</x:v>
      </x:c>
      <x:c r="U183" s="3" t="s">
        <x:v>708</x:v>
      </x:c>
      <x:c r="V183" s="3" t="s">
        <x:v>709</x:v>
      </x:c>
      <x:c r="W183" s="3" t="s">
        <x:v>948</x:v>
      </x:c>
      <x:c r="X183" s="3" t="s">
        <x:v>949</x:v>
      </x:c>
      <x:c r="Y183" s="8" t="s">
        <x:v>61</x:v>
      </x:c>
    </x:row>
    <x:row r="184" ht="28">
      <x:c r="A184" s="3" t="s">
        <x:v>962</x:v>
      </x:c>
      <x:c r="B184" s="3" t="s">
        <x:v>700</x:v>
      </x:c>
      <x:c r="C184" s="3" t="s">
        <x:v>128</x:v>
      </x:c>
      <x:c r="D184" s="3" t="s">
        <x:v>129</x:v>
      </x:c>
      <x:c r="E184" s="3" t="s">
        <x:v>130</x:v>
      </x:c>
      <x:c r="F184" s="9"/>
      <x:c r="G184" s="9">
        <x:v>618000</x:v>
      </x:c>
      <x:c r="H184" s="9"/>
      <x:c r="I184" s="3" t="s">
        <x:v>431</x:v>
      </x:c>
      <x:c r="J184" s="9"/>
      <x:c r="K184" s="11">
        <x:v>618000</x:v>
      </x:c>
      <x:c r="L184" s="11"/>
      <x:c r="M184" s="11"/>
      <x:c r="N184" s="11"/>
      <x:c r="O184" s="11">
        <x:v>618000</x:v>
      </x:c>
      <x:c r="P184" s="11">
        <x:v>48837074</x:v>
      </x:c>
      <x:c r="Q184" s="14">
        <x:f t="shared" si="2"/>
        <x:v>1.2654320772780121</x:v>
      </x:c>
      <x:c r="R184" s="13" t="s">
        <x:v>705</x:v>
      </x:c>
      <x:c r="S184" s="3" t="s">
        <x:v>819</x:v>
      </x:c>
      <x:c r="T184" s="3" t="s">
        <x:v>707</x:v>
      </x:c>
      <x:c r="U184" s="3" t="s">
        <x:v>708</x:v>
      </x:c>
      <x:c r="V184" s="3" t="s">
        <x:v>709</x:v>
      </x:c>
      <x:c r="W184" s="3" t="s">
        <x:v>948</x:v>
      </x:c>
      <x:c r="X184" s="3" t="s">
        <x:v>949</x:v>
      </x:c>
      <x:c r="Y184" s="8" t="s">
        <x:v>61</x:v>
      </x:c>
    </x:row>
    <x:row r="185" ht="28">
      <x:c r="A185" s="3" t="s">
        <x:v>963</x:v>
      </x:c>
      <x:c r="B185" s="3" t="s">
        <x:v>700</x:v>
      </x:c>
      <x:c r="C185" s="3" t="s">
        <x:v>155</x:v>
      </x:c>
      <x:c r="D185" s="3" t="s">
        <x:v>156</x:v>
      </x:c>
      <x:c r="E185" s="3" t="s">
        <x:v>156</x:v>
      </x:c>
      <x:c r="F185" s="9"/>
      <x:c r="G185" s="9">
        <x:v>600000</x:v>
      </x:c>
      <x:c r="H185" s="9"/>
      <x:c r="I185" s="3" t="s">
        <x:v>431</x:v>
      </x:c>
      <x:c r="J185" s="9"/>
      <x:c r="K185" s="11">
        <x:v>600000</x:v>
      </x:c>
      <x:c r="L185" s="11"/>
      <x:c r="M185" s="11"/>
      <x:c r="N185" s="11"/>
      <x:c r="O185" s="11">
        <x:v>600000</x:v>
      </x:c>
      <x:c r="P185" s="11">
        <x:v>48837074</x:v>
      </x:c>
      <x:c r="Q185" s="14">
        <x:f t="shared" si="2"/>
        <x:v>1.2285748323087498</x:v>
      </x:c>
      <x:c r="R185" s="13" t="s">
        <x:v>705</x:v>
      </x:c>
      <x:c r="S185" s="3" t="s">
        <x:v>819</x:v>
      </x:c>
      <x:c r="T185" s="3" t="s">
        <x:v>707</x:v>
      </x:c>
      <x:c r="U185" s="3" t="s">
        <x:v>708</x:v>
      </x:c>
      <x:c r="V185" s="3" t="s">
        <x:v>709</x:v>
      </x:c>
      <x:c r="W185" s="3" t="s">
        <x:v>948</x:v>
      </x:c>
      <x:c r="X185" s="3" t="s">
        <x:v>949</x:v>
      </x:c>
      <x:c r="Y185" s="8" t="s">
        <x:v>61</x:v>
      </x:c>
    </x:row>
    <x:row r="186" ht="28">
      <x:c r="A186" s="3" t="s">
        <x:v>964</x:v>
      </x:c>
      <x:c r="B186" s="3" t="s">
        <x:v>700</x:v>
      </x:c>
      <x:c r="C186" s="3" t="s">
        <x:v>146</x:v>
      </x:c>
      <x:c r="D186" s="3" t="s">
        <x:v>147</x:v>
      </x:c>
      <x:c r="E186" s="3" t="s">
        <x:v>147</x:v>
      </x:c>
      <x:c r="F186" s="9"/>
      <x:c r="G186" s="9">
        <x:v>550000</x:v>
      </x:c>
      <x:c r="H186" s="9"/>
      <x:c r="I186" s="3" t="s">
        <x:v>431</x:v>
      </x:c>
      <x:c r="J186" s="9"/>
      <x:c r="K186" s="11">
        <x:v>550000</x:v>
      </x:c>
      <x:c r="L186" s="11"/>
      <x:c r="M186" s="11"/>
      <x:c r="N186" s="11"/>
      <x:c r="O186" s="11">
        <x:v>550000</x:v>
      </x:c>
      <x:c r="P186" s="11">
        <x:v>48837074</x:v>
      </x:c>
      <x:c r="Q186" s="14">
        <x:f t="shared" si="2"/>
        <x:v>1.1261935962830205</x:v>
      </x:c>
      <x:c r="R186" s="13" t="s">
        <x:v>705</x:v>
      </x:c>
      <x:c r="S186" s="3" t="s">
        <x:v>819</x:v>
      </x:c>
      <x:c r="T186" s="3" t="s">
        <x:v>707</x:v>
      </x:c>
      <x:c r="U186" s="3" t="s">
        <x:v>708</x:v>
      </x:c>
      <x:c r="V186" s="3" t="s">
        <x:v>709</x:v>
      </x:c>
      <x:c r="W186" s="3" t="s">
        <x:v>948</x:v>
      </x:c>
      <x:c r="X186" s="3" t="s">
        <x:v>949</x:v>
      </x:c>
      <x:c r="Y186" s="8" t="s">
        <x:v>61</x:v>
      </x:c>
    </x:row>
    <x:row r="187" ht="28">
      <x:c r="A187" s="3" t="s">
        <x:v>965</x:v>
      </x:c>
      <x:c r="B187" s="3" t="s">
        <x:v>700</x:v>
      </x:c>
      <x:c r="C187" s="3" t="s">
        <x:v>132</x:v>
      </x:c>
      <x:c r="D187" s="3" t="s">
        <x:v>133</x:v>
      </x:c>
      <x:c r="E187" s="3" t="s">
        <x:v>134</x:v>
      </x:c>
      <x:c r="F187" s="9"/>
      <x:c r="G187" s="9">
        <x:v>543840</x:v>
      </x:c>
      <x:c r="H187" s="9"/>
      <x:c r="I187" s="3" t="s">
        <x:v>431</x:v>
      </x:c>
      <x:c r="J187" s="9"/>
      <x:c r="K187" s="11">
        <x:v>543840</x:v>
      </x:c>
      <x:c r="L187" s="11"/>
      <x:c r="M187" s="11"/>
      <x:c r="N187" s="11"/>
      <x:c r="O187" s="11">
        <x:v>543840</x:v>
      </x:c>
      <x:c r="P187" s="11">
        <x:v>48837074</x:v>
      </x:c>
      <x:c r="Q187" s="14">
        <x:f t="shared" si="2"/>
        <x:v>1.1135802280046507</x:v>
      </x:c>
      <x:c r="R187" s="13" t="s">
        <x:v>705</x:v>
      </x:c>
      <x:c r="S187" s="3" t="s">
        <x:v>819</x:v>
      </x:c>
      <x:c r="T187" s="3" t="s">
        <x:v>707</x:v>
      </x:c>
      <x:c r="U187" s="3" t="s">
        <x:v>708</x:v>
      </x:c>
      <x:c r="V187" s="3" t="s">
        <x:v>709</x:v>
      </x:c>
      <x:c r="W187" s="3" t="s">
        <x:v>948</x:v>
      </x:c>
      <x:c r="X187" s="3" t="s">
        <x:v>949</x:v>
      </x:c>
      <x:c r="Y187" s="8" t="s">
        <x:v>61</x:v>
      </x:c>
    </x:row>
    <x:row r="188" ht="42">
      <x:c r="A188" s="3" t="s">
        <x:v>966</x:v>
      </x:c>
      <x:c r="B188" s="3" t="s">
        <x:v>700</x:v>
      </x:c>
      <x:c r="C188" s="3" t="s">
        <x:v>157</x:v>
      </x:c>
      <x:c r="D188" s="3" t="s">
        <x:v>158</x:v>
      </x:c>
      <x:c r="E188" s="3" t="s">
        <x:v>159</x:v>
      </x:c>
      <x:c r="F188" s="9"/>
      <x:c r="G188" s="9">
        <x:v>515000</x:v>
      </x:c>
      <x:c r="H188" s="9"/>
      <x:c r="I188" s="3" t="s">
        <x:v>431</x:v>
      </x:c>
      <x:c r="J188" s="9"/>
      <x:c r="K188" s="11">
        <x:v>515000</x:v>
      </x:c>
      <x:c r="L188" s="11"/>
      <x:c r="M188" s="11"/>
      <x:c r="N188" s="11"/>
      <x:c r="O188" s="11">
        <x:v>515000</x:v>
      </x:c>
      <x:c r="P188" s="11">
        <x:v>48837074</x:v>
      </x:c>
      <x:c r="Q188" s="14">
        <x:f t="shared" si="2"/>
        <x:v>1.0545267310650102</x:v>
      </x:c>
      <x:c r="R188" s="13" t="s">
        <x:v>705</x:v>
      </x:c>
      <x:c r="S188" s="3" t="s">
        <x:v>819</x:v>
      </x:c>
      <x:c r="T188" s="3" t="s">
        <x:v>707</x:v>
      </x:c>
      <x:c r="U188" s="3" t="s">
        <x:v>708</x:v>
      </x:c>
      <x:c r="V188" s="3" t="s">
        <x:v>709</x:v>
      </x:c>
      <x:c r="W188" s="3" t="s">
        <x:v>948</x:v>
      </x:c>
      <x:c r="X188" s="3" t="s">
        <x:v>949</x:v>
      </x:c>
      <x:c r="Y188" s="8" t="s">
        <x:v>61</x:v>
      </x:c>
    </x:row>
    <x:row r="189" ht="28">
      <x:c r="A189" s="3" t="s">
        <x:v>967</x:v>
      </x:c>
      <x:c r="B189" s="3" t="s">
        <x:v>700</x:v>
      </x:c>
      <x:c r="C189" s="3" t="s">
        <x:v>187</x:v>
      </x:c>
      <x:c r="D189" s="3" t="s">
        <x:v>188</x:v>
      </x:c>
      <x:c r="E189" s="3" t="s">
        <x:v>188</x:v>
      </x:c>
      <x:c r="F189" s="9"/>
      <x:c r="G189" s="9">
        <x:v>484495</x:v>
      </x:c>
      <x:c r="H189" s="9"/>
      <x:c r="I189" s="3" t="s">
        <x:v>431</x:v>
      </x:c>
      <x:c r="J189" s="9"/>
      <x:c r="K189" s="11">
        <x:v>484495</x:v>
      </x:c>
      <x:c r="L189" s="11"/>
      <x:c r="M189" s="11"/>
      <x:c r="N189" s="11"/>
      <x:c r="O189" s="11">
        <x:v>484495</x:v>
      </x:c>
      <x:c r="P189" s="11">
        <x:v>48837074</x:v>
      </x:c>
      <x:c r="Q189" s="14">
        <x:f t="shared" si="2"/>
        <x:v>0.99206393896571277</x:v>
      </x:c>
      <x:c r="R189" s="13" t="s">
        <x:v>705</x:v>
      </x:c>
      <x:c r="S189" s="3" t="s">
        <x:v>819</x:v>
      </x:c>
      <x:c r="T189" s="3" t="s">
        <x:v>707</x:v>
      </x:c>
      <x:c r="U189" s="3" t="s">
        <x:v>708</x:v>
      </x:c>
      <x:c r="V189" s="3" t="s">
        <x:v>709</x:v>
      </x:c>
      <x:c r="W189" s="3" t="s">
        <x:v>948</x:v>
      </x:c>
      <x:c r="X189" s="3" t="s">
        <x:v>949</x:v>
      </x:c>
      <x:c r="Y189" s="8" t="s">
        <x:v>61</x:v>
      </x:c>
    </x:row>
    <x:row r="190" ht="28">
      <x:c r="A190" s="3" t="s">
        <x:v>968</x:v>
      </x:c>
      <x:c r="B190" s="3" t="s">
        <x:v>700</x:v>
      </x:c>
      <x:c r="C190" s="3" t="s">
        <x:v>150</x:v>
      </x:c>
      <x:c r="D190" s="3" t="s">
        <x:v>151</x:v>
      </x:c>
      <x:c r="E190" s="3" t="s">
        <x:v>151</x:v>
      </x:c>
      <x:c r="F190" s="9"/>
      <x:c r="G190" s="9">
        <x:v>450000</x:v>
      </x:c>
      <x:c r="H190" s="9"/>
      <x:c r="I190" s="3" t="s">
        <x:v>431</x:v>
      </x:c>
      <x:c r="J190" s="9"/>
      <x:c r="K190" s="11">
        <x:v>450000</x:v>
      </x:c>
      <x:c r="L190" s="11"/>
      <x:c r="M190" s="11"/>
      <x:c r="N190" s="11"/>
      <x:c r="O190" s="11">
        <x:v>450000</x:v>
      </x:c>
      <x:c r="P190" s="11">
        <x:v>48837074</x:v>
      </x:c>
      <x:c r="Q190" s="14">
        <x:f t="shared" si="2"/>
        <x:v>0.92143112423156237</x:v>
      </x:c>
      <x:c r="R190" s="13" t="s">
        <x:v>705</x:v>
      </x:c>
      <x:c r="S190" s="3" t="s">
        <x:v>819</x:v>
      </x:c>
      <x:c r="T190" s="3" t="s">
        <x:v>707</x:v>
      </x:c>
      <x:c r="U190" s="3" t="s">
        <x:v>708</x:v>
      </x:c>
      <x:c r="V190" s="3" t="s">
        <x:v>709</x:v>
      </x:c>
      <x:c r="W190" s="3" t="s">
        <x:v>948</x:v>
      </x:c>
      <x:c r="X190" s="3" t="s">
        <x:v>949</x:v>
      </x:c>
      <x:c r="Y190" s="8" t="s">
        <x:v>61</x:v>
      </x:c>
    </x:row>
    <x:row r="191" ht="28">
      <x:c r="A191" s="3" t="s">
        <x:v>969</x:v>
      </x:c>
      <x:c r="B191" s="3" t="s">
        <x:v>700</x:v>
      </x:c>
      <x:c r="C191" s="3" t="s">
        <x:v>183</x:v>
      </x:c>
      <x:c r="D191" s="3" t="s">
        <x:v>184</x:v>
      </x:c>
      <x:c r="E191" s="3" t="s">
        <x:v>185</x:v>
      </x:c>
      <x:c r="F191" s="9"/>
      <x:c r="G191" s="9">
        <x:v>387596</x:v>
      </x:c>
      <x:c r="H191" s="9"/>
      <x:c r="I191" s="3" t="s">
        <x:v>431</x:v>
      </x:c>
      <x:c r="J191" s="9"/>
      <x:c r="K191" s="11">
        <x:v>387596</x:v>
      </x:c>
      <x:c r="L191" s="11"/>
      <x:c r="M191" s="11"/>
      <x:c r="N191" s="11"/>
      <x:c r="O191" s="11">
        <x:v>387596</x:v>
      </x:c>
      <x:c r="P191" s="11">
        <x:v>48837074</x:v>
      </x:c>
      <x:c r="Q191" s="14">
        <x:f t="shared" si="2"/>
        <x:v>0.79365115117257024</x:v>
      </x:c>
      <x:c r="R191" s="13" t="s">
        <x:v>705</x:v>
      </x:c>
      <x:c r="S191" s="3" t="s">
        <x:v>819</x:v>
      </x:c>
      <x:c r="T191" s="3" t="s">
        <x:v>707</x:v>
      </x:c>
      <x:c r="U191" s="3" t="s">
        <x:v>708</x:v>
      </x:c>
      <x:c r="V191" s="3" t="s">
        <x:v>709</x:v>
      </x:c>
      <x:c r="W191" s="3" t="s">
        <x:v>948</x:v>
      </x:c>
      <x:c r="X191" s="3" t="s">
        <x:v>949</x:v>
      </x:c>
      <x:c r="Y191" s="8" t="s">
        <x:v>61</x:v>
      </x:c>
    </x:row>
    <x:row r="192" ht="28">
      <x:c r="A192" s="3" t="s">
        <x:v>970</x:v>
      </x:c>
      <x:c r="B192" s="3" t="s">
        <x:v>700</x:v>
      </x:c>
      <x:c r="C192" s="3" t="s">
        <x:v>142</x:v>
      </x:c>
      <x:c r="D192" s="3" t="s">
        <x:v>143</x:v>
      </x:c>
      <x:c r="E192" s="3" t="s">
        <x:v>144</x:v>
      </x:c>
      <x:c r="F192" s="9"/>
      <x:c r="G192" s="9">
        <x:v>343333</x:v>
      </x:c>
      <x:c r="H192" s="9"/>
      <x:c r="I192" s="3" t="s">
        <x:v>431</x:v>
      </x:c>
      <x:c r="J192" s="9"/>
      <x:c r="K192" s="11">
        <x:v>343333</x:v>
      </x:c>
      <x:c r="L192" s="11"/>
      <x:c r="M192" s="11"/>
      <x:c r="N192" s="11"/>
      <x:c r="O192" s="11">
        <x:v>343333</x:v>
      </x:c>
      <x:c r="P192" s="11">
        <x:v>48837074</x:v>
      </x:c>
      <x:c r="Q192" s="14">
        <x:f t="shared" si="2"/>
        <x:v>0.70301713816843325</x:v>
      </x:c>
      <x:c r="R192" s="13" t="s">
        <x:v>705</x:v>
      </x:c>
      <x:c r="S192" s="3" t="s">
        <x:v>819</x:v>
      </x:c>
      <x:c r="T192" s="3" t="s">
        <x:v>707</x:v>
      </x:c>
      <x:c r="U192" s="3" t="s">
        <x:v>708</x:v>
      </x:c>
      <x:c r="V192" s="3" t="s">
        <x:v>709</x:v>
      </x:c>
      <x:c r="W192" s="3" t="s">
        <x:v>948</x:v>
      </x:c>
      <x:c r="X192" s="3" t="s">
        <x:v>949</x:v>
      </x:c>
      <x:c r="Y192" s="8" t="s">
        <x:v>61</x:v>
      </x:c>
    </x:row>
    <x:row r="193" ht="28">
      <x:c r="A193" s="3" t="s">
        <x:v>971</x:v>
      </x:c>
      <x:c r="B193" s="3" t="s">
        <x:v>700</x:v>
      </x:c>
      <x:c r="C193" s="3" t="s">
        <x:v>105</x:v>
      </x:c>
      <x:c r="D193" s="3" t="s">
        <x:v>106</x:v>
      </x:c>
      <x:c r="E193" s="3" t="s">
        <x:v>107</x:v>
      </x:c>
      <x:c r="F193" s="9"/>
      <x:c r="G193" s="9">
        <x:v>333320</x:v>
      </x:c>
      <x:c r="H193" s="9"/>
      <x:c r="I193" s="3" t="s">
        <x:v>431</x:v>
      </x:c>
      <x:c r="J193" s="9"/>
      <x:c r="K193" s="11">
        <x:v>333320</x:v>
      </x:c>
      <x:c r="L193" s="11"/>
      <x:c r="M193" s="11"/>
      <x:c r="N193" s="11"/>
      <x:c r="O193" s="11">
        <x:v>333320</x:v>
      </x:c>
      <x:c r="P193" s="11">
        <x:v>48837074</x:v>
      </x:c>
      <x:c r="Q193" s="14">
        <x:f t="shared" si="2"/>
        <x:v>0.68251427184192071</x:v>
      </x:c>
      <x:c r="R193" s="13" t="s">
        <x:v>705</x:v>
      </x:c>
      <x:c r="S193" s="3" t="s">
        <x:v>819</x:v>
      </x:c>
      <x:c r="T193" s="3" t="s">
        <x:v>707</x:v>
      </x:c>
      <x:c r="U193" s="3" t="s">
        <x:v>708</x:v>
      </x:c>
      <x:c r="V193" s="3" t="s">
        <x:v>709</x:v>
      </x:c>
      <x:c r="W193" s="3" t="s">
        <x:v>948</x:v>
      </x:c>
      <x:c r="X193" s="3" t="s">
        <x:v>949</x:v>
      </x:c>
      <x:c r="Y193" s="8" t="s">
        <x:v>61</x:v>
      </x:c>
    </x:row>
    <x:row r="194" ht="28">
      <x:c r="A194" s="3" t="s">
        <x:v>972</x:v>
      </x:c>
      <x:c r="B194" s="3" t="s">
        <x:v>700</x:v>
      </x:c>
      <x:c r="C194" s="3" t="s">
        <x:v>109</x:v>
      </x:c>
      <x:c r="D194" s="3" t="s">
        <x:v>110</x:v>
      </x:c>
      <x:c r="E194" s="3" t="s">
        <x:v>111</x:v>
      </x:c>
      <x:c r="F194" s="9"/>
      <x:c r="G194" s="9">
        <x:v>333320</x:v>
      </x:c>
      <x:c r="H194" s="9"/>
      <x:c r="I194" s="3" t="s">
        <x:v>431</x:v>
      </x:c>
      <x:c r="J194" s="9"/>
      <x:c r="K194" s="11">
        <x:v>333320</x:v>
      </x:c>
      <x:c r="L194" s="11"/>
      <x:c r="M194" s="11"/>
      <x:c r="N194" s="11"/>
      <x:c r="O194" s="11">
        <x:v>333320</x:v>
      </x:c>
      <x:c r="P194" s="11">
        <x:v>48837074</x:v>
      </x:c>
      <x:c r="Q194" s="14">
        <x:f t="shared" si="2"/>
        <x:v>0.68251427184192071</x:v>
      </x:c>
      <x:c r="R194" s="13" t="s">
        <x:v>705</x:v>
      </x:c>
      <x:c r="S194" s="3" t="s">
        <x:v>819</x:v>
      </x:c>
      <x:c r="T194" s="3" t="s">
        <x:v>707</x:v>
      </x:c>
      <x:c r="U194" s="3" t="s">
        <x:v>708</x:v>
      </x:c>
      <x:c r="V194" s="3" t="s">
        <x:v>709</x:v>
      </x:c>
      <x:c r="W194" s="3" t="s">
        <x:v>948</x:v>
      </x:c>
      <x:c r="X194" s="3" t="s">
        <x:v>949</x:v>
      </x:c>
      <x:c r="Y194" s="8" t="s">
        <x:v>61</x:v>
      </x:c>
    </x:row>
    <x:row r="195" ht="42">
      <x:c r="A195" s="3" t="s">
        <x:v>973</x:v>
      </x:c>
      <x:c r="B195" s="3" t="s">
        <x:v>700</x:v>
      </x:c>
      <x:c r="C195" s="3" t="s">
        <x:v>113</x:v>
      </x:c>
      <x:c r="D195" s="3" t="s">
        <x:v>114</x:v>
      </x:c>
      <x:c r="E195" s="3" t="s">
        <x:v>115</x:v>
      </x:c>
      <x:c r="F195" s="9"/>
      <x:c r="G195" s="9">
        <x:v>333320</x:v>
      </x:c>
      <x:c r="H195" s="9"/>
      <x:c r="I195" s="3" t="s">
        <x:v>431</x:v>
      </x:c>
      <x:c r="J195" s="9"/>
      <x:c r="K195" s="11">
        <x:v>333320</x:v>
      </x:c>
      <x:c r="L195" s="11"/>
      <x:c r="M195" s="11"/>
      <x:c r="N195" s="11"/>
      <x:c r="O195" s="11">
        <x:v>333320</x:v>
      </x:c>
      <x:c r="P195" s="11">
        <x:v>48837074</x:v>
      </x:c>
      <x:c r="Q195" s="14">
        <x:f t="shared" si="2"/>
        <x:v>0.68251427184192071</x:v>
      </x:c>
      <x:c r="R195" s="13" t="s">
        <x:v>705</x:v>
      </x:c>
      <x:c r="S195" s="3" t="s">
        <x:v>819</x:v>
      </x:c>
      <x:c r="T195" s="3" t="s">
        <x:v>707</x:v>
      </x:c>
      <x:c r="U195" s="3" t="s">
        <x:v>708</x:v>
      </x:c>
      <x:c r="V195" s="3" t="s">
        <x:v>709</x:v>
      </x:c>
      <x:c r="W195" s="3" t="s">
        <x:v>948</x:v>
      </x:c>
      <x:c r="X195" s="3" t="s">
        <x:v>949</x:v>
      </x:c>
      <x:c r="Y195" s="8" t="s">
        <x:v>61</x:v>
      </x:c>
    </x:row>
    <x:row r="196" ht="28">
      <x:c r="A196" s="3" t="s">
        <x:v>974</x:v>
      </x:c>
      <x:c r="B196" s="3" t="s">
        <x:v>700</x:v>
      </x:c>
      <x:c r="C196" s="3" t="s">
        <x:v>202</x:v>
      </x:c>
      <x:c r="D196" s="3" t="s">
        <x:v>203</x:v>
      </x:c>
      <x:c r="E196" s="3" t="s">
        <x:v>204</x:v>
      </x:c>
      <x:c r="F196" s="9"/>
      <x:c r="G196" s="9">
        <x:v>285000</x:v>
      </x:c>
      <x:c r="H196" s="9"/>
      <x:c r="I196" s="3" t="s">
        <x:v>431</x:v>
      </x:c>
      <x:c r="J196" s="9"/>
      <x:c r="K196" s="11">
        <x:v>285000</x:v>
      </x:c>
      <x:c r="L196" s="11"/>
      <x:c r="M196" s="11"/>
      <x:c r="N196" s="11"/>
      <x:c r="O196" s="11">
        <x:v>285000</x:v>
      </x:c>
      <x:c r="P196" s="11">
        <x:v>48837074</x:v>
      </x:c>
      <x:c r="Q196" s="14" t="n">
        <x:f t="shared" ref="Q196:Q204" si="3">IF(AND(O196&lt;&gt;"",P196&lt;&gt;"",P196&lt;&gt;0),O196/P196*100,"")</x:f>
        <x:v>0.5835730453466561</x:v>
      </x:c>
      <x:c r="R196" s="13" t="s">
        <x:v>705</x:v>
      </x:c>
      <x:c r="S196" s="3" t="s">
        <x:v>819</x:v>
      </x:c>
      <x:c r="T196" s="3" t="s">
        <x:v>707</x:v>
      </x:c>
      <x:c r="U196" s="3" t="s">
        <x:v>708</x:v>
      </x:c>
      <x:c r="V196" s="3" t="s">
        <x:v>709</x:v>
      </x:c>
      <x:c r="W196" s="3" t="s">
        <x:v>948</x:v>
      </x:c>
      <x:c r="X196" s="3" t="s">
        <x:v>949</x:v>
      </x:c>
      <x:c r="Y196" s="8" t="s">
        <x:v>61</x:v>
      </x:c>
    </x:row>
    <x:row r="197" ht="28">
      <x:c r="A197" s="3" t="s">
        <x:v>975</x:v>
      </x:c>
      <x:c r="B197" s="3" t="s">
        <x:v>700</x:v>
      </x:c>
      <x:c r="C197" s="3" t="s">
        <x:v>162</x:v>
      </x:c>
      <x:c r="D197" s="3" t="s">
        <x:v>163</x:v>
      </x:c>
      <x:c r="E197" s="3" t="s">
        <x:v>164</x:v>
      </x:c>
      <x:c r="F197" s="9"/>
      <x:c r="G197" s="9">
        <x:v>274667</x:v>
      </x:c>
      <x:c r="H197" s="9"/>
      <x:c r="I197" s="3" t="s">
        <x:v>431</x:v>
      </x:c>
      <x:c r="J197" s="9"/>
      <x:c r="K197" s="11">
        <x:v>274667</x:v>
      </x:c>
      <x:c r="L197" s="11"/>
      <x:c r="M197" s="11"/>
      <x:c r="N197" s="11"/>
      <x:c r="O197" s="11">
        <x:v>274667</x:v>
      </x:c>
      <x:c r="P197" s="11">
        <x:v>48837074</x:v>
      </x:c>
      <x:c r="Q197" s="14">
        <x:f t="shared" si="3"/>
        <x:v>0.56241493910957896</x:v>
      </x:c>
      <x:c r="R197" s="13" t="s">
        <x:v>705</x:v>
      </x:c>
      <x:c r="S197" s="3" t="s">
        <x:v>819</x:v>
      </x:c>
      <x:c r="T197" s="3" t="s">
        <x:v>707</x:v>
      </x:c>
      <x:c r="U197" s="3" t="s">
        <x:v>708</x:v>
      </x:c>
      <x:c r="V197" s="3" t="s">
        <x:v>709</x:v>
      </x:c>
      <x:c r="W197" s="3" t="s">
        <x:v>948</x:v>
      </x:c>
      <x:c r="X197" s="3" t="s">
        <x:v>949</x:v>
      </x:c>
      <x:c r="Y197" s="8" t="s">
        <x:v>61</x:v>
      </x:c>
    </x:row>
    <x:row r="198" ht="28">
      <x:c r="A198" s="3" t="s">
        <x:v>976</x:v>
      </x:c>
      <x:c r="B198" s="3" t="s">
        <x:v>700</x:v>
      </x:c>
      <x:c r="C198" s="3" t="s">
        <x:v>152</x:v>
      </x:c>
      <x:c r="D198" s="3" t="s">
        <x:v>153</x:v>
      </x:c>
      <x:c r="E198" s="3" t="s">
        <x:v>153</x:v>
      </x:c>
      <x:c r="F198" s="9"/>
      <x:c r="G198" s="9">
        <x:v>200000</x:v>
      </x:c>
      <x:c r="H198" s="9"/>
      <x:c r="I198" s="3" t="s">
        <x:v>431</x:v>
      </x:c>
      <x:c r="J198" s="9"/>
      <x:c r="K198" s="11">
        <x:v>200000</x:v>
      </x:c>
      <x:c r="L198" s="11"/>
      <x:c r="M198" s="11"/>
      <x:c r="N198" s="11"/>
      <x:c r="O198" s="11">
        <x:v>200000</x:v>
      </x:c>
      <x:c r="P198" s="11">
        <x:v>48837074</x:v>
      </x:c>
      <x:c r="Q198" s="14">
        <x:f t="shared" si="3"/>
        <x:v>0.40952494410291657</x:v>
      </x:c>
      <x:c r="R198" s="13" t="s">
        <x:v>705</x:v>
      </x:c>
      <x:c r="S198" s="3" t="s">
        <x:v>819</x:v>
      </x:c>
      <x:c r="T198" s="3" t="s">
        <x:v>707</x:v>
      </x:c>
      <x:c r="U198" s="3" t="s">
        <x:v>708</x:v>
      </x:c>
      <x:c r="V198" s="3" t="s">
        <x:v>709</x:v>
      </x:c>
      <x:c r="W198" s="3" t="s">
        <x:v>948</x:v>
      </x:c>
      <x:c r="X198" s="3" t="s">
        <x:v>949</x:v>
      </x:c>
      <x:c r="Y198" s="8" t="s">
        <x:v>61</x:v>
      </x:c>
    </x:row>
    <x:row r="199" ht="28">
      <x:c r="A199" s="3" t="s">
        <x:v>977</x:v>
      </x:c>
      <x:c r="B199" s="3" t="s">
        <x:v>700</x:v>
      </x:c>
      <x:c r="C199" s="3" t="s">
        <x:v>190</x:v>
      </x:c>
      <x:c r="D199" s="3" t="s">
        <x:v>191</x:v>
      </x:c>
      <x:c r="E199" s="3" t="s">
        <x:v>192</x:v>
      </x:c>
      <x:c r="F199" s="9"/>
      <x:c r="G199" s="9">
        <x:v>116280</x:v>
      </x:c>
      <x:c r="H199" s="9"/>
      <x:c r="I199" s="3" t="s">
        <x:v>431</x:v>
      </x:c>
      <x:c r="J199" s="9"/>
      <x:c r="K199" s="11">
        <x:v>116280</x:v>
      </x:c>
      <x:c r="L199" s="11"/>
      <x:c r="M199" s="11"/>
      <x:c r="N199" s="11"/>
      <x:c r="O199" s="11">
        <x:v>116280</x:v>
      </x:c>
      <x:c r="P199" s="11">
        <x:v>48837074</x:v>
      </x:c>
      <x:c r="Q199" s="14">
        <x:f t="shared" si="3"/>
        <x:v>0.2380978025014357</x:v>
      </x:c>
      <x:c r="R199" s="13" t="s">
        <x:v>705</x:v>
      </x:c>
      <x:c r="S199" s="3" t="s">
        <x:v>819</x:v>
      </x:c>
      <x:c r="T199" s="3" t="s">
        <x:v>707</x:v>
      </x:c>
      <x:c r="U199" s="3" t="s">
        <x:v>708</x:v>
      </x:c>
      <x:c r="V199" s="3" t="s">
        <x:v>709</x:v>
      </x:c>
      <x:c r="W199" s="3" t="s">
        <x:v>948</x:v>
      </x:c>
      <x:c r="X199" s="3" t="s">
        <x:v>949</x:v>
      </x:c>
      <x:c r="Y199" s="8" t="s">
        <x:v>61</x:v>
      </x:c>
    </x:row>
    <x:row r="200" ht="28">
      <x:c r="A200" s="3" t="s">
        <x:v>978</x:v>
      </x:c>
      <x:c r="B200" s="3" t="s">
        <x:v>700</x:v>
      </x:c>
      <x:c r="C200" s="3" t="s">
        <x:v>194</x:v>
      </x:c>
      <x:c r="D200" s="3" t="s">
        <x:v>195</x:v>
      </x:c>
      <x:c r="E200" s="3" t="s">
        <x:v>195</x:v>
      </x:c>
      <x:c r="F200" s="9"/>
      <x:c r="G200" s="9">
        <x:v>85000</x:v>
      </x:c>
      <x:c r="H200" s="9"/>
      <x:c r="I200" s="3" t="s">
        <x:v>431</x:v>
      </x:c>
      <x:c r="J200" s="9"/>
      <x:c r="K200" s="11">
        <x:v>85000</x:v>
      </x:c>
      <x:c r="L200" s="11"/>
      <x:c r="M200" s="11"/>
      <x:c r="N200" s="11"/>
      <x:c r="O200" s="11">
        <x:v>85000</x:v>
      </x:c>
      <x:c r="P200" s="11">
        <x:v>48837074</x:v>
      </x:c>
      <x:c r="Q200" s="14">
        <x:f t="shared" si="3"/>
        <x:v>0.17404810124373954</x:v>
      </x:c>
      <x:c r="R200" s="13" t="s">
        <x:v>705</x:v>
      </x:c>
      <x:c r="S200" s="3" t="s">
        <x:v>819</x:v>
      </x:c>
      <x:c r="T200" s="3" t="s">
        <x:v>707</x:v>
      </x:c>
      <x:c r="U200" s="3" t="s">
        <x:v>708</x:v>
      </x:c>
      <x:c r="V200" s="3" t="s">
        <x:v>709</x:v>
      </x:c>
      <x:c r="W200" s="3" t="s">
        <x:v>948</x:v>
      </x:c>
      <x:c r="X200" s="3" t="s">
        <x:v>949</x:v>
      </x:c>
      <x:c r="Y200" s="8" t="s">
        <x:v>61</x:v>
      </x:c>
    </x:row>
    <x:row r="201" ht="28">
      <x:c r="A201" s="3" t="s">
        <x:v>979</x:v>
      </x:c>
      <x:c r="B201" s="3" t="s">
        <x:v>700</x:v>
      </x:c>
      <x:c r="C201" s="3" t="s">
        <x:v>196</x:v>
      </x:c>
      <x:c r="D201" s="3" t="s">
        <x:v>197</x:v>
      </x:c>
      <x:c r="E201" s="3" t="s">
        <x:v>197</x:v>
      </x:c>
      <x:c r="F201" s="9"/>
      <x:c r="G201" s="9">
        <x:v>85000</x:v>
      </x:c>
      <x:c r="H201" s="9"/>
      <x:c r="I201" s="3" t="s">
        <x:v>431</x:v>
      </x:c>
      <x:c r="J201" s="9"/>
      <x:c r="K201" s="11">
        <x:v>85000</x:v>
      </x:c>
      <x:c r="L201" s="11"/>
      <x:c r="M201" s="11"/>
      <x:c r="N201" s="11"/>
      <x:c r="O201" s="11">
        <x:v>85000</x:v>
      </x:c>
      <x:c r="P201" s="11">
        <x:v>48837074</x:v>
      </x:c>
      <x:c r="Q201" s="14">
        <x:f t="shared" si="3"/>
        <x:v>0.17404810124373954</x:v>
      </x:c>
      <x:c r="R201" s="13" t="s">
        <x:v>705</x:v>
      </x:c>
      <x:c r="S201" s="3" t="s">
        <x:v>819</x:v>
      </x:c>
      <x:c r="T201" s="3" t="s">
        <x:v>707</x:v>
      </x:c>
      <x:c r="U201" s="3" t="s">
        <x:v>708</x:v>
      </x:c>
      <x:c r="V201" s="3" t="s">
        <x:v>709</x:v>
      </x:c>
      <x:c r="W201" s="3" t="s">
        <x:v>948</x:v>
      </x:c>
      <x:c r="X201" s="3" t="s">
        <x:v>949</x:v>
      </x:c>
      <x:c r="Y201" s="8" t="s">
        <x:v>61</x:v>
      </x:c>
    </x:row>
    <x:row r="202" ht="28">
      <x:c r="A202" s="3" t="s">
        <x:v>980</x:v>
      </x:c>
      <x:c r="B202" s="3" t="s">
        <x:v>700</x:v>
      </x:c>
      <x:c r="C202" s="3" t="s">
        <x:v>198</x:v>
      </x:c>
      <x:c r="D202" s="3" t="s">
        <x:v>199</x:v>
      </x:c>
      <x:c r="E202" s="3" t="s">
        <x:v>199</x:v>
      </x:c>
      <x:c r="F202" s="9"/>
      <x:c r="G202" s="9">
        <x:v>85000</x:v>
      </x:c>
      <x:c r="H202" s="9"/>
      <x:c r="I202" s="3" t="s">
        <x:v>431</x:v>
      </x:c>
      <x:c r="J202" s="9"/>
      <x:c r="K202" s="11">
        <x:v>85000</x:v>
      </x:c>
      <x:c r="L202" s="11"/>
      <x:c r="M202" s="11"/>
      <x:c r="N202" s="11"/>
      <x:c r="O202" s="11">
        <x:v>85000</x:v>
      </x:c>
      <x:c r="P202" s="11">
        <x:v>48837074</x:v>
      </x:c>
      <x:c r="Q202" s="14">
        <x:f t="shared" si="3"/>
        <x:v>0.17404810124373954</x:v>
      </x:c>
      <x:c r="R202" s="13" t="s">
        <x:v>705</x:v>
      </x:c>
      <x:c r="S202" s="3" t="s">
        <x:v>819</x:v>
      </x:c>
      <x:c r="T202" s="3" t="s">
        <x:v>707</x:v>
      </x:c>
      <x:c r="U202" s="3" t="s">
        <x:v>708</x:v>
      </x:c>
      <x:c r="V202" s="3" t="s">
        <x:v>709</x:v>
      </x:c>
      <x:c r="W202" s="3" t="s">
        <x:v>948</x:v>
      </x:c>
      <x:c r="X202" s="3" t="s">
        <x:v>949</x:v>
      </x:c>
      <x:c r="Y202" s="8" t="s">
        <x:v>61</x:v>
      </x:c>
    </x:row>
    <x:row r="203" ht="28">
      <x:c r="A203" s="3" t="s">
        <x:v>981</x:v>
      </x:c>
      <x:c r="B203" s="3" t="s">
        <x:v>700</x:v>
      </x:c>
      <x:c r="C203" s="3" t="s">
        <x:v>136</x:v>
      </x:c>
      <x:c r="D203" s="3" t="s">
        <x:v>137</x:v>
      </x:c>
      <x:c r="E203" s="3" t="s">
        <x:v>137</x:v>
      </x:c>
      <x:c r="F203" s="9"/>
      <x:c r="G203" s="9">
        <x:v>70040</x:v>
      </x:c>
      <x:c r="H203" s="9"/>
      <x:c r="I203" s="3" t="s">
        <x:v>431</x:v>
      </x:c>
      <x:c r="J203" s="9"/>
      <x:c r="K203" s="11">
        <x:v>70040</x:v>
      </x:c>
      <x:c r="L203" s="11"/>
      <x:c r="M203" s="11"/>
      <x:c r="N203" s="11"/>
      <x:c r="O203" s="11">
        <x:v>70040</x:v>
      </x:c>
      <x:c r="P203" s="11">
        <x:v>48837074</x:v>
      </x:c>
      <x:c r="Q203" s="14">
        <x:f t="shared" si="3"/>
        <x:v>0.14341563542484137</x:v>
      </x:c>
      <x:c r="R203" s="13" t="s">
        <x:v>705</x:v>
      </x:c>
      <x:c r="S203" s="3" t="s">
        <x:v>819</x:v>
      </x:c>
      <x:c r="T203" s="3" t="s">
        <x:v>707</x:v>
      </x:c>
      <x:c r="U203" s="3" t="s">
        <x:v>708</x:v>
      </x:c>
      <x:c r="V203" s="3" t="s">
        <x:v>709</x:v>
      </x:c>
      <x:c r="W203" s="3" t="s">
        <x:v>948</x:v>
      </x:c>
      <x:c r="X203" s="3" t="s">
        <x:v>949</x:v>
      </x:c>
      <x:c r="Y203" s="8" t="s">
        <x:v>61</x:v>
      </x:c>
    </x:row>
    <x:row r="204" ht="28">
      <x:c r="A204" s="3" t="s">
        <x:v>982</x:v>
      </x:c>
      <x:c r="B204" s="3" t="s">
        <x:v>700</x:v>
      </x:c>
      <x:c r="C204" s="3" t="s">
        <x:v>200</x:v>
      </x:c>
      <x:c r="D204" s="3" t="s">
        <x:v>201</x:v>
      </x:c>
      <x:c r="E204" s="3" t="s">
        <x:v>201</x:v>
      </x:c>
      <x:c r="F204" s="9"/>
      <x:c r="G204" s="9">
        <x:v>38760</x:v>
      </x:c>
      <x:c r="H204" s="9"/>
      <x:c r="I204" s="3" t="s">
        <x:v>431</x:v>
      </x:c>
      <x:c r="J204" s="9"/>
      <x:c r="K204" s="11">
        <x:v>38760</x:v>
      </x:c>
      <x:c r="L204" s="11"/>
      <x:c r="M204" s="11"/>
      <x:c r="N204" s="11"/>
      <x:c r="O204" s="11">
        <x:v>38760</x:v>
      </x:c>
      <x:c r="P204" s="11">
        <x:v>48837074</x:v>
      </x:c>
      <x:c r="Q204" s="14">
        <x:f t="shared" si="3"/>
        <x:v>7.9365934167145241E-2</x:v>
      </x:c>
      <x:c r="R204" s="13" t="s">
        <x:v>705</x:v>
      </x:c>
      <x:c r="S204" s="3" t="s">
        <x:v>819</x:v>
      </x:c>
      <x:c r="T204" s="3" t="s">
        <x:v>707</x:v>
      </x:c>
      <x:c r="U204" s="3" t="s">
        <x:v>708</x:v>
      </x:c>
      <x:c r="V204" s="3" t="s">
        <x:v>709</x:v>
      </x:c>
      <x:c r="W204" s="3" t="s">
        <x:v>948</x:v>
      </x:c>
      <x:c r="X204" s="3" t="s">
        <x:v>949</x:v>
      </x:c>
      <x:c r="Y204" s="8" t="s">
        <x:v>61</x:v>
      </x:c>
    </x:row>
  </x:sheetData>
  <x:mergeCells>
    <x:mergeCell ref="A1:Y1"/>
    <x:mergeCell ref="A2:Y2"/>
  </x:mergeCells>
  <x:conditionalFormatting sqref="Y4:Y204">
    <x:cfRule type="expression" dxfId="16" priority="1">
      <x:formula>Y4="待用户复核"</x:formula>
    </x:cfRule>
    <x:cfRule type="expression" dxfId="15" priority="2">
      <x:formula>Y4="需修改"</x:formula>
    </x:cfRule>
    <x:cfRule type="expression" dxfId="14" priority="3">
      <x:formula>Y4="已验收通过"</x:formula>
    </x:cfRule>
  </x:conditionalFormatting>
  <x:dataValidations count="2">
    <x:dataValidation type="list" sqref="Y4:Y204">
      <x:formula1>"待用户复核,待人工复核,已验收通过,需修改"</x:formula1>
    </x:dataValidation>
    <x:dataValidation type="list" sqref="W4:W204">
      <x:formula1>"原文直接披露,确定性滚动,部分确定性滚动,原文方向性披露,原文变更后表＋确定性滚动,C8发行前静态表,阶段六人工判断/计算"</x:formula1>
    </x:dataValidation>
  </x:dataValidations>
  <x:pageMargins left="0.7" right="0.7" top="0.75" bottom="0.75" header="0.3" footer="0.3"/>
  <x:tableParts count="1">
    <x:tablePart xmlns:r="http://schemas.openxmlformats.org/officeDocument/2006/relationships" r:id="Rf12900d7d0fd4be5"/>
  </x:tableParts>
</x:worksheet>
</file>

<file path=xl/worksheets/sheet9.xml><?xml version="1.0" encoding="utf-8"?>
<x:worksheet xmlns:x="http://schemas.openxmlformats.org/spreadsheetml/2006/main">
  <x:sheetFormatPr defaultRowHeight="14"/>
  <x:cols>
    <x:col min="1" max="1" width="18" customWidth="1"/>
    <x:col min="2" max="2" width="22" customWidth="1"/>
    <x:col min="3" max="4" width="18" customWidth="1"/>
    <x:col min="5" max="5" width="34" customWidth="1"/>
    <x:col min="6" max="7" width="22" customWidth="1"/>
    <x:col min="8" max="11" width="14" customWidth="1"/>
    <x:col min="12" max="13" width="22" customWidth="1"/>
    <x:col min="14" max="14" width="34" customWidth="1"/>
  </x:cols>
  <x:sheetData>
    <x:row r="1" ht="7.75" customHeight="1">
      <x:c r="A1" s="36" t="s">
        <x:v>983</x:v>
      </x:c>
      <x:c r="B1" s="36"/>
      <x:c r="C1" s="36"/>
      <x:c r="D1" s="36"/>
      <x:c r="E1" s="36"/>
      <x:c r="F1" s="36"/>
      <x:c r="G1" s="36"/>
      <x:c r="H1" s="36"/>
      <x:c r="I1" s="36"/>
      <x:c r="J1" s="36"/>
      <x:c r="K1" s="36"/>
      <x:c r="L1" s="36"/>
      <x:c r="M1" s="36"/>
      <x:c r="N1" s="36"/>
    </x:row>
    <x:row r="2" ht="9.5" customHeight="1">
      <x:c r="A2" s="37" t="s">
        <x:v>984</x:v>
      </x:c>
      <x:c r="B2" s="37"/>
      <x:c r="C2" s="37"/>
      <x:c r="D2" s="37"/>
      <x:c r="E2" s="37"/>
      <x:c r="F2" s="37"/>
      <x:c r="G2" s="37"/>
      <x:c r="H2" s="37"/>
      <x:c r="I2" s="37"/>
      <x:c r="J2" s="37"/>
      <x:c r="K2" s="37"/>
      <x:c r="L2" s="37"/>
      <x:c r="M2" s="37"/>
      <x:c r="N2" s="37"/>
    </x:row>
    <x:row r="3" ht="10.649999618530273" customHeight="1">
      <x:c r="A3" s="7" t="s">
        <x:v>985</x:v>
      </x:c>
      <x:c r="B3" s="7" t="s">
        <x:v>986</x:v>
      </x:c>
      <x:c r="C3" s="7" t="s">
        <x:v>987</x:v>
      </x:c>
      <x:c r="D3" s="7" t="s">
        <x:v>988</x:v>
      </x:c>
      <x:c r="E3" s="7" t="s">
        <x:v>989</x:v>
      </x:c>
      <x:c r="F3" s="7" t="s">
        <x:v>990</x:v>
      </x:c>
      <x:c r="G3" s="7" t="s">
        <x:v>991</x:v>
      </x:c>
      <x:c r="H3" s="7" t="s">
        <x:v>992</x:v>
      </x:c>
      <x:c r="I3" s="7" t="s">
        <x:v>993</x:v>
      </x:c>
      <x:c r="J3" s="7" t="s">
        <x:v>994</x:v>
      </x:c>
      <x:c r="K3" s="7" t="s">
        <x:v>995</x:v>
      </x:c>
      <x:c r="L3" s="7" t="s">
        <x:v>996</x:v>
      </x:c>
      <x:c r="M3" s="7" t="s">
        <x:v>997</x:v>
      </x:c>
      <x:c r="N3" s="7" t="s">
        <x:v>998</x:v>
      </x:c>
    </x:row>
    <x:row r="4" ht="28">
      <x:c r="A4" s="3" t="s">
        <x:v>999</x:v>
      </x:c>
      <x:c r="B4" s="3" t="s">
        <x:v>1000</x:v>
      </x:c>
      <x:c r="C4" s="3" t="s">
        <x:v>233</x:v>
      </x:c>
      <x:c r="D4" s="3" t="s">
        <x:v>648</x:v>
      </x:c>
      <x:c r="E4" s="3" t="s">
        <x:v>1001</x:v>
      </x:c>
      <x:c r="F4" s="3" t="s">
        <x:v>1002</x:v>
      </x:c>
      <x:c r="G4" s="3" t="s">
        <x:v>1003</x:v>
      </x:c>
      <x:c r="H4" s="3" t="s">
        <x:v>1004</x:v>
      </x:c>
      <x:c r="I4" s="3" t="s">
        <x:v>1005</x:v>
      </x:c>
      <x:c r="J4" s="3" t="s">
        <x:v>239</x:v>
      </x:c>
      <x:c r="K4" s="3" t="s">
        <x:v>1006</x:v>
      </x:c>
      <x:c r="L4" s="3" t="s">
        <x:v>1007</x:v>
      </x:c>
      <x:c r="M4" s="3" t="s">
        <x:v>1008</x:v>
      </x:c>
      <x:c r="N4" s="3" t="s">
        <x:v>1009</x:v>
      </x:c>
    </x:row>
    <x:row r="5" ht="28">
      <x:c r="A5" s="3" t="s">
        <x:v>547</x:v>
      </x:c>
      <x:c r="B5" s="3" t="s">
        <x:v>1010</x:v>
      </x:c>
      <x:c r="C5" s="3" t="s">
        <x:v>234</x:v>
      </x:c>
      <x:c r="D5" s="3" t="s">
        <x:v>1011</x:v>
      </x:c>
      <x:c r="E5" s="3" t="s">
        <x:v>1012</x:v>
      </x:c>
      <x:c r="F5" s="3" t="s">
        <x:v>1013</x:v>
      </x:c>
      <x:c r="G5" s="3" t="s">
        <x:v>1014</x:v>
      </x:c>
      <x:c r="H5" s="3" t="s">
        <x:v>1015</x:v>
      </x:c>
      <x:c r="I5" s="3" t="s">
        <x:v>1016</x:v>
      </x:c>
      <x:c r="J5" s="3" t="s">
        <x:v>1017</x:v>
      </x:c>
      <x:c r="K5" s="3" t="s">
        <x:v>1006</x:v>
      </x:c>
      <x:c r="L5" s="3" t="s">
        <x:v>645</x:v>
      </x:c>
      <x:c r="M5" s="3" t="s">
        <x:v>1008</x:v>
      </x:c>
      <x:c r="N5" s="3" t="s">
        <x:v>1018</x:v>
      </x:c>
    </x:row>
    <x:row r="6" ht="42">
      <x:c r="A6" s="3" t="s">
        <x:v>476</x:v>
      </x:c>
      <x:c r="B6" s="3" t="s">
        <x:v>1019</x:v>
      </x:c>
      <x:c r="C6" s="3" t="s">
        <x:v>75</x:v>
      </x:c>
      <x:c r="D6" s="3" t="s">
        <x:v>651</x:v>
      </x:c>
      <x:c r="E6" s="3" t="s">
        <x:v>1020</x:v>
      </x:c>
      <x:c r="F6" s="3" t="s">
        <x:v>1021</x:v>
      </x:c>
      <x:c r="G6" s="3" t="s">
        <x:v>1022</x:v>
      </x:c>
      <x:c r="H6" s="3" t="s">
        <x:v>1023</x:v>
      </x:c>
      <x:c r="I6" s="3" t="s">
        <x:v>1024</x:v>
      </x:c>
      <x:c r="J6" s="3" t="s">
        <x:v>1017</x:v>
      </x:c>
      <x:c r="K6" s="3" t="s">
        <x:v>1025</x:v>
      </x:c>
      <x:c r="L6" s="3" t="s">
        <x:v>1026</x:v>
      </x:c>
      <x:c r="M6" s="3" t="s">
        <x:v>1008</x:v>
      </x:c>
      <x:c r="N6" s="3" t="s">
        <x:v>1027</x:v>
      </x:c>
    </x:row>
    <x:row r="7" ht="28">
      <x:c r="A7" s="3" t="s">
        <x:v>259</x:v>
      </x:c>
      <x:c r="B7" s="3" t="s">
        <x:v>1028</x:v>
      </x:c>
      <x:c r="C7" s="3" t="s">
        <x:v>257</x:v>
      </x:c>
      <x:c r="D7" s="3" t="s">
        <x:v>658</x:v>
      </x:c>
      <x:c r="E7" s="3" t="s">
        <x:v>1029</x:v>
      </x:c>
      <x:c r="F7" s="3" t="s">
        <x:v>1030</x:v>
      </x:c>
      <x:c r="G7" s="3" t="s">
        <x:v>1031</x:v>
      </x:c>
      <x:c r="H7" s="3" t="s">
        <x:v>1032</x:v>
      </x:c>
      <x:c r="I7" s="3" t="s">
        <x:v>1033</x:v>
      </x:c>
      <x:c r="J7" s="3" t="s">
        <x:v>239</x:v>
      </x:c>
      <x:c r="K7" s="3" t="s">
        <x:v>1034</x:v>
      </x:c>
      <x:c r="L7" s="3" t="s">
        <x:v>1035</x:v>
      </x:c>
      <x:c r="M7" s="3" t="s">
        <x:v>1036</x:v>
      </x:c>
      <x:c r="N7" s="3" t="s">
        <x:v>1037</x:v>
      </x:c>
    </x:row>
    <x:row r="8" ht="28">
      <x:c r="A8" s="3" t="s">
        <x:v>270</x:v>
      </x:c>
      <x:c r="B8" s="3" t="s">
        <x:v>1038</x:v>
      </x:c>
      <x:c r="C8" s="3" t="s">
        <x:v>267</x:v>
      </x:c>
      <x:c r="D8" s="3" t="s">
        <x:v>661</x:v>
      </x:c>
      <x:c r="E8" s="3" t="s">
        <x:v>1039</x:v>
      </x:c>
      <x:c r="F8" s="3" t="s">
        <x:v>1040</x:v>
      </x:c>
      <x:c r="G8" s="3" t="s">
        <x:v>1041</x:v>
      </x:c>
      <x:c r="H8" s="3" t="s">
        <x:v>1042</x:v>
      </x:c>
      <x:c r="I8" s="3" t="s">
        <x:v>1043</x:v>
      </x:c>
      <x:c r="J8" s="3" t="s">
        <x:v>239</x:v>
      </x:c>
      <x:c r="K8" s="3" t="s">
        <x:v>1006</x:v>
      </x:c>
      <x:c r="L8" s="3" t="s">
        <x:v>1044</x:v>
      </x:c>
      <x:c r="M8" s="3" t="s">
        <x:v>1008</x:v>
      </x:c>
      <x:c r="N8" s="3" t="s">
        <x:v>1045</x:v>
      </x:c>
    </x:row>
    <x:row r="9" ht="28">
      <x:c r="A9" s="3" t="s">
        <x:v>818</x:v>
      </x:c>
      <x:c r="B9" s="3" t="s">
        <x:v>1010</x:v>
      </x:c>
      <x:c r="C9" s="3" t="s">
        <x:v>103</x:v>
      </x:c>
      <x:c r="D9" s="3" t="s">
        <x:v>675</x:v>
      </x:c>
      <x:c r="E9" s="3" t="s">
        <x:v>1046</x:v>
      </x:c>
      <x:c r="F9" s="3" t="s">
        <x:v>1047</x:v>
      </x:c>
      <x:c r="G9" s="3" t="s">
        <x:v>1048</x:v>
      </x:c>
      <x:c r="H9" s="3" t="s">
        <x:v>1049</x:v>
      </x:c>
      <x:c r="I9" s="3" t="s">
        <x:v>1050</x:v>
      </x:c>
      <x:c r="J9" s="3" t="s">
        <x:v>431</x:v>
      </x:c>
      <x:c r="K9" s="3" t="s">
        <x:v>1051</x:v>
      </x:c>
      <x:c r="L9" s="3" t="s">
        <x:v>1052</x:v>
      </x:c>
      <x:c r="M9" s="3" t="s">
        <x:v>1008</x:v>
      </x:c>
      <x:c r="N9" s="3" t="s">
        <x:v>1053</x:v>
      </x:c>
    </x:row>
    <x:row r="10" ht="28">
      <x:c r="A10" s="3" t="s">
        <x:v>561</x:v>
      </x:c>
      <x:c r="B10" s="3" t="s">
        <x:v>1054</x:v>
      </x:c>
      <x:c r="C10" s="3" t="s">
        <x:v>103</x:v>
      </x:c>
      <x:c r="D10" s="3"/>
      <x:c r="E10" s="3" t="s">
        <x:v>1055</x:v>
      </x:c>
      <x:c r="F10" s="3" t="s">
        <x:v>1056</x:v>
      </x:c>
      <x:c r="G10" s="3" t="s">
        <x:v>1057</x:v>
      </x:c>
      <x:c r="H10" s="3" t="s">
        <x:v>1058</x:v>
      </x:c>
      <x:c r="I10" s="3" t="s">
        <x:v>1059</x:v>
      </x:c>
      <x:c r="J10" s="3" t="s">
        <x:v>398</x:v>
      </x:c>
      <x:c r="K10" s="3" t="s">
        <x:v>1060</x:v>
      </x:c>
      <x:c r="L10" s="3" t="s">
        <x:v>1061</x:v>
      </x:c>
      <x:c r="M10" s="3" t="s">
        <x:v>1008</x:v>
      </x:c>
      <x:c r="N10" s="3" t="s">
        <x:v>1062</x:v>
      </x:c>
    </x:row>
    <x:row r="11" ht="84">
      <x:c r="A11" s="3" t="s">
        <x:v>292</x:v>
      </x:c>
      <x:c r="B11" s="3" t="s">
        <x:v>1063</x:v>
      </x:c>
      <x:c r="C11" s="3" t="s">
        <x:v>126</x:v>
      </x:c>
      <x:c r="D11" s="3" t="s">
        <x:v>678</x:v>
      </x:c>
      <x:c r="E11" s="3" t="s">
        <x:v>1064</x:v>
      </x:c>
      <x:c r="F11" s="3" t="s">
        <x:v>1065</x:v>
      </x:c>
      <x:c r="G11" s="3" t="s">
        <x:v>1066</x:v>
      </x:c>
      <x:c r="H11" s="3" t="s">
        <x:v>1067</x:v>
      </x:c>
      <x:c r="I11" s="3" t="s">
        <x:v>1068</x:v>
      </x:c>
      <x:c r="J11" s="3" t="s">
        <x:v>431</x:v>
      </x:c>
      <x:c r="K11" s="3" t="s">
        <x:v>1069</x:v>
      </x:c>
      <x:c r="L11" s="3" t="s">
        <x:v>1070</x:v>
      </x:c>
      <x:c r="M11" s="3" t="s">
        <x:v>1008</x:v>
      </x:c>
      <x:c r="N11" s="3" t="s">
        <x:v>1071</x:v>
      </x:c>
    </x:row>
    <x:row r="12" ht="56">
      <x:c r="A12" s="3" t="s">
        <x:v>305</x:v>
      </x:c>
      <x:c r="B12" s="3" t="s">
        <x:v>1072</x:v>
      </x:c>
      <x:c r="C12" s="3" t="s">
        <x:v>148</x:v>
      </x:c>
      <x:c r="D12" s="3" t="s">
        <x:v>678</x:v>
      </x:c>
      <x:c r="E12" s="3" t="s">
        <x:v>1073</x:v>
      </x:c>
      <x:c r="F12" s="3" t="s">
        <x:v>1074</x:v>
      </x:c>
      <x:c r="G12" s="3" t="s">
        <x:v>1066</x:v>
      </x:c>
      <x:c r="H12" s="3" t="s">
        <x:v>1075</x:v>
      </x:c>
      <x:c r="I12" s="3" t="s">
        <x:v>1076</x:v>
      </x:c>
      <x:c r="J12" s="3" t="s">
        <x:v>431</x:v>
      </x:c>
      <x:c r="K12" s="3" t="s">
        <x:v>1051</x:v>
      </x:c>
      <x:c r="L12" s="3" t="s">
        <x:v>306</x:v>
      </x:c>
      <x:c r="M12" s="3" t="s">
        <x:v>1008</x:v>
      </x:c>
      <x:c r="N12" s="3" t="s">
        <x:v>1077</x:v>
      </x:c>
    </x:row>
    <x:row r="13" ht="42">
      <x:c r="A13" s="3" t="s">
        <x:v>501</x:v>
      </x:c>
      <x:c r="B13" s="3" t="s">
        <x:v>1078</x:v>
      </x:c>
      <x:c r="C13" s="3" t="s">
        <x:v>161</x:v>
      </x:c>
      <x:c r="D13" s="3" t="s">
        <x:v>678</x:v>
      </x:c>
      <x:c r="E13" s="3" t="s">
        <x:v>1079</x:v>
      </x:c>
      <x:c r="F13" s="3" t="s">
        <x:v>1080</x:v>
      </x:c>
      <x:c r="G13" s="3" t="s">
        <x:v>1081</x:v>
      </x:c>
      <x:c r="H13" s="3" t="s">
        <x:v>1082</x:v>
      </x:c>
      <x:c r="I13" s="3" t="s">
        <x:v>1083</x:v>
      </x:c>
      <x:c r="J13" s="3" t="s">
        <x:v>1084</x:v>
      </x:c>
      <x:c r="K13" s="3" t="s">
        <x:v>1085</x:v>
      </x:c>
      <x:c r="L13" s="3" t="s">
        <x:v>1086</x:v>
      </x:c>
      <x:c r="M13" s="3" t="s">
        <x:v>1008</x:v>
      </x:c>
      <x:c r="N13" s="3" t="s">
        <x:v>1087</x:v>
      </x:c>
    </x:row>
    <x:row r="14" ht="28">
      <x:c r="A14" s="3" t="s">
        <x:v>569</x:v>
      </x:c>
      <x:c r="B14" s="3" t="s">
        <x:v>1054</x:v>
      </x:c>
      <x:c r="C14" s="3" t="s">
        <x:v>161</x:v>
      </x:c>
      <x:c r="D14" s="3"/>
      <x:c r="E14" s="3" t="s">
        <x:v>1088</x:v>
      </x:c>
      <x:c r="F14" s="3" t="s">
        <x:v>1089</x:v>
      </x:c>
      <x:c r="G14" s="3" t="s">
        <x:v>1057</x:v>
      </x:c>
      <x:c r="H14" s="3" t="s">
        <x:v>1090</x:v>
      </x:c>
      <x:c r="I14" s="3" t="s">
        <x:v>1091</x:v>
      </x:c>
      <x:c r="J14" s="3" t="s">
        <x:v>398</x:v>
      </x:c>
      <x:c r="K14" s="3" t="s">
        <x:v>1060</x:v>
      </x:c>
      <x:c r="L14" s="3" t="s">
        <x:v>1086</x:v>
      </x:c>
      <x:c r="M14" s="3" t="s">
        <x:v>1008</x:v>
      </x:c>
      <x:c r="N14" s="3" t="s">
        <x:v>1092</x:v>
      </x:c>
    </x:row>
    <x:row r="15" ht="42">
      <x:c r="A15" s="3" t="s">
        <x:v>511</x:v>
      </x:c>
      <x:c r="B15" s="3" t="s">
        <x:v>1093</x:v>
      </x:c>
      <x:c r="C15" s="3" t="s">
        <x:v>76</x:v>
      </x:c>
      <x:c r="D15" s="3" t="s">
        <x:v>685</x:v>
      </x:c>
      <x:c r="E15" s="3" t="s">
        <x:v>1094</x:v>
      </x:c>
      <x:c r="F15" s="3" t="s">
        <x:v>1095</x:v>
      </x:c>
      <x:c r="G15" s="3" t="s">
        <x:v>1096</x:v>
      </x:c>
      <x:c r="H15" s="3" t="s">
        <x:v>1097</x:v>
      </x:c>
      <x:c r="I15" s="3" t="s">
        <x:v>1098</x:v>
      </x:c>
      <x:c r="J15" s="3" t="s">
        <x:v>431</x:v>
      </x:c>
      <x:c r="K15" s="3" t="s">
        <x:v>1051</x:v>
      </x:c>
      <x:c r="L15" s="3" t="s">
        <x:v>513</x:v>
      </x:c>
      <x:c r="M15" s="3" t="s">
        <x:v>1008</x:v>
      </x:c>
      <x:c r="N15" s="3" t="s">
        <x:v>1099</x:v>
      </x:c>
    </x:row>
    <x:row r="16" ht="28">
      <x:c r="A16" s="3" t="s">
        <x:v>317</x:v>
      </x:c>
      <x:c r="B16" s="3" t="s">
        <x:v>1038</x:v>
      </x:c>
      <x:c r="C16" s="3" t="s">
        <x:v>175</x:v>
      </x:c>
      <x:c r="D16" s="3" t="s">
        <x:v>687</x:v>
      </x:c>
      <x:c r="E16" s="3" t="s">
        <x:v>1100</x:v>
      </x:c>
      <x:c r="F16" s="3" t="s">
        <x:v>1101</x:v>
      </x:c>
      <x:c r="G16" s="3" t="s">
        <x:v>1102</x:v>
      </x:c>
      <x:c r="H16" s="3" t="s">
        <x:v>1103</x:v>
      </x:c>
      <x:c r="I16" s="3" t="s">
        <x:v>1104</x:v>
      </x:c>
      <x:c r="J16" s="3" t="s">
        <x:v>239</x:v>
      </x:c>
      <x:c r="K16" s="3" t="s">
        <x:v>1105</x:v>
      </x:c>
      <x:c r="L16" s="3" t="s">
        <x:v>1106</x:v>
      </x:c>
      <x:c r="M16" s="3" t="s">
        <x:v>1008</x:v>
      </x:c>
      <x:c r="N16" s="3" t="s">
        <x:v>1107</x:v>
      </x:c>
    </x:row>
    <x:row r="17" ht="28">
      <x:c r="A17" s="3" t="s">
        <x:v>1108</x:v>
      </x:c>
      <x:c r="B17" s="3" t="s">
        <x:v>1109</x:v>
      </x:c>
      <x:c r="C17" s="3" t="s">
        <x:v>175</x:v>
      </x:c>
      <x:c r="D17" s="3" t="s">
        <x:v>687</x:v>
      </x:c>
      <x:c r="E17" s="3" t="s">
        <x:v>1110</x:v>
      </x:c>
      <x:c r="F17" s="3" t="s">
        <x:v>1111</x:v>
      </x:c>
      <x:c r="G17" s="3" t="s">
        <x:v>1112</x:v>
      </x:c>
      <x:c r="H17" s="3" t="s">
        <x:v>1113</x:v>
      </x:c>
      <x:c r="I17" s="3" t="s">
        <x:v>1114</x:v>
      </x:c>
      <x:c r="J17" s="3" t="s">
        <x:v>431</x:v>
      </x:c>
      <x:c r="K17" s="3" t="s">
        <x:v>1051</x:v>
      </x:c>
      <x:c r="L17" s="3" t="s">
        <x:v>1115</x:v>
      </x:c>
      <x:c r="M17" s="3" t="s">
        <x:v>1008</x:v>
      </x:c>
      <x:c r="N17" s="3" t="s">
        <x:v>1116</x:v>
      </x:c>
    </x:row>
    <x:row r="18" ht="42">
      <x:c r="A18" s="3" t="s">
        <x:v>329</x:v>
      </x:c>
      <x:c r="B18" s="3" t="s">
        <x:v>1038</x:v>
      </x:c>
      <x:c r="C18" s="3" t="s">
        <x:v>181</x:v>
      </x:c>
      <x:c r="D18" s="3" t="s">
        <x:v>691</x:v>
      </x:c>
      <x:c r="E18" s="3" t="s">
        <x:v>1117</x:v>
      </x:c>
      <x:c r="F18" s="3" t="s">
        <x:v>1118</x:v>
      </x:c>
      <x:c r="G18" s="3" t="s">
        <x:v>1119</x:v>
      </x:c>
      <x:c r="H18" s="3" t="s">
        <x:v>1120</x:v>
      </x:c>
      <x:c r="I18" s="3" t="s">
        <x:v>1121</x:v>
      </x:c>
      <x:c r="J18" s="3" t="s">
        <x:v>1084</x:v>
      </x:c>
      <x:c r="K18" s="3" t="s">
        <x:v>1105</x:v>
      </x:c>
      <x:c r="L18" s="3" t="s">
        <x:v>1122</x:v>
      </x:c>
      <x:c r="M18" s="3" t="s">
        <x:v>1008</x:v>
      </x:c>
      <x:c r="N18" s="3" t="s">
        <x:v>1123</x:v>
      </x:c>
    </x:row>
    <x:row r="19" ht="84">
      <x:c r="A19" s="3" t="s">
        <x:v>521</x:v>
      </x:c>
      <x:c r="B19" s="3" t="s">
        <x:v>1078</x:v>
      </x:c>
      <x:c r="C19" s="3" t="s">
        <x:v>65</x:v>
      </x:c>
      <x:c r="D19" s="3" t="s">
        <x:v>691</x:v>
      </x:c>
      <x:c r="E19" s="3" t="s">
        <x:v>1124</x:v>
      </x:c>
      <x:c r="F19" s="3" t="s">
        <x:v>1125</x:v>
      </x:c>
      <x:c r="G19" s="3" t="s">
        <x:v>1126</x:v>
      </x:c>
      <x:c r="H19" s="3">
        <x:v>8563.19</x:v>
      </x:c>
      <x:c r="I19" s="3" t="s">
        <x:v>1127</x:v>
      </x:c>
      <x:c r="J19" s="3" t="s">
        <x:v>239</x:v>
      </x:c>
      <x:c r="K19" s="3" t="s">
        <x:v>1128</x:v>
      </x:c>
      <x:c r="L19" s="3" t="s">
        <x:v>1129</x:v>
      </x:c>
      <x:c r="M19" s="3" t="s">
        <x:v>1008</x:v>
      </x:c>
      <x:c r="N19" s="3" t="s">
        <x:v>1130</x:v>
      </x:c>
    </x:row>
    <x:row r="20" ht="28">
      <x:c r="A20" s="3" t="s">
        <x:v>592</x:v>
      </x:c>
      <x:c r="B20" s="3" t="s">
        <x:v>1093</x:v>
      </x:c>
      <x:c r="C20" s="3" t="s">
        <x:v>65</x:v>
      </x:c>
      <x:c r="D20" s="3" t="s">
        <x:v>691</x:v>
      </x:c>
      <x:c r="E20" s="3" t="s">
        <x:v>1131</x:v>
      </x:c>
      <x:c r="F20" s="3" t="s">
        <x:v>1132</x:v>
      </x:c>
      <x:c r="G20" s="3" t="s">
        <x:v>1133</x:v>
      </x:c>
      <x:c r="H20" s="3" t="s">
        <x:v>1134</x:v>
      </x:c>
      <x:c r="I20" s="3" t="s">
        <x:v>1135</x:v>
      </x:c>
      <x:c r="J20" s="3" t="s">
        <x:v>431</x:v>
      </x:c>
      <x:c r="K20" s="3" t="s">
        <x:v>1051</x:v>
      </x:c>
      <x:c r="L20" s="3" t="s">
        <x:v>593</x:v>
      </x:c>
      <x:c r="M20" s="3" t="s">
        <x:v>1008</x:v>
      </x:c>
      <x:c r="N20" s="3" t="s">
        <x:v>1136</x:v>
      </x:c>
    </x:row>
    <x:row r="21" ht="28">
      <x:c r="A21" s="3" t="s">
        <x:v>705</x:v>
      </x:c>
      <x:c r="B21" s="3" t="s">
        <x:v>1137</x:v>
      </x:c>
      <x:c r="C21" s="3" t="s">
        <x:v>701</x:v>
      </x:c>
      <x:c r="D21" s="3" t="s">
        <x:v>700</x:v>
      </x:c>
      <x:c r="E21" s="3" t="s">
        <x:v>1138</x:v>
      </x:c>
      <x:c r="F21" s="3" t="s">
        <x:v>1139</x:v>
      </x:c>
      <x:c r="G21" s="3" t="s">
        <x:v>1140</x:v>
      </x:c>
      <x:c r="H21" s="3" t="s">
        <x:v>1141</x:v>
      </x:c>
      <x:c r="I21" s="3" t="s">
        <x:v>1142</x:v>
      </x:c>
      <x:c r="J21" s="3" t="s">
        <x:v>431</x:v>
      </x:c>
      <x:c r="K21" s="3" t="s">
        <x:v>1051</x:v>
      </x:c>
      <x:c r="L21" s="3" t="s">
        <x:v>1143</x:v>
      </x:c>
      <x:c r="M21" s="3" t="str">
        <x:v>已验收通过（阶段六终点核对）</x:v>
      </x:c>
      <x:c r="N21" s="3" t="str">
        <x:v>SNP-014与C8发行前静态表逐股东及总股本差额均为0；C8仍不用于倒推历史。</x:v>
      </x:c>
    </x:row>
    <x:row r="22" ht="28">
      <x:c r="A22" s="3" t="s">
        <x:v>725</x:v>
      </x:c>
      <x:c r="B22" s="3" t="s">
        <x:v>1144</x:v>
      </x:c>
      <x:c r="C22" s="3" t="s">
        <x:v>56</x:v>
      </x:c>
      <x:c r="D22" s="3" t="s">
        <x:v>632</x:v>
      </x:c>
      <x:c r="E22" s="3" t="s">
        <x:v>1145</x:v>
      </x:c>
      <x:c r="F22" s="3" t="s">
        <x:v>1146</x:v>
      </x:c>
      <x:c r="G22" s="3" t="s">
        <x:v>1147</x:v>
      </x:c>
      <x:c r="H22" s="3" t="s">
        <x:v>464</x:v>
      </x:c>
      <x:c r="I22" s="3" t="s">
        <x:v>1148</x:v>
      </x:c>
      <x:c r="J22" s="3" t="s">
        <x:v>465</x:v>
      </x:c>
      <x:c r="K22" s="3" t="s">
        <x:v>1025</x:v>
      </x:c>
      <x:c r="L22" s="3" t="s">
        <x:v>1149</x:v>
      </x:c>
      <x:c r="M22" s="3" t="s">
        <x:v>1008</x:v>
      </x:c>
      <x:c r="N22" s="3" t="s">
        <x:v>1150</x:v>
      </x:c>
    </x:row>
    <x:row r="23" ht="28">
      <x:c r="A23" s="3" t="s">
        <x:v>749</x:v>
      </x:c>
      <x:c r="B23" s="3" t="s">
        <x:v>1151</x:v>
      </x:c>
      <x:c r="C23" s="3" t="s">
        <x:v>82</x:v>
      </x:c>
      <x:c r="D23" s="3" t="s">
        <x:v>654</x:v>
      </x:c>
      <x:c r="E23" s="3" t="s">
        <x:v>1152</x:v>
      </x:c>
      <x:c r="F23" s="3" t="s">
        <x:v>1153</x:v>
      </x:c>
      <x:c r="G23" s="3" t="s">
        <x:v>1154</x:v>
      </x:c>
      <x:c r="H23" s="3" t="s">
        <x:v>1155</x:v>
      </x:c>
      <x:c r="I23" s="3" t="s">
        <x:v>1156</x:v>
      </x:c>
      <x:c r="J23" s="3" t="s">
        <x:v>465</x:v>
      </x:c>
      <x:c r="K23" s="3" t="s">
        <x:v>1060</x:v>
      </x:c>
      <x:c r="L23" s="3" t="s">
        <x:v>1157</x:v>
      </x:c>
      <x:c r="M23" s="3" t="str">
        <x:v>已验收通过（阶段六快照判断）</x:v>
      </x:c>
      <x:c r="N23" s="3" t="str">
        <x:v>SNP-005维持partial，已知老股东比例仅为计算值，不补推新增股东分配。</x:v>
      </x:c>
    </x:row>
    <x:row r="24" ht="28">
      <x:c r="A24" s="3" t="s">
        <x:v>793</x:v>
      </x:c>
      <x:c r="B24" s="3" t="s">
        <x:v>1144</x:v>
      </x:c>
      <x:c r="C24" s="3" t="s">
        <x:v>668</x:v>
      </x:c>
      <x:c r="D24" s="3" t="s">
        <x:v>666</x:v>
      </x:c>
      <x:c r="E24" s="3" t="s">
        <x:v>1158</x:v>
      </x:c>
      <x:c r="F24" s="3" t="s">
        <x:v>1159</x:v>
      </x:c>
      <x:c r="G24" s="3" t="s">
        <x:v>1160</x:v>
      </x:c>
      <x:c r="H24" s="3" t="s">
        <x:v>1155</x:v>
      </x:c>
      <x:c r="I24" s="3" t="s">
        <x:v>1161</x:v>
      </x:c>
      <x:c r="J24" s="3" t="s">
        <x:v>465</x:v>
      </x:c>
      <x:c r="K24" s="3" t="s">
        <x:v>1162</x:v>
      </x:c>
      <x:c r="L24" s="3" t="s">
        <x:v>1163</x:v>
      </x:c>
      <x:c r="M24" s="3" t="s">
        <x:v>1008</x:v>
      </x:c>
      <x:c r="N24" s="3" t="s">
        <x:v>1164</x:v>
      </x:c>
    </x:row>
  </x:sheetData>
  <x:mergeCells>
    <x:mergeCell ref="A1:N1"/>
    <x:mergeCell ref="A2:N2"/>
  </x:mergeCells>
  <x:pageMargins left="0.7" right="0.7" top="0.75" bottom="0.75" header="0.3" footer="0.3"/>
  <x:tableParts count="1">
    <x:tablePart xmlns:r="http://schemas.openxmlformats.org/officeDocument/2006/relationships" r:id="Rd83f2c8d03244d75"/>
  </x:tableParts>
</x:worksheet>
</file>

<file path=xl/worksheets/sheet10.xml><?xml version="1.0" encoding="utf-8"?>
<x:worksheet xmlns:x="http://schemas.openxmlformats.org/spreadsheetml/2006/main">
  <x:sheetFormatPr defaultRowHeight="14"/>
  <x:cols>
    <x:col min="1" max="1" width="18" customWidth="1"/>
    <x:col min="2" max="2" width="22" customWidth="1"/>
    <x:col min="3" max="4" width="18" customWidth="1"/>
    <x:col min="5" max="6" width="16" customWidth="1"/>
    <x:col min="7" max="7" width="34" customWidth="1"/>
    <x:col min="8" max="8" width="14" customWidth="1"/>
    <x:col min="9" max="9" width="22" customWidth="1"/>
    <x:col min="10" max="10" width="34" customWidth="1"/>
    <x:col min="11" max="11" width="22" customWidth="1"/>
    <x:col min="12" max="12" width="34" customWidth="1"/>
  </x:cols>
  <x:sheetData>
    <x:row r="1" ht="7.75" customHeight="1">
      <x:c r="A1" s="36" t="s">
        <x:v>1165</x:v>
      </x:c>
      <x:c r="B1" s="36"/>
      <x:c r="C1" s="36"/>
      <x:c r="D1" s="36"/>
      <x:c r="E1" s="36"/>
      <x:c r="F1" s="36"/>
      <x:c r="G1" s="36"/>
      <x:c r="H1" s="36"/>
      <x:c r="I1" s="36"/>
      <x:c r="J1" s="36"/>
      <x:c r="K1" s="36"/>
      <x:c r="L1" s="36"/>
    </x:row>
    <x:row r="2" ht="9.5" customHeight="1">
      <x:c r="A2" s="37" t="s">
        <x:v>1166</x:v>
      </x:c>
      <x:c r="B2" s="37"/>
      <x:c r="C2" s="37"/>
      <x:c r="D2" s="37"/>
      <x:c r="E2" s="37"/>
      <x:c r="F2" s="37"/>
      <x:c r="G2" s="37"/>
      <x:c r="H2" s="37"/>
      <x:c r="I2" s="37"/>
      <x:c r="J2" s="37"/>
      <x:c r="K2" s="37"/>
      <x:c r="L2" s="37"/>
    </x:row>
    <x:row r="3" ht="10.649999618530273" customHeight="1">
      <x:c r="A3" s="7" t="s">
        <x:v>1167</x:v>
      </x:c>
      <x:c r="B3" s="7" t="s">
        <x:v>1168</x:v>
      </x:c>
      <x:c r="C3" s="7" t="s">
        <x:v>1169</x:v>
      </x:c>
      <x:c r="D3" s="7" t="s">
        <x:v>48</x:v>
      </x:c>
      <x:c r="E3" s="7" t="s">
        <x:v>227</x:v>
      </x:c>
      <x:c r="F3" s="7" t="s">
        <x:v>228</x:v>
      </x:c>
      <x:c r="G3" s="7" t="s">
        <x:v>1170</x:v>
      </x:c>
      <x:c r="H3" s="7" t="s">
        <x:v>1171</x:v>
      </x:c>
      <x:c r="I3" s="7" t="s">
        <x:v>1172</x:v>
      </x:c>
      <x:c r="J3" s="7" t="s">
        <x:v>49</x:v>
      </x:c>
      <x:c r="K3" s="7" t="s">
        <x:v>50</x:v>
      </x:c>
      <x:c r="L3" s="7" t="s">
        <x:v>998</x:v>
      </x:c>
    </x:row>
    <x:row r="4" ht="98">
      <x:c r="A4" s="3" t="s">
        <x:v>69</x:v>
      </x:c>
      <x:c r="B4" s="3" t="s">
        <x:v>1173</x:v>
      </x:c>
      <x:c r="C4" s="3" t="s">
        <x:v>234</x:v>
      </x:c>
      <x:c r="D4" s="3" t="s">
        <x:v>69</x:v>
      </x:c>
      <x:c r="E4" s="3" t="s">
        <x:v>242</x:v>
      </x:c>
      <x:c r="F4" s="3" t="s">
        <x:v>243</x:v>
      </x:c>
      <x:c r="G4" s="3" t="s">
        <x:v>244</x:v>
      </x:c>
      <x:c r="H4" s="3" t="s">
        <x:v>1174</x:v>
      </x:c>
      <x:c r="I4" s="3" t="s">
        <x:v>1175</x:v>
      </x:c>
      <x:c r="J4" s="3" t="s">
        <x:v>1176</x:v>
      </x:c>
      <x:c r="K4" s="8" t="s">
        <x:v>61</x:v>
      </x:c>
      <x:c r="L4" s="3" t="s">
        <x:v>1177</x:v>
      </x:c>
    </x:row>
    <x:row r="5" ht="42">
      <x:c r="A5" s="3" t="s">
        <x:v>1178</x:v>
      </x:c>
      <x:c r="B5" s="3" t="s">
        <x:v>1173</x:v>
      </x:c>
      <x:c r="C5" s="3" t="s">
        <x:v>82</x:v>
      </x:c>
      <x:c r="D5" s="3" t="s">
        <x:v>1178</x:v>
      </x:c>
      <x:c r="E5" s="3" t="s">
        <x:v>242</x:v>
      </x:c>
      <x:c r="F5" s="3" t="s">
        <x:v>243</x:v>
      </x:c>
      <x:c r="G5" s="3" t="s">
        <x:v>1179</x:v>
      </x:c>
      <x:c r="H5" s="3" t="s">
        <x:v>1180</x:v>
      </x:c>
      <x:c r="I5" s="3" t="s">
        <x:v>1175</x:v>
      </x:c>
      <x:c r="J5" s="3" t="s">
        <x:v>1181</x:v>
      </x:c>
      <x:c r="K5" s="8" t="s">
        <x:v>61</x:v>
      </x:c>
      <x:c r="L5" s="3" t="s">
        <x:v>1177</x:v>
      </x:c>
    </x:row>
    <x:row r="6" ht="42">
      <x:c r="A6" s="3" t="s">
        <x:v>84</x:v>
      </x:c>
      <x:c r="B6" s="3" t="s">
        <x:v>1173</x:v>
      </x:c>
      <x:c r="C6" s="3" t="s">
        <x:v>82</x:v>
      </x:c>
      <x:c r="D6" s="3" t="s">
        <x:v>84</x:v>
      </x:c>
      <x:c r="E6" s="3" t="s">
        <x:v>242</x:v>
      </x:c>
      <x:c r="F6" s="3" t="s">
        <x:v>243</x:v>
      </x:c>
      <x:c r="G6" s="3" t="s">
        <x:v>1182</x:v>
      </x:c>
      <x:c r="H6" s="3" t="s">
        <x:v>1183</x:v>
      </x:c>
      <x:c r="I6" s="3" t="s">
        <x:v>1175</x:v>
      </x:c>
      <x:c r="J6" s="3" t="s">
        <x:v>1181</x:v>
      </x:c>
      <x:c r="K6" s="8" t="s">
        <x:v>61</x:v>
      </x:c>
      <x:c r="L6" s="3" t="s">
        <x:v>1177</x:v>
      </x:c>
    </x:row>
    <x:row r="7" ht="28">
      <x:c r="A7" s="3" t="s">
        <x:v>1184</x:v>
      </x:c>
      <x:c r="B7" s="3" t="s">
        <x:v>1173</x:v>
      </x:c>
      <x:c r="C7" s="3" t="s">
        <x:v>257</x:v>
      </x:c>
      <x:c r="D7" s="3" t="s">
        <x:v>1184</x:v>
      </x:c>
      <x:c r="E7" s="3" t="s">
        <x:v>242</x:v>
      </x:c>
      <x:c r="F7" s="3" t="s">
        <x:v>243</x:v>
      </x:c>
      <x:c r="G7" s="3" t="s">
        <x:v>1185</x:v>
      </x:c>
      <x:c r="H7" s="3" t="s">
        <x:v>1186</x:v>
      </x:c>
      <x:c r="I7" s="3" t="s">
        <x:v>1175</x:v>
      </x:c>
      <x:c r="J7" s="3" t="s">
        <x:v>1181</x:v>
      </x:c>
      <x:c r="K7" s="8" t="s">
        <x:v>61</x:v>
      </x:c>
      <x:c r="L7" s="3" t="s">
        <x:v>1177</x:v>
      </x:c>
    </x:row>
    <x:row r="8" ht="42">
      <x:c r="A8" s="3" t="s">
        <x:v>377</x:v>
      </x:c>
      <x:c r="B8" s="3" t="s">
        <x:v>1173</x:v>
      </x:c>
      <x:c r="C8" s="3" t="s">
        <x:v>257</x:v>
      </x:c>
      <x:c r="D8" s="3" t="s">
        <x:v>377</x:v>
      </x:c>
      <x:c r="E8" s="3" t="s">
        <x:v>242</x:v>
      </x:c>
      <x:c r="F8" s="3" t="s">
        <x:v>243</x:v>
      </x:c>
      <x:c r="G8" s="3" t="s">
        <x:v>1187</x:v>
      </x:c>
      <x:c r="H8" s="3" t="s">
        <x:v>1188</x:v>
      </x:c>
      <x:c r="I8" s="3" t="s">
        <x:v>1175</x:v>
      </x:c>
      <x:c r="J8" s="3" t="s">
        <x:v>1181</x:v>
      </x:c>
      <x:c r="K8" s="8" t="s">
        <x:v>61</x:v>
      </x:c>
      <x:c r="L8" s="3" t="s">
        <x:v>1177</x:v>
      </x:c>
    </x:row>
    <x:row r="9" ht="28">
      <x:c r="A9" s="3" t="s">
        <x:v>1189</x:v>
      </x:c>
      <x:c r="B9" s="3" t="s">
        <x:v>1173</x:v>
      </x:c>
      <x:c r="C9" s="3" t="s">
        <x:v>267</x:v>
      </x:c>
      <x:c r="D9" s="3" t="s">
        <x:v>1189</x:v>
      </x:c>
      <x:c r="E9" s="3" t="s">
        <x:v>242</x:v>
      </x:c>
      <x:c r="F9" s="3" t="s">
        <x:v>243</x:v>
      </x:c>
      <x:c r="G9" s="3" t="s">
        <x:v>1190</x:v>
      </x:c>
      <x:c r="H9" s="3" t="s">
        <x:v>1186</x:v>
      </x:c>
      <x:c r="I9" s="3" t="s">
        <x:v>1175</x:v>
      </x:c>
      <x:c r="J9" s="3" t="s">
        <x:v>1181</x:v>
      </x:c>
      <x:c r="K9" s="8" t="s">
        <x:v>61</x:v>
      </x:c>
      <x:c r="L9" s="3" t="s">
        <x:v>1177</x:v>
      </x:c>
    </x:row>
    <x:row r="10" ht="42">
      <x:c r="A10" s="3" t="s">
        <x:v>385</x:v>
      </x:c>
      <x:c r="B10" s="3" t="s">
        <x:v>1173</x:v>
      </x:c>
      <x:c r="C10" s="3" t="s">
        <x:v>267</x:v>
      </x:c>
      <x:c r="D10" s="3" t="s">
        <x:v>385</x:v>
      </x:c>
      <x:c r="E10" s="3" t="s">
        <x:v>242</x:v>
      </x:c>
      <x:c r="F10" s="3" t="s">
        <x:v>243</x:v>
      </x:c>
      <x:c r="G10" s="3" t="s">
        <x:v>1191</x:v>
      </x:c>
      <x:c r="H10" s="3" t="s">
        <x:v>1192</x:v>
      </x:c>
      <x:c r="I10" s="3" t="s">
        <x:v>1175</x:v>
      </x:c>
      <x:c r="J10" s="3" t="s">
        <x:v>1181</x:v>
      </x:c>
      <x:c r="K10" s="8" t="s">
        <x:v>61</x:v>
      </x:c>
      <x:c r="L10" s="3" t="s">
        <x:v>1177</x:v>
      </x:c>
    </x:row>
    <x:row r="11" ht="42">
      <x:c r="A11" s="3" t="s">
        <x:v>1193</x:v>
      </x:c>
      <x:c r="B11" s="3" t="s">
        <x:v>1173</x:v>
      </x:c>
      <x:c r="C11" s="3" t="s">
        <x:v>97</x:v>
      </x:c>
      <x:c r="D11" s="3" t="s">
        <x:v>1193</x:v>
      </x:c>
      <x:c r="E11" s="3" t="s">
        <x:v>281</x:v>
      </x:c>
      <x:c r="F11" s="3" t="s">
        <x:v>242</x:v>
      </x:c>
      <x:c r="G11" s="3" t="s">
        <x:v>1194</x:v>
      </x:c>
      <x:c r="H11" s="3" t="s">
        <x:v>1180</x:v>
      </x:c>
      <x:c r="I11" s="3" t="s">
        <x:v>1175</x:v>
      </x:c>
      <x:c r="J11" s="3" t="s">
        <x:v>1181</x:v>
      </x:c>
      <x:c r="K11" s="8" t="s">
        <x:v>61</x:v>
      </x:c>
      <x:c r="L11" s="3" t="s">
        <x:v>1177</x:v>
      </x:c>
    </x:row>
    <x:row r="12" ht="42">
      <x:c r="A12" s="3" t="s">
        <x:v>98</x:v>
      </x:c>
      <x:c r="B12" s="3" t="s">
        <x:v>1173</x:v>
      </x:c>
      <x:c r="C12" s="3" t="s">
        <x:v>97</x:v>
      </x:c>
      <x:c r="D12" s="3" t="s">
        <x:v>98</x:v>
      </x:c>
      <x:c r="E12" s="3" t="s">
        <x:v>281</x:v>
      </x:c>
      <x:c r="F12" s="3" t="s">
        <x:v>242</x:v>
      </x:c>
      <x:c r="G12" s="3" t="s">
        <x:v>1195</x:v>
      </x:c>
      <x:c r="H12" s="3" t="s">
        <x:v>1196</x:v>
      </x:c>
      <x:c r="I12" s="3" t="s">
        <x:v>1175</x:v>
      </x:c>
      <x:c r="J12" s="3" t="s">
        <x:v>1181</x:v>
      </x:c>
      <x:c r="K12" s="8" t="s">
        <x:v>61</x:v>
      </x:c>
      <x:c r="L12" s="3" t="s">
        <x:v>1177</x:v>
      </x:c>
    </x:row>
    <x:row r="13" ht="56">
      <x:c r="A13" s="3" t="s">
        <x:v>127</x:v>
      </x:c>
      <x:c r="B13" s="3" t="s">
        <x:v>1173</x:v>
      </x:c>
      <x:c r="C13" s="3" t="s">
        <x:v>287</x:v>
      </x:c>
      <x:c r="D13" s="3" t="s">
        <x:v>127</x:v>
      </x:c>
      <x:c r="E13" s="3" t="s">
        <x:v>1197</x:v>
      </x:c>
      <x:c r="F13" s="3" t="s">
        <x:v>1198</x:v>
      </x:c>
      <x:c r="G13" s="3" t="s">
        <x:v>572</x:v>
      </x:c>
      <x:c r="H13" s="3" t="s">
        <x:v>1199</x:v>
      </x:c>
      <x:c r="I13" s="3" t="s">
        <x:v>1175</x:v>
      </x:c>
      <x:c r="J13" s="3" t="s">
        <x:v>1181</x:v>
      </x:c>
      <x:c r="K13" s="8" t="s">
        <x:v>61</x:v>
      </x:c>
      <x:c r="L13" s="3" t="s">
        <x:v>1177</x:v>
      </x:c>
    </x:row>
    <x:row r="14" ht="42">
      <x:c r="A14" s="3" t="s">
        <x:v>1200</x:v>
      </x:c>
      <x:c r="B14" s="3" t="s">
        <x:v>1173</x:v>
      </x:c>
      <x:c r="C14" s="3" t="s">
        <x:v>287</x:v>
      </x:c>
      <x:c r="D14" s="3" t="s">
        <x:v>1200</x:v>
      </x:c>
      <x:c r="E14" s="3" t="s">
        <x:v>1201</x:v>
      </x:c>
      <x:c r="F14" s="3" t="s">
        <x:v>1197</x:v>
      </x:c>
      <x:c r="G14" s="3" t="s">
        <x:v>1202</x:v>
      </x:c>
      <x:c r="H14" s="3" t="s">
        <x:v>1203</x:v>
      </x:c>
      <x:c r="I14" s="3" t="s">
        <x:v>1175</x:v>
      </x:c>
      <x:c r="J14" s="3" t="s">
        <x:v>1181</x:v>
      </x:c>
      <x:c r="K14" s="8" t="s">
        <x:v>61</x:v>
      </x:c>
      <x:c r="L14" s="3" t="s">
        <x:v>1177</x:v>
      </x:c>
    </x:row>
    <x:row r="15" ht="42">
      <x:c r="A15" s="3" t="s">
        <x:v>1204</x:v>
      </x:c>
      <x:c r="B15" s="3" t="s">
        <x:v>1173</x:v>
      </x:c>
      <x:c r="C15" s="3" t="s">
        <x:v>287</x:v>
      </x:c>
      <x:c r="D15" s="3" t="s">
        <x:v>1204</x:v>
      </x:c>
      <x:c r="E15" s="3" t="s">
        <x:v>1201</x:v>
      </x:c>
      <x:c r="F15" s="3" t="s">
        <x:v>1197</x:v>
      </x:c>
      <x:c r="G15" s="3" t="s">
        <x:v>1205</x:v>
      </x:c>
      <x:c r="H15" s="3" t="s">
        <x:v>1206</x:v>
      </x:c>
      <x:c r="I15" s="3" t="s">
        <x:v>1175</x:v>
      </x:c>
      <x:c r="J15" s="3" t="s">
        <x:v>1181</x:v>
      </x:c>
      <x:c r="K15" s="8" t="s">
        <x:v>61</x:v>
      </x:c>
      <x:c r="L15" s="3" t="s">
        <x:v>1177</x:v>
      </x:c>
    </x:row>
    <x:row r="16" ht="42">
      <x:c r="A16" s="3" t="s">
        <x:v>1207</x:v>
      </x:c>
      <x:c r="B16" s="3" t="s">
        <x:v>1173</x:v>
      </x:c>
      <x:c r="C16" s="3" t="s">
        <x:v>287</x:v>
      </x:c>
      <x:c r="D16" s="3" t="s">
        <x:v>1207</x:v>
      </x:c>
      <x:c r="E16" s="3" t="s">
        <x:v>584</x:v>
      </x:c>
      <x:c r="F16" s="3" t="s">
        <x:v>1208</x:v>
      </x:c>
      <x:c r="G16" s="3" t="s">
        <x:v>1209</x:v>
      </x:c>
      <x:c r="H16" s="3" t="s">
        <x:v>1210</x:v>
      </x:c>
      <x:c r="I16" s="3" t="s">
        <x:v>1175</x:v>
      </x:c>
      <x:c r="J16" s="3" t="s">
        <x:v>1181</x:v>
      </x:c>
      <x:c r="K16" s="8" t="s">
        <x:v>61</x:v>
      </x:c>
      <x:c r="L16" s="3" t="s">
        <x:v>1177</x:v>
      </x:c>
    </x:row>
    <x:row r="17" ht="42">
      <x:c r="A17" s="3" t="s">
        <x:v>154</x:v>
      </x:c>
      <x:c r="B17" s="3" t="s">
        <x:v>1173</x:v>
      </x:c>
      <x:c r="C17" s="3" t="s">
        <x:v>287</x:v>
      </x:c>
      <x:c r="D17" s="3" t="s">
        <x:v>154</x:v>
      </x:c>
      <x:c r="E17" s="3" t="s">
        <x:v>1201</x:v>
      </x:c>
      <x:c r="F17" s="3" t="s">
        <x:v>1197</x:v>
      </x:c>
      <x:c r="G17" s="3" t="s">
        <x:v>1211</x:v>
      </x:c>
      <x:c r="H17" s="3" t="s">
        <x:v>1212</x:v>
      </x:c>
      <x:c r="I17" s="3" t="s">
        <x:v>1175</x:v>
      </x:c>
      <x:c r="J17" s="3" t="s">
        <x:v>1181</x:v>
      </x:c>
      <x:c r="K17" s="8" t="s">
        <x:v>61</x:v>
      </x:c>
      <x:c r="L17" s="3" t="s">
        <x:v>1177</x:v>
      </x:c>
    </x:row>
    <x:row r="18" ht="42">
      <x:c r="A18" s="3" t="s">
        <x:v>176</x:v>
      </x:c>
      <x:c r="B18" s="3" t="s">
        <x:v>1173</x:v>
      </x:c>
      <x:c r="C18" s="3" t="s">
        <x:v>175</x:v>
      </x:c>
      <x:c r="D18" s="3" t="s">
        <x:v>176</x:v>
      </x:c>
      <x:c r="E18" s="3" t="s">
        <x:v>1213</x:v>
      </x:c>
      <x:c r="F18" s="3" t="s">
        <x:v>1214</x:v>
      </x:c>
      <x:c r="G18" s="3" t="s">
        <x:v>1215</x:v>
      </x:c>
      <x:c r="H18" s="3" t="s">
        <x:v>1216</x:v>
      </x:c>
      <x:c r="I18" s="3" t="s">
        <x:v>1175</x:v>
      </x:c>
      <x:c r="J18" s="3" t="s">
        <x:v>1181</x:v>
      </x:c>
      <x:c r="K18" s="8" t="s">
        <x:v>61</x:v>
      </x:c>
      <x:c r="L18" s="3" t="s">
        <x:v>1177</x:v>
      </x:c>
    </x:row>
    <x:row r="19" ht="28">
      <x:c r="A19" s="3" t="s">
        <x:v>1217</x:v>
      </x:c>
      <x:c r="B19" s="3" t="s">
        <x:v>1173</x:v>
      </x:c>
      <x:c r="C19" s="3" t="s">
        <x:v>175</x:v>
      </x:c>
      <x:c r="D19" s="3" t="s">
        <x:v>1217</x:v>
      </x:c>
      <x:c r="E19" s="3" t="s">
        <x:v>1213</x:v>
      </x:c>
      <x:c r="F19" s="3" t="s">
        <x:v>1214</x:v>
      </x:c>
      <x:c r="G19" s="3" t="s">
        <x:v>1218</x:v>
      </x:c>
      <x:c r="H19" s="3" t="s">
        <x:v>1219</x:v>
      </x:c>
      <x:c r="I19" s="3" t="s">
        <x:v>1175</x:v>
      </x:c>
      <x:c r="J19" s="3" t="s">
        <x:v>1181</x:v>
      </x:c>
      <x:c r="K19" s="8" t="s">
        <x:v>61</x:v>
      </x:c>
      <x:c r="L19" s="3" t="s">
        <x:v>1177</x:v>
      </x:c>
    </x:row>
    <x:row r="20" ht="28">
      <x:c r="A20" s="3" t="s">
        <x:v>1115</x:v>
      </x:c>
      <x:c r="B20" s="3" t="s">
        <x:v>1173</x:v>
      </x:c>
      <x:c r="C20" s="3" t="s">
        <x:v>175</x:v>
      </x:c>
      <x:c r="D20" s="3" t="s">
        <x:v>1115</x:v>
      </x:c>
      <x:c r="E20" s="3" t="s">
        <x:v>689</x:v>
      </x:c>
      <x:c r="F20" s="3" t="s">
        <x:v>583</x:v>
      </x:c>
      <x:c r="G20" s="3" t="s">
        <x:v>1220</x:v>
      </x:c>
      <x:c r="H20" s="3" t="s">
        <x:v>1221</x:v>
      </x:c>
      <x:c r="I20" s="3" t="s">
        <x:v>1175</x:v>
      </x:c>
      <x:c r="J20" s="3" t="s">
        <x:v>1181</x:v>
      </x:c>
      <x:c r="K20" s="8" t="s">
        <x:v>61</x:v>
      </x:c>
      <x:c r="L20" s="3" t="s">
        <x:v>1177</x:v>
      </x:c>
    </x:row>
    <x:row r="21" ht="56">
      <x:c r="A21" s="3" t="s">
        <x:v>182</x:v>
      </x:c>
      <x:c r="B21" s="3" t="s">
        <x:v>1173</x:v>
      </x:c>
      <x:c r="C21" s="3" t="s">
        <x:v>83</x:v>
      </x:c>
      <x:c r="D21" s="3" t="s">
        <x:v>182</x:v>
      </x:c>
      <x:c r="E21" s="3" t="s">
        <x:v>1222</x:v>
      </x:c>
      <x:c r="F21" s="3" t="s">
        <x:v>1213</x:v>
      </x:c>
      <x:c r="G21" s="3" t="s">
        <x:v>1223</x:v>
      </x:c>
      <x:c r="H21" s="3" t="s">
        <x:v>1224</x:v>
      </x:c>
      <x:c r="I21" s="3" t="s">
        <x:v>1175</x:v>
      </x:c>
      <x:c r="J21" s="3" t="s">
        <x:v>1181</x:v>
      </x:c>
      <x:c r="K21" s="8" t="s">
        <x:v>61</x:v>
      </x:c>
      <x:c r="L21" s="3" t="s">
        <x:v>1177</x:v>
      </x:c>
    </x:row>
    <x:row r="22" ht="42">
      <x:c r="A22" s="3" t="s">
        <x:v>1225</x:v>
      </x:c>
      <x:c r="B22" s="3" t="s">
        <x:v>1173</x:v>
      </x:c>
      <x:c r="C22" s="3" t="s">
        <x:v>83</x:v>
      </x:c>
      <x:c r="D22" s="3" t="s">
        <x:v>1225</x:v>
      </x:c>
      <x:c r="E22" s="3" t="s">
        <x:v>1226</x:v>
      </x:c>
      <x:c r="F22" s="3" t="s">
        <x:v>1222</x:v>
      </x:c>
      <x:c r="G22" s="3" t="s">
        <x:v>1227</x:v>
      </x:c>
      <x:c r="H22" s="3" t="s">
        <x:v>1228</x:v>
      </x:c>
      <x:c r="I22" s="3" t="s">
        <x:v>1175</x:v>
      </x:c>
      <x:c r="J22" s="3" t="s">
        <x:v>1181</x:v>
      </x:c>
      <x:c r="K22" s="8" t="s">
        <x:v>61</x:v>
      </x:c>
      <x:c r="L22" s="3" t="s">
        <x:v>1177</x:v>
      </x:c>
    </x:row>
    <x:row r="23" ht="28">
      <x:c r="A23" s="3" t="s">
        <x:v>1229</x:v>
      </x:c>
      <x:c r="B23" s="3" t="s">
        <x:v>1173</x:v>
      </x:c>
      <x:c r="C23" s="3" t="s">
        <x:v>83</x:v>
      </x:c>
      <x:c r="D23" s="3" t="s">
        <x:v>1229</x:v>
      </x:c>
      <x:c r="E23" s="3" t="s">
        <x:v>594</x:v>
      </x:c>
      <x:c r="F23" s="3" t="s">
        <x:v>595</x:v>
      </x:c>
      <x:c r="G23" s="3" t="s">
        <x:v>1230</x:v>
      </x:c>
      <x:c r="H23" s="3" t="s">
        <x:v>1231</x:v>
      </x:c>
      <x:c r="I23" s="3" t="s">
        <x:v>1175</x:v>
      </x:c>
      <x:c r="J23" s="3" t="s">
        <x:v>1181</x:v>
      </x:c>
      <x:c r="K23" s="8" t="s">
        <x:v>61</x:v>
      </x:c>
      <x:c r="L23" s="3" t="s">
        <x:v>1177</x:v>
      </x:c>
    </x:row>
    <x:row r="24" ht="42">
      <x:c r="A24" s="3" t="s">
        <x:v>1232</x:v>
      </x:c>
      <x:c r="B24" s="3" t="s">
        <x:v>1173</x:v>
      </x:c>
      <x:c r="C24" s="3" t="s">
        <x:v>75</x:v>
      </x:c>
      <x:c r="D24" s="3" t="s">
        <x:v>1232</x:v>
      </x:c>
      <x:c r="E24" s="3" t="s">
        <x:v>242</x:v>
      </x:c>
      <x:c r="F24" s="3" t="s">
        <x:v>243</x:v>
      </x:c>
      <x:c r="G24" s="3" t="s">
        <x:v>1233</x:v>
      </x:c>
      <x:c r="H24" s="3" t="s">
        <x:v>1234</x:v>
      </x:c>
      <x:c r="I24" s="3" t="s">
        <x:v>1175</x:v>
      </x:c>
      <x:c r="J24" s="3" t="s">
        <x:v>1235</x:v>
      </x:c>
      <x:c r="K24" s="8" t="s">
        <x:v>61</x:v>
      </x:c>
      <x:c r="L24" s="3" t="s">
        <x:v>1177</x:v>
      </x:c>
    </x:row>
    <x:row r="25" ht="42">
      <x:c r="A25" s="3" t="s">
        <x:v>77</x:v>
      </x:c>
      <x:c r="B25" s="3" t="s">
        <x:v>1173</x:v>
      </x:c>
      <x:c r="C25" s="3" t="s">
        <x:v>75</x:v>
      </x:c>
      <x:c r="D25" s="3" t="s">
        <x:v>77</x:v>
      </x:c>
      <x:c r="E25" s="3" t="s">
        <x:v>242</x:v>
      </x:c>
      <x:c r="F25" s="3" t="s">
        <x:v>243</x:v>
      </x:c>
      <x:c r="G25" s="3" t="s">
        <x:v>554</x:v>
      </x:c>
      <x:c r="H25" s="3" t="s">
        <x:v>1236</x:v>
      </x:c>
      <x:c r="I25" s="3" t="s">
        <x:v>1175</x:v>
      </x:c>
      <x:c r="J25" s="3" t="s">
        <x:v>1237</x:v>
      </x:c>
      <x:c r="K25" s="8" t="s">
        <x:v>61</x:v>
      </x:c>
      <x:c r="L25" s="3" t="s">
        <x:v>1177</x:v>
      </x:c>
    </x:row>
    <x:row r="26" ht="42">
      <x:c r="A26" s="3" t="s">
        <x:v>121</x:v>
      </x:c>
      <x:c r="B26" s="3" t="s">
        <x:v>1173</x:v>
      </x:c>
      <x:c r="C26" s="3" t="s">
        <x:v>103</x:v>
      </x:c>
      <x:c r="D26" s="3" t="s">
        <x:v>121</x:v>
      </x:c>
      <x:c r="E26" s="3" t="s">
        <x:v>1198</x:v>
      </x:c>
      <x:c r="F26" s="3" t="s">
        <x:v>281</x:v>
      </x:c>
      <x:c r="G26" s="3" t="s">
        <x:v>564</x:v>
      </x:c>
      <x:c r="H26" s="3" t="s">
        <x:v>1238</x:v>
      </x:c>
      <x:c r="I26" s="3" t="s">
        <x:v>1175</x:v>
      </x:c>
      <x:c r="J26" s="3" t="s">
        <x:v>1181</x:v>
      </x:c>
      <x:c r="K26" s="8" t="s">
        <x:v>61</x:v>
      </x:c>
      <x:c r="L26" s="3" t="s">
        <x:v>1177</x:v>
      </x:c>
    </x:row>
    <x:row r="27" ht="28">
      <x:c r="A27" s="3" t="s">
        <x:v>1239</x:v>
      </x:c>
      <x:c r="B27" s="3" t="s">
        <x:v>1173</x:v>
      </x:c>
      <x:c r="C27" s="3" t="s">
        <x:v>103</x:v>
      </x:c>
      <x:c r="D27" s="3" t="s">
        <x:v>1239</x:v>
      </x:c>
      <x:c r="E27" s="3" t="s">
        <x:v>562</x:v>
      </x:c>
      <x:c r="F27" s="3" t="s">
        <x:v>563</x:v>
      </x:c>
      <x:c r="G27" s="3" t="s">
        <x:v>1240</x:v>
      </x:c>
      <x:c r="H27" s="3" t="s">
        <x:v>1241</x:v>
      </x:c>
      <x:c r="I27" s="3" t="s">
        <x:v>1175</x:v>
      </x:c>
      <x:c r="J27" s="3" t="s">
        <x:v>1181</x:v>
      </x:c>
      <x:c r="K27" s="8" t="s">
        <x:v>61</x:v>
      </x:c>
      <x:c r="L27" s="3" t="s">
        <x:v>1177</x:v>
      </x:c>
    </x:row>
    <x:row r="28" ht="42">
      <x:c r="A28" s="3" t="s">
        <x:v>1242</x:v>
      </x:c>
      <x:c r="B28" s="3" t="s">
        <x:v>1173</x:v>
      </x:c>
      <x:c r="C28" s="3" t="s">
        <x:v>76</x:v>
      </x:c>
      <x:c r="D28" s="3" t="s">
        <x:v>1242</x:v>
      </x:c>
      <x:c r="E28" s="3" t="s">
        <x:v>1214</x:v>
      </x:c>
      <x:c r="F28" s="3" t="s">
        <x:v>1201</x:v>
      </x:c>
      <x:c r="G28" s="3" t="s">
        <x:v>585</x:v>
      </x:c>
      <x:c r="H28" s="3" t="s">
        <x:v>1243</x:v>
      </x:c>
      <x:c r="I28" s="3" t="s">
        <x:v>1175</x:v>
      </x:c>
      <x:c r="J28" s="3" t="s">
        <x:v>1181</x:v>
      </x:c>
      <x:c r="K28" s="8" t="s">
        <x:v>61</x:v>
      </x:c>
      <x:c r="L28" s="3" t="s">
        <x:v>1177</x:v>
      </x:c>
    </x:row>
    <x:row r="29" ht="28">
      <x:c r="A29" s="3" t="s">
        <x:v>1244</x:v>
      </x:c>
      <x:c r="B29" s="3" t="s">
        <x:v>1173</x:v>
      </x:c>
      <x:c r="C29" s="3" t="s">
        <x:v>76</x:v>
      </x:c>
      <x:c r="D29" s="3" t="s">
        <x:v>1244</x:v>
      </x:c>
      <x:c r="E29" s="3" t="s">
        <x:v>583</x:v>
      </x:c>
      <x:c r="F29" s="3" t="s">
        <x:v>584</x:v>
      </x:c>
      <x:c r="G29" s="3" t="s">
        <x:v>1245</x:v>
      </x:c>
      <x:c r="H29" s="3" t="s">
        <x:v>1246</x:v>
      </x:c>
      <x:c r="I29" s="3" t="s">
        <x:v>1175</x:v>
      </x:c>
      <x:c r="J29" s="3" t="s">
        <x:v>1181</x:v>
      </x:c>
      <x:c r="K29" s="8" t="s">
        <x:v>61</x:v>
      </x:c>
      <x:c r="L29" s="3" t="s">
        <x:v>1177</x:v>
      </x:c>
    </x:row>
    <x:row r="30" ht="42">
      <x:c r="A30" s="3" t="s">
        <x:v>189</x:v>
      </x:c>
      <x:c r="B30" s="3" t="s">
        <x:v>1173</x:v>
      </x:c>
      <x:c r="C30" s="3" t="s">
        <x:v>83</x:v>
      </x:c>
      <x:c r="D30" s="3" t="s">
        <x:v>189</x:v>
      </x:c>
      <x:c r="E30" s="3" t="s">
        <x:v>1226</x:v>
      </x:c>
      <x:c r="F30" s="3" t="s">
        <x:v>1222</x:v>
      </x:c>
      <x:c r="G30" s="3" t="s">
        <x:v>596</x:v>
      </x:c>
      <x:c r="H30" s="3" t="s">
        <x:v>1247</x:v>
      </x:c>
      <x:c r="I30" s="3" t="s">
        <x:v>1175</x:v>
      </x:c>
      <x:c r="J30" s="3" t="s">
        <x:v>1181</x:v>
      </x:c>
      <x:c r="K30" s="8" t="s">
        <x:v>61</x:v>
      </x:c>
      <x:c r="L30" s="3" t="s">
        <x:v>1177</x:v>
      </x:c>
    </x:row>
    <x:row r="31" ht="70">
      <x:c r="A31" s="3" t="s">
        <x:v>1248</x:v>
      </x:c>
      <x:c r="B31" s="3" t="s">
        <x:v>1173</x:v>
      </x:c>
      <x:c r="C31" s="3" t="s">
        <x:v>56</x:v>
      </x:c>
      <x:c r="D31" s="3" t="s">
        <x:v>1248</x:v>
      </x:c>
      <x:c r="E31" s="3" t="s">
        <x:v>243</x:v>
      </x:c>
      <x:c r="F31" s="3" t="s">
        <x:v>1249</x:v>
      </x:c>
      <x:c r="G31" s="3" t="s">
        <x:v>1250</x:v>
      </x:c>
      <x:c r="H31" s="3" t="s">
        <x:v>1251</x:v>
      </x:c>
      <x:c r="I31" s="3" t="s">
        <x:v>1175</x:v>
      </x:c>
      <x:c r="J31" s="3" t="s">
        <x:v>1252</x:v>
      </x:c>
      <x:c r="K31" s="8" t="s">
        <x:v>61</x:v>
      </x:c>
      <x:c r="L31" s="3" t="s">
        <x:v>1177</x:v>
      </x:c>
    </x:row>
    <x:row r="32" ht="56">
      <x:c r="A32" s="3" t="s">
        <x:v>1253</x:v>
      </x:c>
      <x:c r="B32" s="3" t="s">
        <x:v>1173</x:v>
      </x:c>
      <x:c r="C32" s="3" t="s">
        <x:v>56</x:v>
      </x:c>
      <x:c r="D32" s="3" t="s">
        <x:v>1253</x:v>
      </x:c>
      <x:c r="E32" s="3" t="s">
        <x:v>242</x:v>
      </x:c>
      <x:c r="F32" s="3" t="s">
        <x:v>243</x:v>
      </x:c>
      <x:c r="G32" s="3" t="s">
        <x:v>1254</x:v>
      </x:c>
      <x:c r="H32" s="3" t="s">
        <x:v>1255</x:v>
      </x:c>
      <x:c r="I32" s="3" t="s">
        <x:v>1175</x:v>
      </x:c>
      <x:c r="J32" s="3" t="s">
        <x:v>1256</x:v>
      </x:c>
      <x:c r="K32" s="8" t="s">
        <x:v>61</x:v>
      </x:c>
      <x:c r="L32" s="3" t="s">
        <x:v>1177</x:v>
      </x:c>
    </x:row>
    <x:row r="33" ht="42">
      <x:c r="A33" s="3" t="s">
        <x:v>795</x:v>
      </x:c>
      <x:c r="B33" s="3" t="s">
        <x:v>1173</x:v>
      </x:c>
      <x:c r="C33" s="3" t="s">
        <x:v>668</x:v>
      </x:c>
      <x:c r="D33" s="3" t="s">
        <x:v>795</x:v>
      </x:c>
      <x:c r="E33" s="3" t="s">
        <x:v>640</x:v>
      </x:c>
      <x:c r="F33" s="3" t="s">
        <x:v>673</x:v>
      </x:c>
      <x:c r="G33" s="3" t="s">
        <x:v>1257</x:v>
      </x:c>
      <x:c r="H33" s="3" t="s">
        <x:v>1258</x:v>
      </x:c>
      <x:c r="I33" s="3" t="s">
        <x:v>1175</x:v>
      </x:c>
      <x:c r="J33" s="3" t="s">
        <x:v>1181</x:v>
      </x:c>
      <x:c r="K33" s="8" t="s">
        <x:v>61</x:v>
      </x:c>
      <x:c r="L33" s="3" t="s">
        <x:v>1177</x:v>
      </x:c>
    </x:row>
    <x:row r="34" ht="42">
      <x:c r="A34" s="3" t="s">
        <x:v>707</x:v>
      </x:c>
      <x:c r="B34" s="3" t="s">
        <x:v>1173</x:v>
      </x:c>
      <x:c r="C34" s="3" t="s">
        <x:v>700</x:v>
      </x:c>
      <x:c r="D34" s="3" t="s">
        <x:v>707</x:v>
      </x:c>
      <x:c r="E34" s="3" t="s">
        <x:v>708</x:v>
      </x:c>
      <x:c r="F34" s="3" t="s">
        <x:v>709</x:v>
      </x:c>
      <x:c r="G34" s="3" t="s">
        <x:v>1259</x:v>
      </x:c>
      <x:c r="H34" s="3" t="s">
        <x:v>1260</x:v>
      </x:c>
      <x:c r="I34" s="3" t="s">
        <x:v>1175</x:v>
      </x:c>
      <x:c r="J34" s="3" t="s">
        <x:v>1261</x:v>
      </x:c>
      <x:c r="K34" s="8" t="s">
        <x:v>61</x:v>
      </x:c>
      <x:c r="L34" s="3" t="s">
        <x:v>1262</x:v>
      </x:c>
    </x:row>
    <x:row r="35" ht="42">
      <x:c r="A35" s="3" t="s">
        <x:v>1263</x:v>
      </x:c>
      <x:c r="B35" s="3" t="s">
        <x:v>1264</x:v>
      </x:c>
      <x:c r="C35" s="3" t="s">
        <x:v>1265</x:v>
      </x:c>
      <x:c r="D35" s="3"/>
      <x:c r="E35" s="3"/>
      <x:c r="F35" s="3"/>
      <x:c r="G35" s="3" t="s">
        <x:v>1266</x:v>
      </x:c>
      <x:c r="H35" s="3" t="s">
        <x:v>1267</x:v>
      </x:c>
      <x:c r="I35" s="3" t="s">
        <x:v>1268</x:v>
      </x:c>
      <x:c r="J35" s="3" t="s">
        <x:v>1269</x:v>
      </x:c>
      <x:c r="K35" s="8" t="s">
        <x:v>61</x:v>
      </x:c>
      <x:c r="L35" s="3"/>
    </x:row>
    <x:row r="36" ht="42">
      <x:c r="A36" s="3" t="s">
        <x:v>1270</x:v>
      </x:c>
      <x:c r="B36" s="3" t="s">
        <x:v>1264</x:v>
      </x:c>
      <x:c r="C36" s="3" t="s">
        <x:v>1271</x:v>
      </x:c>
      <x:c r="D36" s="3"/>
      <x:c r="E36" s="3"/>
      <x:c r="F36" s="3"/>
      <x:c r="G36" s="3" t="s">
        <x:v>1272</x:v>
      </x:c>
      <x:c r="H36" s="3" t="s">
        <x:v>1273</x:v>
      </x:c>
      <x:c r="I36" s="3" t="s">
        <x:v>1268</x:v>
      </x:c>
      <x:c r="J36" s="3" t="s">
        <x:v>1269</x:v>
      </x:c>
      <x:c r="K36" s="8" t="s">
        <x:v>61</x:v>
      </x:c>
      <x:c r="L36" s="3"/>
    </x:row>
    <x:row r="37" ht="28">
      <x:c r="A37" s="3" t="s">
        <x:v>1274</x:v>
      </x:c>
      <x:c r="B37" s="3" t="s">
        <x:v>1264</x:v>
      </x:c>
      <x:c r="C37" s="3" t="s">
        <x:v>1275</x:v>
      </x:c>
      <x:c r="D37" s="3"/>
      <x:c r="E37" s="3"/>
      <x:c r="F37" s="3"/>
      <x:c r="G37" s="3" t="s">
        <x:v>1276</x:v>
      </x:c>
      <x:c r="H37" s="3" t="s">
        <x:v>1277</x:v>
      </x:c>
      <x:c r="I37" s="3" t="s">
        <x:v>1268</x:v>
      </x:c>
      <x:c r="J37" s="3" t="s">
        <x:v>1269</x:v>
      </x:c>
      <x:c r="K37" s="8" t="s">
        <x:v>61</x:v>
      </x:c>
      <x:c r="L37" s="3"/>
    </x:row>
    <x:row r="38" ht="42">
      <x:c r="A38" s="3" t="s">
        <x:v>1278</x:v>
      </x:c>
      <x:c r="B38" s="3" t="s">
        <x:v>1264</x:v>
      </x:c>
      <x:c r="C38" s="3" t="s">
        <x:v>1279</x:v>
      </x:c>
      <x:c r="D38" s="3"/>
      <x:c r="E38" s="3"/>
      <x:c r="F38" s="3"/>
      <x:c r="G38" s="3" t="s">
        <x:v>1280</x:v>
      </x:c>
      <x:c r="H38" s="3" t="s">
        <x:v>1281</x:v>
      </x:c>
      <x:c r="I38" s="3" t="s">
        <x:v>1268</x:v>
      </x:c>
      <x:c r="J38" s="3" t="s">
        <x:v>1269</x:v>
      </x:c>
      <x:c r="K38" s="8" t="s">
        <x:v>61</x:v>
      </x:c>
      <x:c r="L38" s="3"/>
    </x:row>
    <x:row r="39" ht="42">
      <x:c r="A39" s="3" t="s">
        <x:v>1282</x:v>
      </x:c>
      <x:c r="B39" s="3" t="s">
        <x:v>1264</x:v>
      </x:c>
      <x:c r="C39" s="3" t="s">
        <x:v>1283</x:v>
      </x:c>
      <x:c r="D39" s="3"/>
      <x:c r="E39" s="3"/>
      <x:c r="F39" s="3"/>
      <x:c r="G39" s="3" t="s">
        <x:v>1284</x:v>
      </x:c>
      <x:c r="H39" s="3" t="s">
        <x:v>1285</x:v>
      </x:c>
      <x:c r="I39" s="3" t="s">
        <x:v>1268</x:v>
      </x:c>
      <x:c r="J39" s="3" t="s">
        <x:v>1269</x:v>
      </x:c>
      <x:c r="K39" s="8" t="s">
        <x:v>61</x:v>
      </x:c>
      <x:c r="L39" s="3"/>
    </x:row>
    <x:row r="40" ht="42">
      <x:c r="A40" s="3" t="s">
        <x:v>1286</x:v>
      </x:c>
      <x:c r="B40" s="3" t="s">
        <x:v>1264</x:v>
      </x:c>
      <x:c r="C40" s="3" t="s">
        <x:v>1287</x:v>
      </x:c>
      <x:c r="D40" s="3"/>
      <x:c r="E40" s="3"/>
      <x:c r="F40" s="3"/>
      <x:c r="G40" s="3" t="s">
        <x:v>1288</x:v>
      </x:c>
      <x:c r="H40" s="3" t="s">
        <x:v>1289</x:v>
      </x:c>
      <x:c r="I40" s="3" t="s">
        <x:v>1268</x:v>
      </x:c>
      <x:c r="J40" s="3" t="s">
        <x:v>1269</x:v>
      </x:c>
      <x:c r="K40" s="8" t="s">
        <x:v>61</x:v>
      </x:c>
      <x:c r="L40" s="3"/>
    </x:row>
    <x:row r="41" ht="42">
      <x:c r="A41" s="3" t="s">
        <x:v>1290</x:v>
      </x:c>
      <x:c r="B41" s="3" t="s">
        <x:v>1264</x:v>
      </x:c>
      <x:c r="C41" s="3" t="s">
        <x:v>1291</x:v>
      </x:c>
      <x:c r="D41" s="3"/>
      <x:c r="E41" s="3"/>
      <x:c r="F41" s="3"/>
      <x:c r="G41" s="3" t="s">
        <x:v>1292</x:v>
      </x:c>
      <x:c r="H41" s="3" t="s">
        <x:v>1293</x:v>
      </x:c>
      <x:c r="I41" s="3" t="s">
        <x:v>1268</x:v>
      </x:c>
      <x:c r="J41" s="3" t="s">
        <x:v>1269</x:v>
      </x:c>
      <x:c r="K41" s="8" t="s">
        <x:v>61</x:v>
      </x:c>
      <x:c r="L41" s="3"/>
    </x:row>
    <x:row r="42">
      <x:c r="A42" t="s">
        <x:v>1294</x:v>
      </x:c>
      <x:c r="B42" t="s">
        <x:v>1295</x:v>
      </x:c>
      <x:c r="C42" t="s">
        <x:v>1296</x:v>
      </x:c>
      <x:c r="D42" t="s">
        <x:v>189</x:v>
      </x:c>
      <x:c r="E42" t="s">
        <x:v>1226</x:v>
      </x:c>
      <x:c r="F42" t="s">
        <x:v>1222</x:v>
      </x:c>
      <x:c r="G42" t="s">
        <x:v>1297</x:v>
      </x:c>
      <x:c r="H42" t="s">
        <x:v>1298</x:v>
      </x:c>
      <x:c r="I42" t="s">
        <x:v>1299</x:v>
      </x:c>
      <x:c r="J42" t="s">
        <x:v>1300</x:v>
      </x:c>
      <x:c r="K42" t="s">
        <x:v>61</x:v>
      </x:c>
      <x:c r="L42" t="str">
        <x:v>已确认更正后的8,563.19万元；十笔原文披露值未修改。</x:v>
      </x:c>
    </x:row>
  </x:sheetData>
  <x:mergeCells>
    <x:mergeCell ref="A1:L1"/>
    <x:mergeCell ref="A2:L2"/>
  </x:mergeCells>
  <x:conditionalFormatting sqref="K4:K41">
    <x:cfRule type="expression" dxfId="13" priority="1">
      <x:formula>K4="待用户复核"</x:formula>
    </x:cfRule>
    <x:cfRule type="expression" dxfId="12" priority="2">
      <x:formula>K4="需修改"</x:formula>
    </x:cfRule>
    <x:cfRule type="expression" dxfId="11" priority="3">
      <x:formula>K4="已验收通过"</x:formula>
    </x:cfRule>
  </x:conditionalFormatting>
  <x:conditionalFormatting sqref="K4:K42">
    <x:cfRule type="expression" dxfId="10" priority="4">
      <x:formula>K4="待用户复核"</x:formula>
    </x:cfRule>
    <x:cfRule type="expression" dxfId="9" priority="5">
      <x:formula>K4="需修改"</x:formula>
    </x:cfRule>
    <x:cfRule type="expression" dxfId="8" priority="6">
      <x:formula>K4="已验收通过"</x:formula>
    </x:cfRule>
  </x:conditionalFormatting>
  <x:dataValidations count="1">
    <x:dataValidation type="list" sqref="K4:K42">
      <x:formula1>"待用户复核,待人工复核,已验收通过,需修改"</x:formula1>
    </x:dataValidation>
  </x:dataValidations>
  <x:pageMargins left="0.7" right="0.7" top="0.75" bottom="0.75" header="0.3" footer="0.3"/>
  <x:tableParts count="1">
    <x:tablePart xmlns:r="http://schemas.openxmlformats.org/officeDocument/2006/relationships" r:id="R738a4830f5a945d3"/>
  </x:tableParts>
</x:worksheet>
</file>

<file path=xl/worksheets/sheet11.xml><?xml version="1.0" encoding="utf-8"?>
<x:worksheet xmlns:x="http://schemas.openxmlformats.org/spreadsheetml/2006/main">
  <x:sheetFormatPr defaultRowHeight="14"/>
  <x:cols>
    <x:col min="1" max="1" width="18" customWidth="1"/>
    <x:col min="2" max="2" width="22" customWidth="1"/>
    <x:col min="3" max="3" width="34" customWidth="1"/>
    <x:col min="4" max="5" width="15" customWidth="1"/>
    <x:col min="6" max="7" width="14" customWidth="1"/>
    <x:col min="8" max="8" width="22" customWidth="1"/>
    <x:col min="9" max="9" width="34" customWidth="1"/>
  </x:cols>
  <x:sheetData>
    <x:row r="1" ht="7.75" customHeight="1">
      <x:c r="A1" s="36" t="s">
        <x:v>1301</x:v>
      </x:c>
      <x:c r="B1" s="36"/>
      <x:c r="C1" s="36"/>
      <x:c r="D1" s="36"/>
      <x:c r="E1" s="36"/>
      <x:c r="F1" s="36"/>
      <x:c r="G1" s="36"/>
      <x:c r="H1" s="36"/>
      <x:c r="I1" s="36"/>
    </x:row>
    <x:row r="2" ht="9.5" customHeight="1">
      <x:c r="A2" s="37" t="s">
        <x:v>1302</x:v>
      </x:c>
      <x:c r="B2" s="37"/>
      <x:c r="C2" s="37"/>
      <x:c r="D2" s="37"/>
      <x:c r="E2" s="37"/>
      <x:c r="F2" s="37"/>
      <x:c r="G2" s="37"/>
      <x:c r="H2" s="37"/>
      <x:c r="I2" s="37"/>
    </x:row>
    <x:row r="3" ht="10.649999618530273" customHeight="1">
      <x:c r="A3" s="7" t="s">
        <x:v>1303</x:v>
      </x:c>
      <x:c r="B3" s="7" t="s">
        <x:v>1304</x:v>
      </x:c>
      <x:c r="C3" s="7" t="s">
        <x:v>1305</x:v>
      </x:c>
      <x:c r="D3" s="7" t="s">
        <x:v>1306</x:v>
      </x:c>
      <x:c r="E3" s="7" t="s">
        <x:v>1307</x:v>
      </x:c>
      <x:c r="F3" s="7" t="s">
        <x:v>1308</x:v>
      </x:c>
      <x:c r="G3" s="7" t="s">
        <x:v>1309</x:v>
      </x:c>
      <x:c r="H3" s="7" t="s">
        <x:v>50</x:v>
      </x:c>
      <x:c r="I3" s="7" t="s">
        <x:v>998</x:v>
      </x:c>
    </x:row>
    <x:row r="4" ht="28">
      <x:c r="A4" s="3" t="s">
        <x:v>1310</x:v>
      </x:c>
      <x:c r="B4" s="3" t="s">
        <x:v>1311</x:v>
      </x:c>
      <x:c r="C4" s="3" t="s">
        <x:v>1312</x:v>
      </x:c>
      <x:c r="D4" s="3">
        <x:v>9</x:v>
      </x:c>
      <x:c r="E4" s="3" t="n">
        <x:f>COUNTA('02_增资事件'!A4:A1000)</x:f>
        <x:v>9</x:v>
      </x:c>
      <x:c r="F4" s="3" t="str">
        <x:f>IF(D4=E4,"通过","需复核")</x:f>
        <x:v>通过</x:v>
      </x:c>
      <x:c r="G4" s="3" t="s">
        <x:v>1313</x:v>
      </x:c>
      <x:c r="H4" s="8" t="s">
        <x:v>61</x:v>
      </x:c>
      <x:c r="I4" s="3" t="s">
        <x:v>1314</x:v>
      </x:c>
    </x:row>
    <x:row r="5" ht="28">
      <x:c r="A5" s="3" t="s">
        <x:v>1315</x:v>
      </x:c>
      <x:c r="B5" s="3" t="s">
        <x:v>1311</x:v>
      </x:c>
      <x:c r="C5" s="3" t="s">
        <x:v>1316</x:v>
      </x:c>
      <x:c r="D5" s="3">
        <x:v>6</x:v>
      </x:c>
      <x:c r="E5" s="3" t="n">
        <x:f>COUNTA('04_股权转让事件'!A4:A1000)</x:f>
        <x:v>6</x:v>
      </x:c>
      <x:c r="F5" s="3" t="str">
        <x:f>IF(D5=E5,"通过","需复核")</x:f>
        <x:v>通过</x:v>
      </x:c>
      <x:c r="G5" s="3" t="s">
        <x:v>1317</x:v>
      </x:c>
      <x:c r="H5" s="8" t="s">
        <x:v>61</x:v>
      </x:c>
      <x:c r="I5" s="3" t="s">
        <x:v>1318</x:v>
      </x:c>
    </x:row>
    <x:row r="6" ht="28">
      <x:c r="A6" s="3" t="s">
        <x:v>1319</x:v>
      </x:c>
      <x:c r="B6" s="3" t="s">
        <x:v>1320</x:v>
      </x:c>
      <x:c r="C6" s="3" t="s">
        <x:v>1321</x:v>
      </x:c>
      <x:c r="D6" s="3">
        <x:v>20</x:v>
      </x:c>
      <x:c r="E6" s="3" t="n">
        <x:f>COUNTA('05_股权转让明细'!A4:A1000)</x:f>
        <x:v>20</x:v>
      </x:c>
      <x:c r="F6" s="3" t="str">
        <x:f>IF(D6=E6,"通过","需复核")</x:f>
        <x:v>通过</x:v>
      </x:c>
      <x:c r="G6" s="3" t="s">
        <x:v>1322</x:v>
      </x:c>
      <x:c r="H6" s="8" t="s">
        <x:v>61</x:v>
      </x:c>
      <x:c r="I6" s="3" t="s">
        <x:v>1323</x:v>
      </x:c>
    </x:row>
    <x:row r="7" ht="28">
      <x:c r="A7" s="3" t="s">
        <x:v>1324</x:v>
      </x:c>
      <x:c r="B7" s="3" t="s">
        <x:v>1325</x:v>
      </x:c>
      <x:c r="C7" s="3" t="s">
        <x:v>1326</x:v>
      </x:c>
      <x:c r="D7" s="3">
        <x:v>15</x:v>
      </x:c>
      <x:c r="E7" s="3" t="n">
        <x:f>COUNTA('06_股权结构快照'!A4:A1000)</x:f>
        <x:v>15</x:v>
      </x:c>
      <x:c r="F7" s="3" t="str">
        <x:f>IF(D7=E7,"通过","需复核")</x:f>
        <x:v>通过</x:v>
      </x:c>
      <x:c r="G7" s="3" t="s">
        <x:v>1327</x:v>
      </x:c>
      <x:c r="H7" s="8" t="s">
        <x:v>61</x:v>
      </x:c>
      <x:c r="I7" s="3" t="s">
        <x:v>1328</x:v>
      </x:c>
    </x:row>
    <x:row r="8">
      <x:c r="A8" s="3" t="s">
        <x:v>1329</x:v>
      </x:c>
      <x:c r="B8" s="3" t="s">
        <x:v>1330</x:v>
      </x:c>
      <x:c r="C8" s="3" t="s">
        <x:v>1331</x:v>
      </x:c>
      <x:c r="D8" s="3" t="s">
        <x:v>1033</x:v>
      </x:c>
      <x:c r="E8" s="3" t="s">
        <x:v>1033</x:v>
      </x:c>
      <x:c r="F8" s="3" t="s">
        <x:v>1332</x:v>
      </x:c>
      <x:c r="G8" s="3" t="s">
        <x:v>259</x:v>
      </x:c>
      <x:c r="H8" s="8" t="s">
        <x:v>61</x:v>
      </x:c>
      <x:c r="I8" s="3" t="s">
        <x:v>1333</x:v>
      </x:c>
    </x:row>
    <x:row r="9" ht="28">
      <x:c r="A9" s="3" t="s">
        <x:v>1334</x:v>
      </x:c>
      <x:c r="B9" s="3" t="s">
        <x:v>1335</x:v>
      </x:c>
      <x:c r="C9" s="3" t="s">
        <x:v>1336</x:v>
      </x:c>
      <x:c r="D9" s="3" t="s">
        <x:v>1337</x:v>
      </x:c>
      <x:c r="E9" s="3" t="s">
        <x:v>1337</x:v>
      </x:c>
      <x:c r="F9" s="3" t="s">
        <x:v>1332</x:v>
      </x:c>
      <x:c r="G9" s="3" t="s">
        <x:v>1338</x:v>
      </x:c>
      <x:c r="H9" s="8" t="s">
        <x:v>61</x:v>
      </x:c>
      <x:c r="I9" s="3" t="s">
        <x:v>1339</x:v>
      </x:c>
    </x:row>
    <x:row r="10" ht="42">
      <x:c r="A10" s="3" t="s">
        <x:v>1340</x:v>
      </x:c>
      <x:c r="B10" s="3" t="s">
        <x:v>1341</x:v>
      </x:c>
      <x:c r="C10" s="3" t="s">
        <x:v>1342</x:v>
      </x:c>
      <x:c r="D10" s="3">
        <x:v>48837074</x:v>
      </x:c>
      <x:c r="E10" s="3">
        <x:v>48837074</x:v>
      </x:c>
      <x:c r="F10" s="3" t="s">
        <x:v>1332</x:v>
      </x:c>
      <x:c r="G10" s="3" t="s">
        <x:v>1343</x:v>
      </x:c>
      <x:c r="H10" s="8" t="s">
        <x:v>61</x:v>
      </x:c>
      <x:c r="I10" s="3" t="s">
        <x:v>1344</x:v>
      </x:c>
    </x:row>
    <x:row r="11" ht="28">
      <x:c r="A11" s="3" t="s">
        <x:v>1345</x:v>
      </x:c>
      <x:c r="B11" s="3" t="s">
        <x:v>1346</x:v>
      </x:c>
      <x:c r="C11" s="3" t="s">
        <x:v>1347</x:v>
      </x:c>
      <x:c r="D11" s="3" t="s">
        <x:v>1348</x:v>
      </x:c>
      <x:c r="E11" s="3" t="s">
        <x:v>1349</x:v>
      </x:c>
      <x:c r="F11" s="3" t="s">
        <x:v>1332</x:v>
      </x:c>
      <x:c r="G11" s="3" t="s">
        <x:v>1350</x:v>
      </x:c>
      <x:c r="H11" s="8" t="s">
        <x:v>61</x:v>
      </x:c>
      <x:c r="I11" s="3" t="s">
        <x:v>1351</x:v>
      </x:c>
    </x:row>
    <x:row r="12">
      <x:c r="A12" s="3" t="s">
        <x:v>1352</x:v>
      </x:c>
      <x:c r="B12" s="3" t="s">
        <x:v>22</x:v>
      </x:c>
      <x:c r="C12" s="3" t="s">
        <x:v>1353</x:v>
      </x:c>
      <x:c r="D12" s="3" t="s">
        <x:v>1354</x:v>
      </x:c>
      <x:c r="E12" s="3" t="s">
        <x:v>1354</x:v>
      </x:c>
      <x:c r="F12" s="3" t="s">
        <x:v>1332</x:v>
      </x:c>
      <x:c r="G12" s="3" t="s">
        <x:v>1355</x:v>
      </x:c>
      <x:c r="H12" s="8" t="s">
        <x:v>61</x:v>
      </x:c>
      <x:c r="I12" s="3" t="s">
        <x:v>1356</x:v>
      </x:c>
    </x:row>
    <x:row r="13">
      <x:c r="A13" s="3" t="s">
        <x:v>1357</x:v>
      </x:c>
      <x:c r="B13" s="3" t="s">
        <x:v>14</x:v>
      </x:c>
      <x:c r="C13" s="3" t="s">
        <x:v>1358</x:v>
      </x:c>
      <x:c r="D13" s="3" t="s">
        <x:v>1359</x:v>
      </x:c>
      <x:c r="E13" s="3" t="s">
        <x:v>1359</x:v>
      </x:c>
      <x:c r="F13" s="3" t="s">
        <x:v>1332</x:v>
      </x:c>
      <x:c r="G13" s="3" t="s">
        <x:v>1360</x:v>
      </x:c>
      <x:c r="H13" s="8" t="s">
        <x:v>61</x:v>
      </x:c>
      <x:c r="I13" s="3" t="s">
        <x:v>1361</x:v>
      </x:c>
    </x:row>
    <x:row r="14" ht="28">
      <x:c r="A14" s="17" t="s">
        <x:v>1362</x:v>
      </x:c>
      <x:c r="B14" s="18" t="s">
        <x:v>38</x:v>
      </x:c>
      <x:c r="C14" s="18" t="s">
        <x:v>1363</x:v>
      </x:c>
      <x:c r="D14" s="23">
        <x:v>36</x:v>
      </x:c>
      <x:c r="E14" s="23" t="n">
        <x:f>COUNTIF('01_主体主数据'!K4:K39,"已验收通过")</x:f>
        <x:v>36</x:v>
      </x:c>
      <x:c r="F14" s="23" t="str">
        <x:f>IF(D14=E14,"通过","待复核")</x:f>
        <x:v>通过</x:v>
      </x:c>
      <x:c r="G14" s="18" t="s">
        <x:v>1364</x:v>
      </x:c>
      <x:c r="H14" s="25" t="s">
        <x:v>61</x:v>
      </x:c>
      <x:c r="I14" s="19" t="str">
        <x:v>PTY-001—PTY-036均已完成名称标准化复核。</x:v>
      </x:c>
    </x:row>
    <x:row r="15" ht="56">
      <x:c r="A15" s="20" t="s">
        <x:v>1365</x:v>
      </x:c>
      <x:c r="B15" s="21" t="s">
        <x:v>1366</x:v>
      </x:c>
      <x:c r="C15" s="21" t="s">
        <x:v>1367</x:v>
      </x:c>
      <x:c r="D15" s="24">
        <x:v>8563.19</x:v>
      </x:c>
      <x:c r="E15" s="24" t="n">
        <x:f>ROUND(SUM('05_股权转让明细'!K14:K23),2)</x:f>
        <x:v>8563.19</x:v>
      </x:c>
      <x:c r="F15" s="24" t="str">
        <x:f>IF(ABS(D15-E15)&lt;0.000001,"通过","需修改")</x:f>
        <x:v>通过</x:v>
      </x:c>
      <x:c r="G15" s="21" t="s">
        <x:v>1368</x:v>
      </x:c>
      <x:c r="H15" s="26" t="s">
        <x:v>61</x:v>
      </x:c>
      <x:c r="I15" s="22" t="s">
        <x:v>1369</x:v>
      </x:c>
    </x:row>
    <x:row r="16">
      <x:c r="A16" t="str">
        <x:v>AC-013</x:v>
      </x:c>
      <x:c r="B16" t="str">
        <x:v>快照级勾稽</x:v>
      </x:c>
      <x:c r="C16" t="str">
        <x:v>15个快照与201条持股明细完成复核及确定性勾稽</x:v>
      </x:c>
      <x:c r="D16" t="n">
        <x:v>216</x:v>
      </x:c>
      <x:c r="E16" t="n">
        <x:f>COUNTIF('06_股权结构快照'!U4:U18,"已验收通过")+COUNTIF('07_快照持股明细'!Y4:Y204,"已验收通过")</x:f>
        <x:v>216</x:v>
      </x:c>
      <x:c r="F16" t="str">
        <x:f>IF(D16=E16,"通过","待复核")</x:f>
        <x:v>通过</x:v>
      </x:c>
      <x:c r="G16" t="str">
        <x:v>SNP-001—SNP-015｜SH-0001—SH-0201</x:v>
      </x:c>
      <x:c r="H16" t="str">
        <x:v>已验收通过</x:v>
      </x:c>
      <x:c r="I16" t="str">
        <x:v>完整快照合计、持股比例、逐期滚动及SNP-014/C8终点核对均无差异。</x:v>
      </x:c>
    </x:row>
  </x:sheetData>
  <x:mergeCells>
    <x:mergeCell ref="A1:I1"/>
    <x:mergeCell ref="A2:I2"/>
  </x:mergeCells>
  <x:conditionalFormatting sqref="F4:F13">
    <x:cfRule type="expression" dxfId="7" priority="1">
      <x:formula>F4="通过"</x:formula>
    </x:cfRule>
    <x:cfRule type="expression" dxfId="6" priority="2">
      <x:formula>F4="需复核"</x:formula>
    </x:cfRule>
  </x:conditionalFormatting>
  <x:conditionalFormatting sqref="H4:H13">
    <x:cfRule type="expression" dxfId="5" priority="3">
      <x:formula>H4="待用户复核"</x:formula>
    </x:cfRule>
    <x:cfRule type="expression" dxfId="4" priority="4">
      <x:formula>H4="需修改"</x:formula>
    </x:cfRule>
    <x:cfRule type="expression" dxfId="3" priority="5">
      <x:formula>H4="已验收通过"</x:formula>
    </x:cfRule>
  </x:conditionalFormatting>
  <x:conditionalFormatting sqref="H4:H15">
    <x:cfRule type="expression" dxfId="2" priority="6">
      <x:formula>H4="待用户复核"</x:formula>
    </x:cfRule>
    <x:cfRule type="expression" dxfId="1" priority="7">
      <x:formula>H4="需修改"</x:formula>
    </x:cfRule>
    <x:cfRule type="expression" dxfId="0" priority="8">
      <x:formula>H4="已验收通过"</x:formula>
    </x:cfRule>
  </x:conditionalFormatting>
  <x:dataValidations count="4">
    <x:dataValidation type="list" sqref="H4:H15">
      <x:formula1>"待用户复核,待人工复核,已验收通过,需修改"</x:formula1>
    </x:dataValidation>
    <x:dataValidation type="list" sqref="F4:F15">
      <x:formula1>"通过,待复核,需修改,不适用"</x:formula1>
    </x:dataValidation>
    <x:dataValidation type="list" sqref="H16">
      <x:formula1>"待用户复核,待人工复核,已验收通过,需修改"</x:formula1>
    </x:dataValidation>
    <x:dataValidation type="list" sqref="F16">
      <x:formula1>"通过,待复核,需修改,不适用"</x:formula1>
    </x:dataValidation>
  </x:dataValidations>
  <x:pageMargins left="0.7" right="0.7" top="0.75" bottom="0.75" header="0.3" footer="0.3"/>
  <x:tableParts count="1">
    <x:tablePart xmlns:r="http://schemas.openxmlformats.org/officeDocument/2006/relationships" r:id="R9a51fffa2d5d4816"/>
  </x:tableParts>
</x:worksheet>
</file>

<file path=xl/worksheets/sheet12.xml><?xml version="1.0" encoding="utf-8"?>
<x:worksheet xmlns:x="http://schemas.openxmlformats.org/spreadsheetml/2006/main">
  <x:sheetFormatPr defaultRowHeight="14"/>
  <x:cols>
    <x:col min="1" max="8" width="22" customWidth="1"/>
  </x:cols>
  <x:sheetData>
    <x:row r="1">
      <x:c r="A1" s="1" t="s">
        <x:v>1370</x:v>
      </x:c>
      <x:c r="B1" s="1" t="s">
        <x:v>1371</x:v>
      </x:c>
      <x:c r="C1" s="1" t="s">
        <x:v>1372</x:v>
      </x:c>
      <x:c r="D1" s="1" t="s">
        <x:v>1373</x:v>
      </x:c>
      <x:c r="E1" s="1" t="s">
        <x:v>1374</x:v>
      </x:c>
      <x:c r="F1" s="1" t="s">
        <x:v>1375</x:v>
      </x:c>
      <x:c r="G1" s="1" t="s">
        <x:v>1376</x:v>
      </x:c>
      <x:c r="H1" s="1" t="s">
        <x:v>1377</x:v>
      </x:c>
    </x:row>
    <x:row r="2">
      <x:c r="A2" s="2" t="s">
        <x:v>1378</x:v>
      </x:c>
      <x:c r="B2" s="2" t="s">
        <x:v>1379</x:v>
      </x:c>
      <x:c r="C2" s="2" t="s">
        <x:v>637</x:v>
      </x:c>
      <x:c r="D2" s="2" t="s">
        <x:v>638</x:v>
      </x:c>
      <x:c r="E2" s="2" t="s">
        <x:v>727</x:v>
      </x:c>
      <x:c r="F2" s="2" t="s">
        <x:v>235</x:v>
      </x:c>
      <x:c r="G2" s="2" t="s">
        <x:v>466</x:v>
      </x:c>
      <x:c r="H2" s="2" t="s">
        <x:v>1332</x:v>
      </x:c>
    </x:row>
    <x:row r="3">
      <x:c r="A3" s="2" t="s">
        <x:v>1264</x:v>
      </x:c>
      <x:c r="B3" s="2" t="s">
        <x:v>237</x:v>
      </x:c>
      <x:c r="C3" s="2" t="s">
        <x:v>644</x:v>
      </x:c>
      <x:c r="D3" s="2" t="s">
        <x:v>656</x:v>
      </x:c>
      <x:c r="E3" s="2" t="s">
        <x:v>733</x:v>
      </x:c>
      <x:c r="F3" s="2" t="s">
        <x:v>302</x:v>
      </x:c>
      <x:c r="G3" s="2" t="s">
        <x:v>1380</x:v>
      </x:c>
      <x:c r="H3" s="2" t="s">
        <x:v>1381</x:v>
      </x:c>
    </x:row>
    <x:row r="4">
      <x:c r="A4" s="2" t="s">
        <x:v>61</x:v>
      </x:c>
      <x:c r="B4" s="2" t="s">
        <x:v>1382</x:v>
      </x:c>
      <x:c r="C4" s="2" t="s">
        <x:v>655</x:v>
      </x:c>
      <x:c r="D4" s="2" t="s">
        <x:v>659</x:v>
      </x:c>
      <x:c r="E4" s="2" t="s">
        <x:v>751</x:v>
      </x:c>
      <x:c r="F4" s="2" t="s">
        <x:v>268</x:v>
      </x:c>
      <x:c r="G4" s="2"/>
      <x:c r="H4" s="2" t="s">
        <x:v>1383</x:v>
      </x:c>
    </x:row>
    <x:row r="5">
      <x:c r="A5" s="2" t="s">
        <x:v>1383</x:v>
      </x:c>
      <x:c r="B5" s="2" t="s">
        <x:v>1384</x:v>
      </x:c>
      <x:c r="C5" s="2" t="s">
        <x:v>706</x:v>
      </x:c>
      <x:c r="D5" s="2" t="s">
        <x:v>1385</x:v>
      </x:c>
      <x:c r="E5" s="2" t="s">
        <x:v>757</x:v>
      </x:c>
      <x:c r="F5" s="2" t="s">
        <x:v>1386</x:v>
      </x:c>
      <x:c r="G5" s="2"/>
      <x:c r="H5" s="2" t="s">
        <x:v>475</x:v>
      </x:c>
    </x:row>
    <x:row r="6" ht="28">
      <x:c r="A6" s="2"/>
      <x:c r="B6" s="2" t="s">
        <x:v>290</x:v>
      </x:c>
      <x:c r="C6" s="2"/>
      <x:c r="D6" s="2"/>
      <x:c r="E6" s="2" t="s">
        <x:v>834</x:v>
      </x:c>
      <x:c r="F6" s="2"/>
      <x:c r="G6" s="2"/>
      <x:c r="H6" s="2"/>
    </x:row>
    <x:row r="7">
      <x:c r="A7" s="2"/>
      <x:c r="B7" s="2" t="s">
        <x:v>703</x:v>
      </x:c>
      <x:c r="C7" s="2"/>
      <x:c r="D7" s="2"/>
      <x:c r="E7" s="2" t="s">
        <x:v>948</x:v>
      </x:c>
      <x:c r="F7" s="2"/>
      <x:c r="G7" s="2"/>
      <x:c r="H7" s="2"/>
    </x:row>
    <x:row r="8">
      <x:c r="A8" s="2"/>
      <x:c r="B8" s="2"/>
      <x:c r="C8" s="2"/>
      <x:c r="D8" s="2"/>
      <x:c r="E8" s="2" t="s">
        <x:v>1268</x:v>
      </x:c>
      <x:c r="F8" s="2"/>
      <x:c r="G8" s="2"/>
      <x:c r="H8" s="2"/>
    </x:row>
  </x:sheetData>
  <x:pageMargins left="0.7" right="0.7" top="0.75" bottom="0.75" header="0.3" footer="0.3"/>
</x:worksheet>
</file>

<file path=xl/worksheets/sheet13.xml><?xml version="1.0" encoding="utf-8"?>
<x:worksheet xmlns:x="http://schemas.openxmlformats.org/spreadsheetml/2006/main">
  <x:sheetFormatPr defaultRowHeight="14"/>
  <x:cols>
    <x:col min="1" max="1" width="13" customWidth="1"/>
    <x:col min="2" max="2" width="10" customWidth="1"/>
    <x:col min="3" max="3" width="24" customWidth="1"/>
    <x:col min="4" max="4" width="43" customWidth="1"/>
    <x:col min="5" max="5" width="34" customWidth="1"/>
    <x:col min="6" max="6" width="52" customWidth="1"/>
    <x:col min="7" max="7" width="24" customWidth="1"/>
    <x:col min="8" max="8" width="35" customWidth="1"/>
  </x:cols>
  <x:sheetData>
    <x:row r="1" ht="18.649999618530273" customHeight="1">
      <x:c r="A1" s="38" t="s">
        <x:v>1387</x:v>
      </x:c>
      <x:c r="B1" s="38"/>
      <x:c r="C1" s="38"/>
      <x:c r="D1" s="38"/>
      <x:c r="E1" s="38"/>
      <x:c r="F1" s="38"/>
      <x:c r="G1" s="38"/>
      <x:c r="H1" s="38"/>
    </x:row>
    <x:row r="2" ht="36" customHeight="1">
      <x:c r="A2" s="27" t="s">
        <x:v>1388</x:v>
      </x:c>
      <x:c r="B2" s="28" t="s">
        <x:v>1389</x:v>
      </x:c>
      <x:c r="C2" s="28" t="s">
        <x:v>1390</x:v>
      </x:c>
      <x:c r="D2" s="28" t="s">
        <x:v>1391</x:v>
      </x:c>
      <x:c r="E2" s="28" t="s">
        <x:v>1392</x:v>
      </x:c>
      <x:c r="F2" s="28" t="s">
        <x:v>1393</x:v>
      </x:c>
      <x:c r="G2" s="28" t="s">
        <x:v>1394</x:v>
      </x:c>
      <x:c r="H2" s="29" t="s">
        <x:v>1395</x:v>
      </x:c>
    </x:row>
    <x:row r="3" ht="36" customHeight="1">
      <x:c r="A3" s="31" t="s">
        <x:v>1396</x:v>
      </x:c>
      <x:c r="B3" s="33" t="s">
        <x:v>1397</x:v>
      </x:c>
      <x:c r="C3" s="16" t="s">
        <x:v>1398</x:v>
      </x:c>
      <x:c r="D3" s="16" t="s">
        <x:v>1399</x:v>
      </x:c>
      <x:c r="E3" s="16" t="s">
        <x:v>1400</x:v>
      </x:c>
      <x:c r="F3" s="16" t="s">
        <x:v>1401</x:v>
      </x:c>
      <x:c r="G3" s="33" t="str">
        <x:v>通过</x:v>
      </x:c>
      <x:c r="H3" s="30" t="str">
        <x:v>已确认TR-EVT-006及S6-CAL-016为8,563.19万元。</x:v>
      </x:c>
    </x:row>
    <x:row r="4" ht="36" customHeight="1">
      <x:c r="A4" s="31" t="s">
        <x:v>1402</x:v>
      </x:c>
      <x:c r="B4" s="33" t="s">
        <x:v>1397</x:v>
      </x:c>
      <x:c r="C4" s="16" t="s">
        <x:v>1360</x:v>
      </x:c>
      <x:c r="D4" s="16" t="s">
        <x:v>1403</x:v>
      </x:c>
      <x:c r="E4" s="16" t="s">
        <x:v>1404</x:v>
      </x:c>
      <x:c r="F4" s="16" t="s">
        <x:v>1405</x:v>
      </x:c>
      <x:c r="G4" s="33" t="str">
        <x:v>通过</x:v>
      </x:c>
      <x:c r="H4" s="30" t="str">
        <x:v>PTY-001—PTY-036已全部验收。</x:v>
      </x:c>
    </x:row>
    <x:row r="5" ht="36" customHeight="1">
      <x:c r="A5" s="31" t="s">
        <x:v>1406</x:v>
      </x:c>
      <x:c r="B5" s="33" t="s">
        <x:v>1407</x:v>
      </x:c>
      <x:c r="C5" s="16" t="s">
        <x:v>1408</x:v>
      </x:c>
      <x:c r="D5" s="16" t="s">
        <x:v>1409</x:v>
      </x:c>
      <x:c r="E5" s="16" t="s">
        <x:v>1410</x:v>
      </x:c>
      <x:c r="F5" s="16" t="s">
        <x:v>1411</x:v>
      </x:c>
      <x:c r="G5" s="33" t="str">
        <x:v>通过</x:v>
      </x:c>
      <x:c r="H5" s="30" t="str">
        <x:v>接受快照级勾稽结论，无需重复逐行操作。</x:v>
      </x:c>
    </x:row>
    <x:row r="6" ht="36" customHeight="1">
      <x:c r="A6" s="31" t="s">
        <x:v>1412</x:v>
      </x:c>
      <x:c r="B6" s="33" t="s">
        <x:v>1332</x:v>
      </x:c>
      <x:c r="C6" s="16" t="s">
        <x:v>1413</x:v>
      </x:c>
      <x:c r="D6" s="16" t="s">
        <x:v>1414</x:v>
      </x:c>
      <x:c r="E6" s="16" t="s">
        <x:v>1415</x:v>
      </x:c>
      <x:c r="F6" s="16" t="s">
        <x:v>1416</x:v>
      </x:c>
      <x:c r="G6" s="33" t="s">
        <x:v>1332</x:v>
      </x:c>
      <x:c r="H6" s="30" t="s">
        <x:v>1417</x:v>
      </x:c>
    </x:row>
    <x:row r="7" ht="36" customHeight="1">
      <x:c r="A7" s="32" t="s">
        <x:v>1418</x:v>
      </x:c>
      <x:c r="B7" s="34" t="s">
        <x:v>1332</x:v>
      </x:c>
      <x:c r="C7" s="21" t="s">
        <x:v>1419</x:v>
      </x:c>
      <x:c r="D7" s="21" t="s">
        <x:v>1420</x:v>
      </x:c>
      <x:c r="E7" s="21" t="s">
        <x:v>1421</x:v>
      </x:c>
      <x:c r="F7" s="21" t="s">
        <x:v>1422</x:v>
      </x:c>
      <x:c r="G7" s="34" t="str">
        <x:v>通过</x:v>
      </x:c>
      <x:c r="H7" s="22" t="str">
        <x:v>全部阻断项已关闭，阶段六可以结项。</x:v>
      </x:c>
    </x:row>
    <x:row r="8">
      <x:c r="A8" t="str">
        <x:v>AUD-006</x:v>
      </x:c>
      <x:c r="B8" t="str">
        <x:v>结项</x:v>
      </x:c>
      <x:c r="C8" t="str">
        <x:v>阶段六全量成果</x:v>
      </x:c>
      <x:c r="D8" t="str">
        <x:v>人工复核、结构校验、数值勾稽和证据追踪全部达到验收标准。</x:v>
      </x:c>
      <x:c r="E8" t="str">
        <x:v>状态更新为final_approved，并生成机器可读工程化交付物。</x:v>
      </x:c>
      <x:c r="F8" t="str">
        <x:v>36主体｜9增资事件｜28增资明细｜6转让事件｜20转让明细｜15快照｜201持股明细</x:v>
      </x:c>
      <x:c r="G8" t="str">
        <x:v>通过</x:v>
      </x:c>
      <x:c r="H8" t="str">
        <x:v>进入阶段七前保持本阶段文件只读。</x:v>
      </x:c>
    </x:row>
  </x:sheetData>
  <x:mergeCells>
    <x:mergeCell ref="A1:H1"/>
  </x:mergeCells>
  <x:pageMargins left="0.7" right="0.7" top="0.75" bottom="0.75" header="0.3" footer="0.3"/>
</x:worksheet>
</file>