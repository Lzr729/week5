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ec75a8f30345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运行摘要" sheetId="1" r:id="R3758801f53e3424f"/>
    <x:sheet xmlns:r="http://schemas.openxmlformats.org/officeDocument/2006/relationships" name="02_规则结果" sheetId="2" r:id="R20531088d51b4465"/>
    <x:sheet xmlns:r="http://schemas.openxmlformats.org/officeDocument/2006/relationships" name="03_异常队列" sheetId="3" r:id="Rbead015a3e3f4936"/>
    <x:sheet xmlns:r="http://schemas.openxmlformats.org/officeDocument/2006/relationships" name="04_候选复核事项" sheetId="4" r:id="Rf1a46c291ab04eed"/>
    <x:sheet xmlns:r="http://schemas.openxmlformats.org/officeDocument/2006/relationships" name="05_名称合并候选" sheetId="5" r:id="R868f18591aa74348"/>
    <x:sheet xmlns:r="http://schemas.openxmlformats.org/officeDocument/2006/relationships" name="06_数值差异" sheetId="6" r:id="R179e944c977144db"/>
    <x:sheet xmlns:r="http://schemas.openxmlformats.org/officeDocument/2006/relationships" name="07_PEVC路径候选" sheetId="7" r:id="R521fba31c61e4b40"/>
    <x:sheet xmlns:r="http://schemas.openxmlformats.org/officeDocument/2006/relationships" name="08_人工复核决定" sheetId="8" r:id="Rbdf09888fd8044d3"/>
    <x:sheet xmlns:r="http://schemas.openxmlformats.org/officeDocument/2006/relationships" name="09_验收检查" sheetId="9" r:id="R38c5a679ba854e9f"/>
    <x:sheet xmlns:r="http://schemas.openxmlformats.org/officeDocument/2006/relationships" name="10_变更日志" sheetId="10" r:id="Raf544b4d7d6a41d3"/>
    <x:sheet xmlns:r="http://schemas.openxmlformats.org/officeDocument/2006/relationships" name="11_9E最终验收" sheetId="11" r:id="Rb6959ed819494973"/>
  </x:sheets>
</x:workbook>
</file>

<file path=xl/sharedStrings.xml><?xml version="1.0" encoding="utf-8"?>
<x:sst xmlns:x="http://schemas.openxmlformats.org/spreadsheetml/2006/main">
  <x:si>
    <x:t xml:space="preserve">9C基线状态</x:t>
  </x:si>
  <x:si>
    <x:t xml:space="preserve">FINAL_APPROVED</x:t>
  </x:si>
  <x:si>
    <x:t xml:space="preserve">9C自动评价数</x:t>
  </x:si>
  <x:si>
    <x:t xml:space="preserve">操作说明</x:t>
  </x:si>
  <x:si>
    <x:t xml:space="preserve">待复核事项</x:t>
  </x:si>
  <x:si>
    <x:t xml:space="preserve">开放程序异常</x:t>
  </x:si>
  <x:si>
    <x:t xml:space="preserve">1</x:t>
  </x:si>
  <x:si>
    <x:t xml:space="preserve">在“08_人工复核决定”填写黄色列。</x:t>
  </x:si>
  <x:si>
    <x:t xml:space="preserve">2</x:t>
  </x:si>
  <x:si>
    <x:t xml:space="preserve">人工修正必须填写修正值和复核说明。</x:t>
  </x:si>
  <x:si>
    <x:t xml:space="preserve">4</x:t>
  </x:si>
  <x:si>
    <x:t xml:space="preserve">填写复核人、复核日期，并将状态设为已关闭。</x:t>
  </x:si>
  <x:si>
    <x:t xml:space="preserve">复核类型</x:t>
  </x:si>
  <x:si>
    <x:t xml:space="preserve">数量</x:t>
  </x:si>
  <x:si>
    <x:t xml:space="preserve">5</x:t>
  </x:si>
  <x:si>
    <x:t xml:space="preserve">不要修改自动结果、证据、页码、事件ID或规则ID。</x:t>
  </x:si>
  <x:si>
    <x:t xml:space="preserve">NUMERIC_DISCLOSURE_DIFFERENCE</x:t>
  </x:si>
  <x:si>
    <x:t xml:space="preserve">PEVC_CLASSIFICATION_REVIEW</x:t>
  </x:si>
  <x:si>
    <x:t xml:space="preserve">PEVC_PATH_EXCLUSION_REVIEW</x:t>
  </x:si>
  <x:si>
    <x:t xml:space="preserve">9C规则结果（只读）</x:t>
  </x:si>
  <x:si>
    <x:t xml:space="preserve">规则ID</x:t>
  </x:si>
  <x:si>
    <x:t xml:space="preserve">结果</x:t>
  </x:si>
  <x:si>
    <x:t xml:space="preserve">评价对象数</x:t>
  </x:si>
  <x:si>
    <x:t xml:space="preserve">适用对象数</x:t>
  </x:si>
  <x:si>
    <x:t xml:space="preserve">失败对象ID</x:t>
  </x:si>
  <x:si>
    <x:t xml:space="preserve">程序版本</x:t>
  </x:si>
  <x:si>
    <x:t xml:space="preserve">规则集版本</x:t>
  </x:si>
  <x:si>
    <x:t xml:space="preserve">复核状态</x:t>
  </x:si>
  <x:si>
    <x:t xml:space="preserve">S09-N001</x:t>
  </x:si>
  <x:si>
    <x:t xml:space="preserve">PASS</x:t>
  </x:si>
  <x:si>
    <x:t xml:space="preserve">0.4.0-9c</x:t>
  </x:si>
  <x:si>
    <x:t xml:space="preserve">9C.1.0</x:t>
  </x:si>
  <x:si>
    <x:t xml:space="preserve">AUTO_PASS_9C_ACCEPTED</x:t>
  </x:si>
  <x:si>
    <x:t xml:space="preserve">S09-N002</x:t>
  </x:si>
  <x:si>
    <x:t xml:space="preserve">S09-N003</x:t>
  </x:si>
  <x:si>
    <x:t xml:space="preserve">S09-N004</x:t>
  </x:si>
  <x:si>
    <x:t xml:space="preserve">S09-N005</x:t>
  </x:si>
  <x:si>
    <x:t xml:space="preserve">S09-N006</x:t>
  </x:si>
  <x:si>
    <x:t xml:space="preserve">S09-N007</x:t>
  </x:si>
  <x:si>
    <x:t xml:space="preserve">S09-N008</x:t>
  </x:si>
  <x:si>
    <x:t xml:space="preserve">S09-N009</x:t>
  </x:si>
  <x:si>
    <x:t xml:space="preserve">S09-N010</x:t>
  </x:si>
  <x:si>
    <x:t xml:space="preserve">S09-N011</x:t>
  </x:si>
  <x:si>
    <x:t xml:space="preserve">S09-P001</x:t>
  </x:si>
  <x:si>
    <x:t xml:space="preserve">S09-P002</x:t>
  </x:si>
  <x:si>
    <x:t xml:space="preserve">S09-P003</x:t>
  </x:si>
  <x:si>
    <x:t xml:space="preserve">S09-P004</x:t>
  </x:si>
  <x:si>
    <x:t xml:space="preserve">S09-P005</x:t>
  </x:si>
  <x:si>
    <x:t xml:space="preserve">S09-P006</x:t>
  </x:si>
  <x:si>
    <x:t xml:space="preserve">S09-P007</x:t>
  </x:si>
  <x:si>
    <x:t xml:space="preserve">S09-P008</x:t>
  </x:si>
  <x:si>
    <x:t xml:space="preserve">S09-P009</x:t>
  </x:si>
  <x:si>
    <x:t xml:space="preserve">S09-P010</x:t>
  </x:si>
  <x:si>
    <x:t xml:space="preserve">S09-P011</x:t>
  </x:si>
  <x:si>
    <x:t xml:space="preserve">S09-T001</x:t>
  </x:si>
  <x:si>
    <x:t xml:space="preserve">S09-T002</x:t>
  </x:si>
  <x:si>
    <x:t xml:space="preserve">S09-T003</x:t>
  </x:si>
  <x:si>
    <x:t xml:space="preserve">S09-T004</x:t>
  </x:si>
  <x:si>
    <x:t xml:space="preserve">S09-T005</x:t>
  </x:si>
  <x:si>
    <x:t xml:space="preserve">S09-T006</x:t>
  </x:si>
  <x:si>
    <x:t xml:space="preserve">S09-T007</x:t>
  </x:si>
  <x:si>
    <x:t xml:space="preserve">S09-T008</x:t>
  </x:si>
  <x:si>
    <x:t xml:space="preserve">S09-T009</x:t>
  </x:si>
  <x:si>
    <x:t xml:space="preserve">S09-T010</x:t>
  </x:si>
  <x:si>
    <x:t xml:space="preserve">S09-G001</x:t>
  </x:si>
  <x:si>
    <x:t xml:space="preserve">S09-G002</x:t>
  </x:si>
  <x:si>
    <x:t xml:space="preserve">S09-G003</x:t>
  </x:si>
  <x:si>
    <x:t xml:space="preserve">程序异常队列</x:t>
  </x:si>
  <x:si>
    <x:t xml:space="preserve">异常ID</x:t>
  </x:si>
  <x:si>
    <x:t xml:space="preserve">说明</x:t>
  </x:si>
  <x:si>
    <x:t xml:space="preserve">类型</x:t>
  </x:si>
  <x:si>
    <x:t xml:space="preserve">阻断性</x:t>
  </x:si>
  <x:si>
    <x:t xml:space="preserve">对象类型</x:t>
  </x:si>
  <x:si>
    <x:t xml:space="preserve">对象ID</x:t>
  </x:si>
  <x:si>
    <x:t xml:space="preserve">事件ID</x:t>
  </x:si>
  <x:si>
    <x:t xml:space="preserve">证据ID</x:t>
  </x:si>
  <x:si>
    <x:t xml:space="preserve">状态</x:t>
  </x:si>
  <x:si>
    <x:t xml:space="preserve">处理建议</x:t>
  </x:si>
  <x:si>
    <x:t xml:space="preserve">无</x:t>
  </x:si>
  <x:si>
    <x:t xml:space="preserve">本次9C无开放程序异常</x:t>
  </x:si>
  <x:si>
    <x:t xml:space="preserve">非异常</x:t>
  </x:si>
  <x:si>
    <x:t xml:space="preserve">不阻断</x:t>
  </x:si>
  <x:si>
    <x:t xml:space="preserve">—</x:t>
  </x:si>
  <x:si>
    <x:t xml:space="preserve">待复核事项见08_人工复核决定</x:t>
  </x:si>
  <x:si>
    <x:t xml:space="preserve">候选与待判断事项（只读）</x:t>
  </x:si>
  <x:si>
    <x:t xml:space="preserve">复核事项ID</x:t>
  </x:si>
  <x:si>
    <x:t xml:space="preserve">优先级</x:t>
  </x:si>
  <x:si>
    <x:t xml:space="preserve">PDF页码</x:t>
  </x:si>
  <x:si>
    <x:t xml:space="preserve">正文页码</x:t>
  </x:si>
  <x:si>
    <x:t xml:space="preserve">原文证据</x:t>
  </x:si>
  <x:si>
    <x:t xml:space="preserve">自动结果</x:t>
  </x:si>
  <x:si>
    <x:t xml:space="preserve">建议操作</x:t>
  </x:si>
  <x:si>
    <x:t xml:space="preserve">S09-9D-REV-001</x:t>
  </x:si>
  <x:si>
    <x:t xml:space="preserve">HIGH</x:t>
  </x:si>
  <x:si>
    <x:t xml:space="preserve">NUMERIC_VALIDATION</x:t>
  </x:si>
  <x:si>
    <x:t xml:space="preserve">VAL-012</x:t>
  </x:si>
  <x:si>
    <x:t xml:space="preserve">CE-005</x:t>
  </x:si>
  <x:si>
    <x:t xml:space="preserve">CE-005-E01</x:t>
  </x:si>
  <x:si>
    <x:t xml:space="preserve">56</x:t>
  </x:si>
  <x:si>
    <x:t xml:space="preserve">55</x:t>
  </x:si>
  <x:si>
    <x:t xml:space="preserve">“2015年1月，有限公司第三次增资，注册资本增至136.9864万元。”；2015年1月，有限公司第三次增资，注册资本增至136.9864万元；力源信息、东方富海及芜湖富海共同增资8.78714万元。</x:t>
  </x:si>
  <x:si>
    <x:t xml:space="preserve">保留招股说明书披露值136.9864万元；确定性复算为136.99214万元；差异0.00574万元，不自动修正。</x:t>
  </x:si>
  <x:si>
    <x:t xml:space="preserve">S09-N003；S09-N004；S09-N006；S09-N009</x:t>
  </x:si>
  <x:si>
    <x:t xml:space="preserve">确认保留原文差异，或基于同一招股说明书证据提出人工修正。</x:t>
  </x:si>
  <x:si>
    <x:t xml:space="preserve">S09-9D-REV-002</x:t>
  </x:si>
  <x:si>
    <x:t xml:space="preserve">MEDIUM</x:t>
  </x:si>
  <x:si>
    <x:t xml:space="preserve">PEVC_FINAL_IDENTIFICATION</x:t>
  </x:si>
  <x:si>
    <x:t xml:space="preserve">PEVC-013</x:t>
  </x:si>
  <x:si>
    <x:t xml:space="preserve">CE-010-01</x:t>
  </x:si>
  <x:si>
    <x:t xml:space="preserve">EVD-006；EVD-018</x:t>
  </x:si>
  <x:si>
    <x:t xml:space="preserve">59—61；89—91；90</x:t>
  </x:si>
  <x:si>
    <x:t xml:space="preserve">58—60；88—90；89</x:t>
  </x:si>
  <x:si>
    <x:t xml:space="preserve">协议列明国科瑞华、CASREV FUND、中科贵银、夏东、南山富海、珠海拓域六方增资；后分批完成工商变更。；招股书分别披露战略性新兴产业投资基金、CASREV FUND II-USD L.P.和中科贵银产业投资基金的基本信息及出资构成。；CASREV FUND II-USD L.P.→发行人</x:t>
  </x:si>
  <x:si>
    <x:t xml:space="preserve">阶段八已验收分类为CANDIDATE；程序不自动升级或降级。</x:t>
  </x:si>
  <x:si>
    <x:t xml:space="preserve">S09-P001；S09-P008；S09-P009；S09-P011</x:t>
  </x:si>
  <x:si>
    <x:t xml:space="preserve">仅依据招股说明书证据确认原分类、保留未知或提出人工修正。</x:t>
  </x:si>
  <x:si>
    <x:t xml:space="preserve">S09-9D-REV-003</x:t>
  </x:si>
  <x:si>
    <x:t xml:space="preserve">PEVC-014</x:t>
  </x:si>
  <x:si>
    <x:t xml:space="preserve">CE-010-03；CE-013-02</x:t>
  </x:si>
  <x:si>
    <x:t xml:space="preserve">EVD-007；EVD-011</x:t>
  </x:si>
  <x:si>
    <x:t xml:space="preserve">59—61；64—65</x:t>
  </x:si>
  <x:si>
    <x:t xml:space="preserve">58—60；63—64</x:t>
  </x:si>
  <x:si>
    <x:t xml:space="preserve">曾烨向富海节能、临港投资转让股份；刘云锋向临港投资、鸿迪投资转让股份。；四名转让方向八名受让主体实施十笔股份转让，原文逐笔列示股份数及价款。；刘云锋→上海鸿迪投资集团有限公司→发行人；曾烨→上海鸿迪投资集团有限公司→发行人</x:t>
  </x:si>
  <x:si>
    <x:t xml:space="preserve">S09-9D-REV-004</x:t>
  </x:si>
  <x:si>
    <x:t xml:space="preserve">PEVC-015</x:t>
  </x:si>
  <x:si>
    <x:t xml:space="preserve">CE-013-01</x:t>
  </x:si>
  <x:si>
    <x:t xml:space="preserve">EVD-010</x:t>
  </x:si>
  <x:si>
    <x:t xml:space="preserve">63；64—65；63—65</x:t>
  </x:si>
  <x:si>
    <x:t xml:space="preserve">62；63—64；62—64</x:t>
  </x:si>
  <x:si>
    <x:t xml:space="preserve">厦门西堤现金5,000万元认购968,990股；中小企业基金现金2,000万元认购387,596股；每股价格约51.6元。；厦门西堤→发行人</x:t>
  </x:si>
  <x:si>
    <x:t xml:space="preserve">S09-9D-REV-005</x:t>
  </x:si>
  <x:si>
    <x:t xml:space="preserve">PEVC-016</x:t>
  </x:si>
  <x:si>
    <x:t xml:space="preserve">CE-007</x:t>
  </x:si>
  <x:si>
    <x:t xml:space="preserve">EVD-003；EVD-020</x:t>
  </x:si>
  <x:si>
    <x:t xml:space="preserve">57</x:t>
  </x:si>
  <x:si>
    <x:t xml:space="preserve">深创投、丰利财富、镇江红土、昆山红土、富海深湾、芜湖富海共同增资158.2733万元。；阶段六最终验收版建立PTY-001至PTY-036稳定主体ID，只统一名称，不判断PE/VC属性。；昆山红土高新创业投资有限公司→发行人</x:t>
  </x:si>
  <x:si>
    <x:t xml:space="preserve">S09-9D-REV-006</x:t>
  </x:si>
  <x:si>
    <x:t xml:space="preserve">PEVC-017</x:t>
  </x:si>
  <x:si>
    <x:t xml:space="preserve">深创投、丰利财富、镇江红土、昆山红土、富海深湾、芜湖富海共同增资158.2733万元。；阶段六最终验收版建立PTY-001至PTY-036稳定主体ID，只统一名称，不判断PE/VC属性。；深圳市创新投资集团有限公司→发行人</x:t>
  </x:si>
  <x:si>
    <x:t xml:space="preserve">S09-9D-REV-007</x:t>
  </x:si>
  <x:si>
    <x:t xml:space="preserve">PEVC-018</x:t>
  </x:si>
  <x:si>
    <x:t xml:space="preserve">深创投、丰利财富、镇江红土、昆山红土、富海深湾、芜湖富海共同增资158.2733万元。；阶段六最终验收版建立PTY-001至PTY-036稳定主体ID，只统一名称，不判断PE/VC属性。；镇江红土创业投资有限公司→发行人</x:t>
  </x:si>
  <x:si>
    <x:t xml:space="preserve">S09-9D-REV-008</x:t>
  </x:si>
  <x:si>
    <x:t xml:space="preserve">PEVC-027</x:t>
  </x:si>
  <x:si>
    <x:t xml:space="preserve">CE-013-02</x:t>
  </x:si>
  <x:si>
    <x:t xml:space="preserve">EVD-011；EVD-020</x:t>
  </x:si>
  <x:si>
    <x:t xml:space="preserve">64—65</x:t>
  </x:si>
  <x:si>
    <x:t xml:space="preserve">63—64</x:t>
  </x:si>
  <x:si>
    <x:t xml:space="preserve">四名转让方向八名受让主体实施十笔股份转让，原文逐笔列示股份数及价款。；阶段六最终验收版建立PTY-001至PTY-036稳定主体ID，只统一名称，不判断PE/VC属性。；刘云锋→福建开京集团有限责任公司→发行人</x:t>
  </x:si>
  <x:si>
    <x:t xml:space="preserve">阶段八已验收分类为UNRESOLVED；程序不自动升级或降级。</x:t>
  </x:si>
  <x:si>
    <x:t xml:space="preserve">S09-9D-REV-009</x:t>
  </x:si>
  <x:si>
    <x:t xml:space="preserve">PEVC-028</x:t>
  </x:si>
  <x:si>
    <x:t xml:space="preserve">四名转让方向八名受让主体实施十笔股份转让，原文逐笔列示股份数及价款。；阶段六最终验收版建立PTY-001至PTY-036稳定主体ID，只统一名称，不判断PE/VC属性。；刘云锋→萍乡市湘裕君源企业管理中心（有限合伙）→发行人；李文发→萍乡市湘裕君源企业管理中心（有限合伙）→发行人；秦国君→萍乡市湘裕君源企业管理中心（有限合伙）→发行人</x:t>
  </x:si>
  <x:si>
    <x:t xml:space="preserve">S09-9D-REV-010</x:t>
  </x:si>
  <x:si>
    <x:t xml:space="preserve">PEVC_PATH_EDGE</x:t>
  </x:si>
  <x:si>
    <x:t xml:space="preserve">EDGE-058</x:t>
  </x:si>
  <x:si>
    <x:t xml:space="preserve">GLOBAL</x:t>
  </x:si>
  <x:si>
    <x:t xml:space="preserve">EVD-005</x:t>
  </x:si>
  <x:si>
    <x:t xml:space="preserve">58</x:t>
  </x:si>
  <x:si>
    <x:t xml:space="preserve">天健创投主营业务为创业投资；东方富海（芜湖）和蜜呆资管为其普通合伙人，其中蜜呆资管为执行事务合伙人。</x:t>
  </x:si>
  <x:si>
    <x:t xml:space="preserve">关系类型：GENERAL_PARTNER；路径结论：背景治理关系，不直接形成发行人权益路径</x:t>
  </x:si>
  <x:si>
    <x:t xml:space="preserve">S09-P005；S09-P006</x:t>
  </x:si>
  <x:si>
    <x:t xml:space="preserve">确认该治理/管理关系不直接形成发行人权益路径。</x:t>
  </x:si>
  <x:si>
    <x:t xml:space="preserve">S09-9D-REV-011</x:t>
  </x:si>
  <x:si>
    <x:t xml:space="preserve">EDGE-059</x:t>
  </x:si>
  <x:si>
    <x:t xml:space="preserve">关系类型：GENERAL_PARTNER_EXECUTIVE；路径结论：背景治理关系，不直接形成发行人权益路径</x:t>
  </x:si>
  <x:si>
    <x:t xml:space="preserve">S09-9D-REV-012</x:t>
  </x:si>
  <x:si>
    <x:t xml:space="preserve">EDGE-060</x:t>
  </x:si>
  <x:si>
    <x:t xml:space="preserve">EVD-017</x:t>
  </x:si>
  <x:si>
    <x:t xml:space="preserve">88—89</x:t>
  </x:si>
  <x:si>
    <x:t xml:space="preserve">87—88</x:t>
  </x:si>
  <x:si>
    <x:t xml:space="preserve">公司名称为移动创新私募创业投资基金；股东构成列示东方富海（芜湖）为GP。</x:t>
  </x:si>
  <x:si>
    <x:t xml:space="preserve">S09-9D-REV-013</x:t>
  </x:si>
  <x:si>
    <x:t xml:space="preserve">EDGE-061</x:t>
  </x:si>
  <x:si>
    <x:t xml:space="preserve">EVD-014</x:t>
  </x:si>
  <x:si>
    <x:t xml:space="preserve">83</x:t>
  </x:si>
  <x:si>
    <x:t xml:space="preserve">82</x:t>
  </x:si>
  <x:si>
    <x:t xml:space="preserve">东方富海主营业务包括创业投资、投资咨询、企业管理和投资管理；其股东构成表列示GP。</x:t>
  </x:si>
  <x:si>
    <x:t xml:space="preserve">S09-9D-REV-014</x:t>
  </x:si>
  <x:si>
    <x:t xml:space="preserve">EDGE-062</x:t>
  </x:si>
  <x:si>
    <x:t xml:space="preserve">EVD-013</x:t>
  </x:si>
  <x:si>
    <x:t xml:space="preserve">81—83；82</x:t>
  </x:si>
  <x:si>
    <x:t xml:space="preserve">80—82；81</x:t>
  </x:si>
  <x:si>
    <x:t xml:space="preserve">力源信息主营业务为集成电路及电子元器件相关经营；芜湖富海主营业务包括非上市企业投资、股权投资及创业管理服务。</x:t>
  </x:si>
  <x:si>
    <x:t xml:space="preserve">S09-9D-REV-015</x:t>
  </x:si>
  <x:si>
    <x:t xml:space="preserve">EDGE-063</x:t>
  </x:si>
  <x:si>
    <x:t xml:space="preserve">EVD-015</x:t>
  </x:si>
  <x:si>
    <x:t xml:space="preserve">84—85；84</x:t>
  </x:si>
  <x:si>
    <x:t xml:space="preserve">83—84；83</x:t>
  </x:si>
  <x:si>
    <x:t xml:space="preserve">南山富海主营业务包括受托管理股权投资基金、未上市企业股权投资、股权投资及创业投资；股东构成列示GP。</x:t>
  </x:si>
  <x:si>
    <x:t xml:space="preserve">S09-9D-REV-016</x:t>
  </x:si>
  <x:si>
    <x:t xml:space="preserve">EDGE-064</x:t>
  </x:si>
  <x:si>
    <x:t xml:space="preserve">EVD-018</x:t>
  </x:si>
  <x:si>
    <x:t xml:space="preserve">89—91；91</x:t>
  </x:si>
  <x:si>
    <x:t xml:space="preserve">88—90；90</x:t>
  </x:si>
  <x:si>
    <x:t xml:space="preserve">招股书分别披露战略性新兴产业投资基金、CASREV FUND II-USD L.P.和中科贵银产业投资基金的基本信息及出资构成。</x:t>
  </x:si>
  <x:si>
    <x:t xml:space="preserve">S09-9D-REV-017</x:t>
  </x:si>
  <x:si>
    <x:t xml:space="preserve">EDGE-065</x:t>
  </x:si>
  <x:si>
    <x:t xml:space="preserve">EVD-016</x:t>
  </x:si>
  <x:si>
    <x:t xml:space="preserve">87</x:t>
  </x:si>
  <x:si>
    <x:t xml:space="preserve">86</x:t>
  </x:si>
  <x:si>
    <x:t xml:space="preserve">主营业务为对中小企业发展创业投资业务、股权投资及相关业务；股东构成列示GP。</x:t>
  </x:si>
  <x:si>
    <x:t xml:space="preserve">名称合并候选</x:t>
  </x:si>
  <x:si>
    <x:t xml:space="preserve">候选ID</x:t>
  </x:si>
  <x:si>
    <x:t xml:space="preserve">原名称</x:t>
  </x:si>
  <x:si>
    <x:t xml:space="preserve">候选标准名称</x:t>
  </x:si>
  <x:si>
    <x:t xml:space="preserve">依据</x:t>
  </x:si>
  <x:si>
    <x:t xml:space="preserve">不适用</x:t>
  </x:si>
  <x:si>
    <x:t xml:space="preserve">9D不执行模糊名称匹配；只使用阶段八已验收名称映射。</x:t>
  </x:si>
  <x:si>
    <x:t xml:space="preserve">数值差异与舍入事项（只读）</x:t>
  </x:si>
  <x:si>
    <x:t xml:space="preserve">校验ID</x:t>
  </x:si>
  <x:si>
    <x:t xml:space="preserve">公式类型</x:t>
  </x:si>
  <x:si>
    <x:t xml:space="preserve">复算值</x:t>
  </x:si>
  <x:si>
    <x:t xml:space="preserve">原文比较值</x:t>
  </x:si>
  <x:si>
    <x:t xml:space="preserve">绝对差异</x:t>
  </x:si>
  <x:si>
    <x:t xml:space="preserve">分类</x:t>
  </x:si>
  <x:si>
    <x:t xml:space="preserve">VAL-003</x:t>
  </x:si>
  <x:si>
    <x:t xml:space="preserve">CE-002</x:t>
  </x:si>
  <x:si>
    <x:t xml:space="preserve">product</x:t>
  </x:si>
  <x:si>
    <x:t xml:space="preserve">25</x:t>
  </x:si>
  <x:si>
    <x:t xml:space="preserve">calculation_only</x:t>
  </x:si>
  <x:si>
    <x:t xml:space="preserve">CE-002-E02</x:t>
  </x:si>
  <x:si>
    <x:t xml:space="preserve">深圳市云汉电子有限公司将其持有的有限公司50%股权转让给曾烨，曾烨、刘云锋按原持股比例增资50万元，注册资本增至100万元。；2009年12月，深圳市云汉电子有限公司将其持有的有限公司50%股权转让给曾烨；曾烨、刘云锋按原持股比例增资50万元，注册资本增至100万元。</x:t>
  </x:si>
  <x:si>
    <x:t xml:space="preserve">VAL-004</x:t>
  </x:si>
  <x:si>
    <x:t xml:space="preserve">VAL-005</x:t>
  </x:si>
  <x:si>
    <x:t xml:space="preserve">signed_sum</x:t>
  </x:si>
  <x:si>
    <x:t xml:space="preserve">VAL-006</x:t>
  </x:si>
  <x:si>
    <x:t xml:space="preserve">136.99214</x:t>
  </x:si>
  <x:si>
    <x:t xml:space="preserve">136.9864</x:t>
  </x:si>
  <x:si>
    <x:t xml:space="preserve">0.00574</x:t>
  </x:si>
  <x:si>
    <x:t xml:space="preserve">difference_detected</x:t>
  </x:si>
  <x:si>
    <x:t xml:space="preserve">INHERITED_UPSTREAM_REVIEW</x:t>
  </x:si>
  <x:si>
    <x:t xml:space="preserve">VAL-013</x:t>
  </x:si>
  <x:si>
    <x:t xml:space="preserve">CE-006</x:t>
  </x:si>
  <x:si>
    <x:t xml:space="preserve">1863.0136</x:t>
  </x:si>
  <x:si>
    <x:t xml:space="preserve">CE-006-E01</x:t>
  </x:si>
  <x:si>
    <x:t xml:space="preserve">“2015年3月，有限公司第四次增资，注册资本增至2,000万元。”；新增注册资本由各股东按照其持股比例以资本公积转增，注册资本增至2,000万元。</x:t>
  </x:si>
  <x:si>
    <x:t xml:space="preserve">VAL-016</x:t>
  </x:si>
  <x:si>
    <x:t xml:space="preserve">CE-009</x:t>
  </x:si>
  <x:si>
    <x:t xml:space="preserve">unit_price</x:t>
  </x:si>
  <x:si>
    <x:t xml:space="preserve">14.999700005999880002399952000959980800383992320154</x:t>
  </x:si>
  <x:si>
    <x:t xml:space="preserve">58；58—59</x:t>
  </x:si>
  <x:si>
    <x:t xml:space="preserve">57；57—58</x:t>
  </x:si>
  <x:si>
    <x:t xml:space="preserve">CE-009-E01；CE-009-E02</x:t>
  </x:si>
  <x:si>
    <x:t xml:space="preserve">2018年4月28日，丰利财富将全部666,680股转让给天健创投，价款1,000万元。；转让后股东表列示天健创投666,680股、1.67%，不再列示丰利财富。；2018年4月28日，丰利财富将全部666,680股转让给天健创投，价款1,000万元；转让后表列示天健创投666,680股、1.67%。</x:t>
  </x:si>
  <x:si>
    <x:t xml:space="preserve">VAL-023</x:t>
  </x:si>
  <x:si>
    <x:t xml:space="preserve">CE-010</x:t>
  </x:si>
  <x:si>
    <x:t xml:space="preserve">5150000</x:t>
  </x:si>
  <x:si>
    <x:t xml:space="preserve">59；60；60—61</x:t>
  </x:si>
  <x:si>
    <x:t xml:space="preserve">58；59；59—60</x:t>
  </x:si>
  <x:si>
    <x:t xml:space="preserve">CE-010-E01；CE-010-E02；CE-010-E05</x:t>
  </x:si>
  <x:si>
    <x:t xml:space="preserve">2018年6月12日签署增资与股权转让协议，列明六方增资及四笔股份转让。；2018年6月12日股东大会同意四名管理团队成员合计认缴新增注册资本120万元。；变更后股东表列示六名外部增资方、四名激励对象及三名股份受让方。；2018年6月12日签署增资与股权转让协议，列明六方增资、四名激励对象增资及四笔股份转让；变更后股东表列示相应持股。</x:t>
  </x:si>
  <x:si>
    <x:t xml:space="preserve">VAL-028</x:t>
  </x:si>
  <x:si>
    <x:t xml:space="preserve">1200000</x:t>
  </x:si>
  <x:si>
    <x:t xml:space="preserve">VAL-031</x:t>
  </x:si>
  <x:si>
    <x:t xml:space="preserve">29.126213592233009708737864077669902912621359223301</x:t>
  </x:si>
  <x:si>
    <x:t xml:space="preserve">29.13</x:t>
  </x:si>
  <x:si>
    <x:t xml:space="preserve">0.00378640776699029126213592233</x:t>
  </x:si>
  <x:si>
    <x:t xml:space="preserve">rounding_or_approx_consistent</x:t>
  </x:si>
  <x:si>
    <x:t xml:space="preserve">VAL-032</x:t>
  </x:si>
  <x:si>
    <x:t xml:space="preserve">29.126180305131761442441054091539528432732316227462</x:t>
  </x:si>
  <x:si>
    <x:t xml:space="preserve">0.00381969486823855755894590846</x:t>
  </x:si>
  <x:si>
    <x:t xml:space="preserve">VAL-033</x:t>
  </x:si>
  <x:si>
    <x:t xml:space="preserve">29.126746242731711450268489784678606606861052564686</x:t>
  </x:si>
  <x:si>
    <x:t xml:space="preserve">0.003253757268288549731510215321</x:t>
  </x:si>
  <x:si>
    <x:t xml:space="preserve">VAL-034</x:t>
  </x:si>
  <x:si>
    <x:t xml:space="preserve">29.12623989725888214845983152840959892490307058304</x:t>
  </x:si>
  <x:si>
    <x:t xml:space="preserve">0.00376010274111785154016847159</x:t>
  </x:si>
  <x:si>
    <x:t xml:space="preserve">VAL-038</x:t>
  </x:si>
  <x:si>
    <x:t xml:space="preserve">CE-012</x:t>
  </x:si>
  <x:si>
    <x:t xml:space="preserve">share_to_capital</x:t>
  </x:si>
  <x:si>
    <x:t xml:space="preserve">113.0488</x:t>
  </x:si>
  <x:si>
    <x:t xml:space="preserve">62；62—63</x:t>
  </x:si>
  <x:si>
    <x:t xml:space="preserve">61；61—62</x:t>
  </x:si>
  <x:si>
    <x:t xml:space="preserve">CE-012-E01；CE-012-E04</x:t>
  </x:si>
  <x:si>
    <x:t xml:space="preserve">2020年5月20日股东大会决议并签署增资协议，火炬电子现金5,000万元认购113.0488万股。；增资后股东表首次列示火炬电子1,130,488股。；火炬电子现金5,000万元认购1,130,488股；增资前注册资本4,635万元，增资后注册资本4,748.0488万元；增资后股东表列示火炬电子1,130,488股。</x:t>
  </x:si>
  <x:si>
    <x:t xml:space="preserve">VAL-041</x:t>
  </x:si>
  <x:si>
    <x:t xml:space="preserve">CE-013</x:t>
  </x:si>
  <x:si>
    <x:t xml:space="preserve">1356586</x:t>
  </x:si>
  <x:si>
    <x:t xml:space="preserve">63；64；64—65</x:t>
  </x:si>
  <x:si>
    <x:t xml:space="preserve">62；63；63—64</x:t>
  </x:si>
  <x:si>
    <x:t xml:space="preserve">CE-013-E01；CE-013-E03；CE-013-E05</x:t>
  </x:si>
  <x:si>
    <x:t xml:space="preserve">2020年9月15日股东大会同意厦门西堤、中小企业基金认购新增股份。；原文表格列示四名转让方向八名受让主体实施十笔股份转让。；变更后股东表列示两名增资方及各股份受让方，四名转让方仍持股。；厦门西堤、中小企业基金分别认购968,990股、387,596股；原文表格列示十笔股份转让及价款，变更后注册资本4,883.7074万元、总股本48,837,074股。</x:t>
  </x:si>
  <x:si>
    <x:t xml:space="preserve">VAL-042</x:t>
  </x:si>
  <x:si>
    <x:t xml:space="preserve">135.6586</x:t>
  </x:si>
  <x:si>
    <x:t xml:space="preserve">VAL-049</x:t>
  </x:si>
  <x:si>
    <x:t xml:space="preserve">CE-008</x:t>
  </x:si>
  <x:si>
    <x:t xml:space="preserve">ratio_pct</x:t>
  </x:si>
  <x:si>
    <x:t xml:space="preserve">18.5334</x:t>
  </x:si>
  <x:si>
    <x:t xml:space="preserve">18.53</x:t>
  </x:si>
  <x:si>
    <x:t xml:space="preserve">0.0034</x:t>
  </x:si>
  <x:si>
    <x:t xml:space="preserve">rounding_consistent</x:t>
  </x:si>
  <x:si>
    <x:t xml:space="preserve">54—55</x:t>
  </x:si>
  <x:si>
    <x:t xml:space="preserve">53—54</x:t>
  </x:si>
  <x:si>
    <x:t xml:space="preserve">CE-008-E07</x:t>
  </x:si>
  <x:si>
    <x:t xml:space="preserve">整体变更时11名发起人持股数量及比例表。；有限公司整体变更设立股份公司，发起人股本合计40,000,000股；原文表格列示各发起人股数及持股比例。</x:t>
  </x:si>
  <x:si>
    <x:t xml:space="preserve">VAL-051</x:t>
  </x:si>
  <x:si>
    <x:t xml:space="preserve">7.0883</x:t>
  </x:si>
  <x:si>
    <x:t xml:space="preserve">7.09</x:t>
  </x:si>
  <x:si>
    <x:t xml:space="preserve">0.0017</x:t>
  </x:si>
  <x:si>
    <x:t xml:space="preserve">VAL-052</x:t>
  </x:si>
  <x:si>
    <x:t xml:space="preserve">6.255</x:t>
  </x:si>
  <x:si>
    <x:t xml:space="preserve">6.26</x:t>
  </x:si>
  <x:si>
    <x:t xml:space="preserve">0.005</x:t>
  </x:si>
  <x:si>
    <x:t xml:space="preserve">VAL-053</x:t>
  </x:si>
  <x:si>
    <x:t xml:space="preserve">4.6334</x:t>
  </x:si>
  <x:si>
    <x:t xml:space="preserve">4.63</x:t>
  </x:si>
  <x:si>
    <x:t xml:space="preserve">VAL-054</x:t>
  </x:si>
  <x:si>
    <x:t xml:space="preserve">2.3333</x:t>
  </x:si>
  <x:si>
    <x:t xml:space="preserve">2.33</x:t>
  </x:si>
  <x:si>
    <x:t xml:space="preserve">0.0033</x:t>
  </x:si>
  <x:si>
    <x:t xml:space="preserve">VAL-055</x:t>
  </x:si>
  <x:si>
    <x:t xml:space="preserve">1.6667</x:t>
  </x:si>
  <x:si>
    <x:t xml:space="preserve">1.67</x:t>
  </x:si>
  <x:si>
    <x:t xml:space="preserve">PE/VC分类候选与路径排除事项（只读）</x:t>
  </x:si>
  <x:si>
    <x:t xml:space="preserve">人工决定</x:t>
  </x:si>
  <x:si>
    <x:t xml:space="preserve">修正值</x:t>
  </x:si>
  <x:si>
    <x:t xml:space="preserve">复核说明</x:t>
  </x:si>
  <x:si>
    <x:t xml:space="preserve">复核人</x:t>
  </x:si>
  <x:si>
    <x:t xml:space="preserve">复核日期</x:t>
  </x:si>
  <x:si>
    <x:t xml:space="preserve">导入校验结果</x:t>
  </x:si>
  <x:si>
    <x:t xml:space="preserve">必填提示</x:t>
  </x:si>
  <x:si>
    <x:t xml:space="preserve">确认自动结果</x:t>
  </x:si>
  <x:si>
    <x:t xml:space="preserve">lzr</x:t>
  </x:si>
  <x:si>
    <x:t xml:space="preserve">已关闭</x:t>
  </x:si>
  <x:si>
    <x:t xml:space="preserve">9D验收检查</x:t>
  </x:si>
  <x:si>
    <x:t xml:space="preserve">检查ID</x:t>
  </x:si>
  <x:si>
    <x:t xml:space="preserve">检查事项</x:t>
  </x:si>
  <x:si>
    <x:t xml:space="preserve">观察值</x:t>
  </x:si>
  <x:si>
    <x:t xml:space="preserve">S09-9D-ACC-001</x:t>
  </x:si>
  <x:si>
    <x:t xml:space="preserve">9C正式验收基线</x:t>
  </x:si>
  <x:si>
    <x:t xml:space="preserve">S09-9D-ACC-002</x:t>
  </x:si>
  <x:si>
    <x:t xml:space="preserve">复核事项选择规则确定性</x:t>
  </x:si>
  <x:si>
    <x:t xml:space="preserve">17</x:t>
  </x:si>
  <x:si>
    <x:t xml:space="preserve">S09-9D-ACC-003</x:t>
  </x:si>
  <x:si>
    <x:t xml:space="preserve">原自动结果与人工决定分层保存</x:t>
  </x:si>
  <x:si>
    <x:t xml:space="preserve">True</x:t>
  </x:si>
  <x:si>
    <x:t xml:space="preserve">S09-9D-ACC-004</x:t>
  </x:si>
  <x:si>
    <x:t xml:space="preserve">工作簿下拉及必填校验</x:t>
  </x:si>
  <x:si>
    <x:t xml:space="preserve">S09-9D-ACC-005</x:t>
  </x:si>
  <x:si>
    <x:t xml:space="preserve">复核决定导入测试</x:t>
  </x:si>
  <x:si>
    <x:t xml:space="preserve">round-trip tested</x:t>
  </x:si>
  <x:si>
    <x:t xml:space="preserve">S09-9D-ACC-006</x:t>
  </x:si>
  <x:si>
    <x:t xml:space="preserve">用户复核决定全部关闭</x:t>
  </x:si>
  <x:si>
    <x:t xml:space="preserve">人工复核变更日志</x:t>
  </x:si>
  <x:si>
    <x:t xml:space="preserve">操作ID</x:t>
  </x:si>
  <x:si>
    <x:t xml:space="preserve">修改前自动结果</x:t>
  </x:si>
  <x:si>
    <x:t xml:space="preserve">校验结果</x:t>
  </x:si>
</x:sst>
</file>

<file path=xl/styles.xml><?xml version="1.0" encoding="utf-8"?>
<x:styleSheet xmlns:x="http://schemas.openxmlformats.org/spreadsheetml/2006/main">
  <x:numFmts count="1">
    <x:numFmt numFmtId="176" formatCode="yyyy\-mm\-dd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9"/>
      <x:name val="宋体"/>
    </x:font>
    <x:font>
      <x:b/>
      <x:sz val="15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2">
    <x:xf numFmtId="0" fontId="0" fillId="0" borderId="0"/>
    <x:xf numFmtId="0" fontId="4" fillId="0" borderId="0"/>
  </x:cellStyleXfs>
  <x:cellXfs count="59">
    <x:xf numFmtId="0" fontId="0" fillId="0" borderId="0" xfId="0"/>
    <x:xf numFmtId="0" fontId="0" fillId="0" borderId="0" xfId="1" applyFont="1" applyAlignment="1">
      <x:alignment wrapText="1"/>
    </x:xf>
    <x:xf numFmtId="0" fontId="2" fillId="3" borderId="0" xfId="1" applyFont="1" applyFill="1" applyAlignment="1">
      <x:alignment wrapText="1"/>
    </x:xf>
    <x:xf numFmtId="0" fontId="3" fillId="4" borderId="0" xfId="1" applyFont="1" applyFill="1" applyAlignment="1">
      <x:alignment horizontal="center" vertical="center" wrapText="1"/>
    </x:xf>
    <x:xf numFmtId="0" fontId="0" fillId="0" borderId="0" xfId="1" applyFont="1" applyAlignment="1">
      <x:alignment vertical="top" wrapText="1"/>
    </x:xf>
    <x:xf numFmtId="0" fontId="0" fillId="5" borderId="0" xfId="1" applyFont="1" applyFill="1" applyAlignment="1">
      <x:alignment vertical="top" wrapText="1"/>
    </x:xf>
    <x:xf numFmtId="0" fontId="1" fillId="2" borderId="0" xfId="1" applyFont="1" applyFill="1" applyAlignment="1">
      <x:alignment horizontal="center" vertical="center"/>
    </x:xf>
    <x:xf numFmtId="0" fontId="2" fillId="3" borderId="0" xfId="1" applyFont="1" applyFill="1" applyAlignment="1">
      <x:alignment horizontal="center"/>
    </x:xf>
    <x:xf numFmtId="176" fontId="1" fillId="2" borderId="0" xfId="1" applyNumberFormat="1" applyFont="1" applyFill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/>
    </x:xf>
    <x:xf numFmtId="176" fontId="1" fillId="2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0" fontId="2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horizontal="center"/>
    </x:xf>
    <x:xf numFmtId="0" fontId="2" fillId="6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horizontal="center"/>
    </x:xf>
    <x:xf numFmtId="0" fontId="6" fillId="7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horizontal="center" wrapText="1"/>
    </x:xf>
    <x:xf numFmtId="0" fontId="2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2" fillId="8" borderId="1" xfId="0" applyNumberFormat="1" applyFont="1" applyFill="1" applyBorder="1"/>
    <x:xf numFmtId="0" fontId="2" fillId="8" borderId="1" xfId="0" applyNumberFormat="1" applyFont="1" applyFill="1" applyBorder="1" applyAlignment="1">
      <x:alignment wrapText="1"/>
    </x:xf>
    <x:xf numFmtId="0" fontId="2" fillId="8" borderId="1" xfId="0" applyNumberFormat="1" applyFont="1" applyFill="1" applyBorder="1" applyAlignment="1">
      <x:alignment horizontal="center" wrapText="1"/>
    </x:xf>
    <x:xf numFmtId="0" fontId="2" fillId="8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0" fillId="6" borderId="1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horizontal="center" vertical="center" wrapText="1"/>
    </x:xf>
  </x:cellXfs>
  <x:cellStyles count="2">
    <x:cellStyle name="Normal" xfId="1"/>
    <x:cellStyle name="常规" xfId="0"/>
  </x:cellStyles>
  <x:dxfs count="2"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de8b52b54e4640" /><Relationship Type="http://schemas.openxmlformats.org/officeDocument/2006/relationships/theme" Target="/xl/theme/theme1.xml" Id="R80e36a16595b465c" /><Relationship Type="http://schemas.openxmlformats.org/officeDocument/2006/relationships/sharedStrings" Target="/xl/sharedStrings.xml" Id="R890380c8eaff49bb" /><Relationship Type="http://schemas.openxmlformats.org/officeDocument/2006/relationships/worksheet" Target="/xl/worksheets/sheet1.xml" Id="R3758801f53e3424f" /><Relationship Type="http://schemas.openxmlformats.org/officeDocument/2006/relationships/worksheet" Target="/xl/worksheets/sheet2.xml" Id="R20531088d51b4465" /><Relationship Type="http://schemas.openxmlformats.org/officeDocument/2006/relationships/worksheet" Target="/xl/worksheets/sheet3.xml" Id="Rbead015a3e3f4936" /><Relationship Type="http://schemas.openxmlformats.org/officeDocument/2006/relationships/worksheet" Target="/xl/worksheets/sheet4.xml" Id="Rf1a46c291ab04eed" /><Relationship Type="http://schemas.openxmlformats.org/officeDocument/2006/relationships/worksheet" Target="/xl/worksheets/sheet5.xml" Id="R868f18591aa74348" /><Relationship Type="http://schemas.openxmlformats.org/officeDocument/2006/relationships/worksheet" Target="/xl/worksheets/sheet6.xml" Id="R179e944c977144db" /><Relationship Type="http://schemas.openxmlformats.org/officeDocument/2006/relationships/worksheet" Target="/xl/worksheets/sheet7.xml" Id="R521fba31c61e4b40" /><Relationship Type="http://schemas.openxmlformats.org/officeDocument/2006/relationships/worksheet" Target="/xl/worksheets/sheet8.xml" Id="Rbdf09888fd8044d3" /><Relationship Type="http://schemas.openxmlformats.org/officeDocument/2006/relationships/worksheet" Target="/xl/worksheets/sheet9.xml" Id="R38c5a679ba854e9f" /><Relationship Type="http://schemas.openxmlformats.org/officeDocument/2006/relationships/worksheet" Target="/xl/worksheets/sheet10.xml" Id="Raf544b4d7d6a41d3" /><Relationship Type="http://schemas.openxmlformats.org/officeDocument/2006/relationships/worksheet" Target="/xl/worksheets/sheet11.xml" Id="Rb6959ed81949497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7dc528dc02f463b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待复核事项构成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cat>
            <c:strRef>
              <c:f>'01_运行摘要'!$A$9:$A$11</c:f>
              <c:strCache>
                <c:ptCount val="3"/>
                <c:pt idx="0">
                  <c:v>NUMERIC_DISCLOSURE_DIFFERENCE</c:v>
                </c:pt>
                <c:pt idx="1">
                  <c:v>PEVC_CLASSIFICATION_REVIEW</c:v>
                </c:pt>
                <c:pt idx="2">
                  <c:v>PEVC_PATH_EXCLUSION_REVIEW</c:v>
                </c:pt>
              </c:strCache>
            </c:strRef>
          </c:cat>
          <c:val>
            <c:numRef>
              <c:f>'01_运行摘要'!$B$9:$B$11</c:f>
              <c:numCache>
                <c:formatCode>General</c:formatCode>
                <c:ptCount val="3"/>
                <c:pt idx="0">
                  <c:v>1</c:v>
                </c:pt>
                <c:pt idx="1">
                  <c:v>8</c:v>
                </c:pt>
                <c:pt idx="2">
                  <c:v>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9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7dc528dc02f463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viewTypeSummary" displayName="ReviewTypeSummary" ref="A8:B11">
  <x:tableColumns count="2">
    <x:tableColumn id="1" name="复核类型"/>
    <x:tableColumn id="2" name="数量"/>
  </x:tableColumns>
  <x:tableStyleInfo name="TableStyleMedium2" showRowStripes="1"/>
</x:table>
</file>

<file path=xl/tables/table2.xml><?xml version="1.0" encoding="utf-8"?>
<x:table xmlns:x="http://schemas.openxmlformats.org/spreadsheetml/2006/main" id="2" name="RuleResults" displayName="RuleResults" ref="A3:H38">
  <x:tableColumns count="8">
    <x:tableColumn id="1" name="规则ID"/>
    <x:tableColumn id="2" name="结果"/>
    <x:tableColumn id="3" name="评价对象数"/>
    <x:tableColumn id="4" name="适用对象数"/>
    <x:tableColumn id="5" name="失败对象ID"/>
    <x:tableColumn id="6" name="程序版本"/>
    <x:tableColumn id="7" name="规则集版本"/>
    <x:tableColumn id="8" name="复核状态"/>
  </x:tableColumns>
  <x:tableStyleInfo name="TableStyleMedium2" showRowStripes="1"/>
</x:table>
</file>

<file path=xl/tables/table3.xml><?xml version="1.0" encoding="utf-8"?>
<x:table xmlns:x="http://schemas.openxmlformats.org/spreadsheetml/2006/main" id="3" name="ExceptionQueue" displayName="ExceptionQueue" ref="A3:J4">
  <x:tableColumns count="10">
    <x:tableColumn id="1" name="异常ID"/>
    <x:tableColumn id="2" name="说明"/>
    <x:tableColumn id="3" name="类型"/>
    <x:tableColumn id="4" name="阻断性"/>
    <x:tableColumn id="5" name="对象类型"/>
    <x:tableColumn id="6" name="对象ID"/>
    <x:tableColumn id="7" name="事件ID"/>
    <x:tableColumn id="8" name="证据ID"/>
    <x:tableColumn id="9" name="状态"/>
    <x:tableColumn id="10" name="处理建议"/>
  </x:tableColumns>
  <x:tableStyleInfo name="TableStyleMedium2" showRowStripes="1"/>
</x:table>
</file>

<file path=xl/tables/table4.xml><?xml version="1.0" encoding="utf-8"?>
<x:table xmlns:x="http://schemas.openxmlformats.org/spreadsheetml/2006/main" id="4" name="ReviewCandidates" displayName="ReviewCandidates" ref="A3:M20">
  <x:tableColumns count="13">
    <x:tableColumn id="1" name="复核事项ID"/>
    <x:tableColumn id="2" name="复核类型"/>
    <x:tableColumn id="3" name="优先级"/>
    <x:tableColumn id="4" name="对象类型"/>
    <x:tableColumn id="5" name="对象ID"/>
    <x:tableColumn id="6" name="事件ID"/>
    <x:tableColumn id="7" name="证据ID"/>
    <x:tableColumn id="8" name="PDF页码"/>
    <x:tableColumn id="9" name="正文页码"/>
    <x:tableColumn id="10" name="原文证据"/>
    <x:tableColumn id="11" name="自动结果"/>
    <x:tableColumn id="12" name="规则ID"/>
    <x:tableColumn id="13" name="建议操作"/>
  </x:tableColumns>
  <x:tableStyleInfo name="TableStyleMedium2" showRowStripes="1"/>
</x:table>
</file>

<file path=xl/tables/table5.xml><?xml version="1.0" encoding="utf-8"?>
<x:table xmlns:x="http://schemas.openxmlformats.org/spreadsheetml/2006/main" id="5" name="NameMergeCandidates" displayName="NameMergeCandidates" ref="A3:F4">
  <x:tableColumns count="6">
    <x:tableColumn id="1" name="候选ID"/>
    <x:tableColumn id="2" name="原名称"/>
    <x:tableColumn id="3" name="候选标准名称"/>
    <x:tableColumn id="4" name="依据"/>
    <x:tableColumn id="5" name="状态"/>
    <x:tableColumn id="6" name="说明"/>
  </x:tableColumns>
  <x:tableStyleInfo name="TableStyleMedium2" showRowStripes="1"/>
</x:table>
</file>

<file path=xl/tables/table6.xml><?xml version="1.0" encoding="utf-8"?>
<x:table xmlns:x="http://schemas.openxmlformats.org/spreadsheetml/2006/main" id="6" name="NumericDifferences" displayName="NumericDifferences" ref="A3:L25">
  <x:tableColumns count="12">
    <x:tableColumn id="1" name="校验ID"/>
    <x:tableColumn id="2" name="事件ID"/>
    <x:tableColumn id="3" name="公式类型"/>
    <x:tableColumn id="4" name="复算值"/>
    <x:tableColumn id="5" name="原文比较值"/>
    <x:tableColumn id="6" name="绝对差异"/>
    <x:tableColumn id="7" name="分类"/>
    <x:tableColumn id="8" name="PDF页码"/>
    <x:tableColumn id="9" name="正文页码"/>
    <x:tableColumn id="10" name="证据ID"/>
    <x:tableColumn id="11" name="原文证据"/>
    <x:tableColumn id="12" name="复核状态"/>
  </x:tableColumns>
  <x:tableStyleInfo name="TableStyleMedium2" showRowStripes="1"/>
</x:table>
</file>

<file path=xl/tables/table7.xml><?xml version="1.0" encoding="utf-8"?>
<x:table xmlns:x="http://schemas.openxmlformats.org/spreadsheetml/2006/main" id="7" name="PEVCReviewItems" displayName="PEVCReviewItems" ref="A3:L19">
  <x:tableColumns count="12">
    <x:tableColumn id="1" name="复核事项ID"/>
    <x:tableColumn id="2" name="复核类型"/>
    <x:tableColumn id="3" name="对象类型"/>
    <x:tableColumn id="4" name="对象ID"/>
    <x:tableColumn id="5" name="事件ID"/>
    <x:tableColumn id="6" name="证据ID"/>
    <x:tableColumn id="7" name="PDF页码"/>
    <x:tableColumn id="8" name="正文页码"/>
    <x:tableColumn id="9" name="原文证据"/>
    <x:tableColumn id="10" name="自动结果"/>
    <x:tableColumn id="11" name="规则ID"/>
    <x:tableColumn id="12" name="建议操作"/>
  </x:tableColumns>
  <x:tableStyleInfo name="TableStyleMedium2" showRowStripes="1"/>
</x:table>
</file>

<file path=xl/tables/table8.xml><?xml version="1.0" encoding="utf-8"?>
<x:table xmlns:x="http://schemas.openxmlformats.org/spreadsheetml/2006/main" id="8" name="HumanReviewDecisions" displayName="HumanReviewDecisions" ref="A3:U20">
  <x:tableColumns count="21">
    <x:tableColumn id="1" name="复核事项ID"/>
    <x:tableColumn id="2" name="复核类型"/>
    <x:tableColumn id="3" name="优先级"/>
    <x:tableColumn id="4" name="对象类型"/>
    <x:tableColumn id="5" name="对象ID"/>
    <x:tableColumn id="6" name="事件ID"/>
    <x:tableColumn id="7" name="证据ID"/>
    <x:tableColumn id="8" name="PDF页码"/>
    <x:tableColumn id="9" name="正文页码"/>
    <x:tableColumn id="10" name="原文证据"/>
    <x:tableColumn id="11" name="自动结果"/>
    <x:tableColumn id="12" name="规则ID"/>
    <x:tableColumn id="13" name="建议操作"/>
    <x:tableColumn id="14" name="人工决定"/>
    <x:tableColumn id="15" name="修正值"/>
    <x:tableColumn id="16" name="复核说明"/>
    <x:tableColumn id="17" name="复核人"/>
    <x:tableColumn id="18" name="复核日期"/>
    <x:tableColumn id="19" name="复核状态"/>
    <x:tableColumn id="20" name="导入校验结果"/>
    <x:tableColumn id="21" name="必填提示"/>
  </x:tableColumns>
  <x:tableStyleInfo name="TableStyleMedium2" showRowStripes="1"/>
</x:table>
</file>

<file path=xl/tables/table9.xml><?xml version="1.0" encoding="utf-8"?>
<x:table xmlns:x="http://schemas.openxmlformats.org/spreadsheetml/2006/main" id="9" name="AcceptanceChecks" displayName="AcceptanceChecks" ref="A3:E9">
  <x:tableColumns count="5">
    <x:tableColumn id="1" name="检查ID"/>
    <x:tableColumn id="2" name="检查事项"/>
    <x:tableColumn id="3" name="结果"/>
    <x:tableColumn id="4" name="观察值"/>
    <x:tableColumn id="5" name="说明"/>
  </x:tableColumns>
  <x:tableStyleInfo name="TableStyleMedium2" showRowStripes="1"/>
</x:table>
</file>

<file path=xl/tables/table10.xml><?xml version="1.0" encoding="utf-8"?>
<x:table xmlns:x="http://schemas.openxmlformats.org/spreadsheetml/2006/main" id="10" name="ChangeLog" displayName="ChangeLog" ref="A3:M4">
  <x:tableColumns count="13">
    <x:tableColumn id="1" name="操作ID"/>
    <x:tableColumn id="2" name="复核事项ID"/>
    <x:tableColumn id="3" name="对象类型"/>
    <x:tableColumn id="4" name="对象ID"/>
    <x:tableColumn id="5" name="修改前自动结果"/>
    <x:tableColumn id="6" name="人工决定"/>
    <x:tableColumn id="7" name="修正值"/>
    <x:tableColumn id="8" name="复核说明"/>
    <x:tableColumn id="9" name="复核人"/>
    <x:tableColumn id="10" name="复核日期"/>
    <x:tableColumn id="11" name="校验结果"/>
    <x:tableColumn id="12" name="程序版本"/>
    <x:tableColumn id="13" name="规则集版本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c635a4221cb4f0a" /><Relationship Type="http://schemas.openxmlformats.org/officeDocument/2006/relationships/table" Target="/xl/tables/table1.xml" Id="R45f25ac3f6084ce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baaf77b0684447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190540a79d74d2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52b3636b64a4fa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668b427a6a4473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479cddf91594cf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106b2b9d50784ea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61245d318c6487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d1471f51ef10496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c9e651157eef4b9d" /></Relationships>
</file>

<file path=xl/worksheets/sheet1.xml><?xml version="1.0" encoding="utf-8"?>
<x:worksheet xmlns:x="http://schemas.openxmlformats.org/spreadsheetml/2006/main">
  <x:sheetFormatPr defaultRowHeight="14"/>
  <x:cols>
    <x:col min="1" max="1" width="24" customWidth="1"/>
    <x:col min="2" max="2" width="18" customWidth="1"/>
    <x:col min="3" max="3" width="22" customWidth="1"/>
    <x:col min="4" max="4" width="16" customWidth="1"/>
    <x:col min="6" max="6" width="8" customWidth="1"/>
    <x:col min="7" max="7" width="44" customWidth="1"/>
  </x:cols>
  <x:sheetData>
    <x:row r="1" ht="20" customHeight="1">
      <x:c r="A1" s="6" t="str">
        <x:v>阶段九：稳定人工研究步骤逐步自动化——最终验收工作簿</x:v>
      </x:c>
      <x:c r="B1" s="6"/>
      <x:c r="C1" s="6"/>
      <x:c r="D1" s="6"/>
      <x:c r="E1" s="6"/>
      <x:c r="F1" s="6"/>
      <x:c r="G1" s="6"/>
      <x:c r="H1" s="6"/>
    </x:row>
    <x:row r="3">
      <x:c r="A3" s="2" t="s">
        <x:v>0</x:v>
      </x:c>
      <x:c r="B3" s="1" t="s">
        <x:v>1</x:v>
      </x:c>
      <x:c r="C3" s="2" t="s">
        <x:v>2</x:v>
      </x:c>
      <x:c r="D3" s="1">
        <x:v>276</x:v>
      </x:c>
      <x:c r="F3" s="7" t="s">
        <x:v>3</x:v>
      </x:c>
      <x:c r="G3" s="7"/>
      <x:c r="H3" s="7"/>
    </x:row>
    <x:row r="4">
      <x:c r="A4" s="2" t="s">
        <x:v>4</x:v>
      </x:c>
      <x:c r="B4" s="1">
        <x:v>17</x:v>
      </x:c>
      <x:c r="C4" s="2" t="s">
        <x:v>5</x:v>
      </x:c>
      <x:c r="D4" s="1">
        <x:v>0</x:v>
      </x:c>
      <x:c r="F4" s="4" t="s">
        <x:v>6</x:v>
      </x:c>
      <x:c r="G4" s="4" t="s">
        <x:v>7</x:v>
      </x:c>
    </x:row>
    <x:row r="5">
      <x:c r="A5" s="2" t="str">
        <x:v>已关闭复核</x:v>
      </x:c>
      <x:c r="B5" s="1" t="n">
        <x:v>17</x:v>
      </x:c>
      <x:c r="C5" s="2" t="str">
        <x:v>未完成复核</x:v>
      </x:c>
      <x:c r="D5" s="1" t="n">
        <x:v>0</x:v>
      </x:c>
      <x:c r="F5" s="4" t="s">
        <x:v>8</x:v>
      </x:c>
      <x:c r="G5" s="4" t="s">
        <x:v>9</x:v>
      </x:c>
    </x:row>
    <x:row r="6">
      <x:c r="A6" s="21" t="str">
        <x:v>9D验收状态</x:v>
      </x:c>
      <x:c r="B6" s="21" t="str">
        <x:v>FINAL_APPROVED</x:v>
      </x:c>
      <x:c r="C6" s="21" t="str">
        <x:v>进入9E</x:v>
      </x:c>
      <x:c r="D6" s="21" t="str">
        <x:v>READY</x:v>
      </x:c>
      <x:c r="F6" s="30" t="str">
        <x:v>复核日期说明</x:v>
      </x:c>
      <x:c r="G6" s="30" t="str">
        <x:v>保留用户填写值“7.17”，未进行事实性推断或改写。</x:v>
      </x:c>
    </x:row>
    <x:row r="7">
      <x:c r="A7" s="21" t="str">
        <x:v>9E最终状态</x:v>
      </x:c>
      <x:c r="B7" s="21" t="str">
        <x:v>FINAL_APPROVED</x:v>
      </x:c>
      <x:c r="C7" s="21" t="str">
        <x:v>GitHub提交</x:v>
      </x:c>
      <x:c r="D7" s="21" t="str">
        <x:v>READY</x:v>
      </x:c>
      <x:c r="F7" s="4" t="s">
        <x:v>10</x:v>
      </x:c>
      <x:c r="G7" s="4" t="s">
        <x:v>11</x:v>
      </x:c>
    </x:row>
    <x:row r="8">
      <x:c r="A8" s="3" t="s">
        <x:v>12</x:v>
      </x:c>
      <x:c r="B8" s="3" t="s">
        <x:v>13</x:v>
      </x:c>
      <x:c r="F8" s="4" t="s">
        <x:v>14</x:v>
      </x:c>
      <x:c r="G8" s="4" t="s">
        <x:v>15</x:v>
      </x:c>
    </x:row>
    <x:row r="9" ht="28">
      <x:c r="A9" s="4" t="s">
        <x:v>16</x:v>
      </x:c>
      <x:c r="B9" s="4">
        <x:v>1</x:v>
      </x:c>
    </x:row>
    <x:row r="10" ht="28">
      <x:c r="A10" s="4" t="s">
        <x:v>17</x:v>
      </x:c>
      <x:c r="B10" s="4">
        <x:v>8</x:v>
      </x:c>
    </x:row>
    <x:row r="11" ht="28">
      <x:c r="A11" s="4" t="s">
        <x:v>18</x:v>
      </x:c>
      <x:c r="B11" s="4">
        <x:v>8</x:v>
      </x:c>
    </x:row>
  </x:sheetData>
  <x:mergeCells>
    <x:mergeCell ref="A1:H1"/>
    <x:mergeCell ref="F3:H3"/>
  </x:mergeCells>
  <x:pageMargins left="0.7" right="0.7" top="0.75" bottom="0.75" header="0.3" footer="0.3"/>
  <x:drawing xmlns:r="http://schemas.openxmlformats.org/officeDocument/2006/relationships" r:id="R1c635a4221cb4f0a"/>
  <x:tableParts count="1">
    <x:tablePart xmlns:r="http://schemas.openxmlformats.org/officeDocument/2006/relationships" r:id="R45f25ac3f6084ce9"/>
  </x:tableParts>
</x:worksheet>
</file>

<file path=xl/worksheets/sheet2.xml><?xml version="1.0" encoding="utf-8"?>
<x:worksheet xmlns:x="http://schemas.openxmlformats.org/spreadsheetml/2006/main">
  <x:sheetFormatPr defaultRowHeight="14"/>
  <x:cols>
    <x:col min="1" max="1" width="24.6640625" customWidth="1"/>
    <x:col min="2" max="2" width="6.75" customWidth="1"/>
    <x:col min="3" max="4" width="12.25" customWidth="1"/>
    <x:col min="5" max="5" width="28" customWidth="1"/>
    <x:col min="6" max="6" width="10.4140625" customWidth="1"/>
    <x:col min="7" max="7" width="12.25" customWidth="1"/>
    <x:col min="8" max="8" width="20.75" customWidth="1"/>
  </x:cols>
  <x:sheetData>
    <x:row r="1" ht="20" customHeight="1">
      <x:c r="A1" s="6" t="s">
        <x:v>19</x:v>
      </x:c>
      <x:c r="B1" s="6"/>
      <x:c r="C1" s="6"/>
      <x:c r="D1" s="6"/>
      <x:c r="E1" s="6"/>
      <x:c r="F1" s="6"/>
      <x:c r="G1" s="6"/>
      <x:c r="H1" s="6"/>
    </x:row>
    <x:row r="3">
      <x:c r="A3" s="3" t="s">
        <x:v>20</x:v>
      </x:c>
      <x:c r="B3" s="3" t="s">
        <x:v>21</x:v>
      </x:c>
      <x:c r="C3" s="3" t="s">
        <x:v>22</x:v>
      </x:c>
      <x:c r="D3" s="3" t="s">
        <x:v>23</x:v>
      </x:c>
      <x:c r="E3" s="3" t="s">
        <x:v>24</x:v>
      </x:c>
      <x:c r="F3" s="3" t="s">
        <x:v>25</x:v>
      </x:c>
      <x:c r="G3" s="3" t="s">
        <x:v>26</x:v>
      </x:c>
      <x:c r="H3" s="3" t="s">
        <x:v>27</x:v>
      </x:c>
    </x:row>
    <x:row r="4" ht="28">
      <x:c r="A4" s="4" t="s">
        <x:v>28</x:v>
      </x:c>
      <x:c r="B4" s="4" t="s">
        <x:v>29</x:v>
      </x:c>
      <x:c r="C4" s="4">
        <x:v>55</x:v>
      </x:c>
      <x:c r="D4" s="4">
        <x:v>55</x:v>
      </x:c>
      <x:c r="E4" s="4"/>
      <x:c r="F4" s="4" t="s">
        <x:v>30</x:v>
      </x:c>
      <x:c r="G4" s="4" t="s">
        <x:v>31</x:v>
      </x:c>
      <x:c r="H4" s="4" t="s">
        <x:v>32</x:v>
      </x:c>
    </x:row>
    <x:row r="5" ht="28">
      <x:c r="A5" s="4" t="s">
        <x:v>33</x:v>
      </x:c>
      <x:c r="B5" s="4" t="s">
        <x:v>29</x:v>
      </x:c>
      <x:c r="C5" s="4">
        <x:v>55</x:v>
      </x:c>
      <x:c r="D5" s="4">
        <x:v>55</x:v>
      </x:c>
      <x:c r="E5" s="4"/>
      <x:c r="F5" s="4" t="s">
        <x:v>30</x:v>
      </x:c>
      <x:c r="G5" s="4" t="s">
        <x:v>31</x:v>
      </x:c>
      <x:c r="H5" s="4" t="s">
        <x:v>32</x:v>
      </x:c>
    </x:row>
    <x:row r="6" ht="28">
      <x:c r="A6" s="4" t="s">
        <x:v>34</x:v>
      </x:c>
      <x:c r="B6" s="4" t="s">
        <x:v>29</x:v>
      </x:c>
      <x:c r="C6" s="4">
        <x:v>55</x:v>
      </x:c>
      <x:c r="D6" s="4">
        <x:v>55</x:v>
      </x:c>
      <x:c r="E6" s="4"/>
      <x:c r="F6" s="4" t="s">
        <x:v>30</x:v>
      </x:c>
      <x:c r="G6" s="4" t="s">
        <x:v>31</x:v>
      </x:c>
      <x:c r="H6" s="4" t="s">
        <x:v>32</x:v>
      </x:c>
    </x:row>
    <x:row r="7" ht="28">
      <x:c r="A7" s="4" t="s">
        <x:v>35</x:v>
      </x:c>
      <x:c r="B7" s="4" t="s">
        <x:v>29</x:v>
      </x:c>
      <x:c r="C7" s="4">
        <x:v>55</x:v>
      </x:c>
      <x:c r="D7" s="4">
        <x:v>55</x:v>
      </x:c>
      <x:c r="E7" s="4"/>
      <x:c r="F7" s="4" t="s">
        <x:v>30</x:v>
      </x:c>
      <x:c r="G7" s="4" t="s">
        <x:v>31</x:v>
      </x:c>
      <x:c r="H7" s="4" t="s">
        <x:v>32</x:v>
      </x:c>
    </x:row>
    <x:row r="8" ht="28">
      <x:c r="A8" s="4" t="s">
        <x:v>36</x:v>
      </x:c>
      <x:c r="B8" s="4" t="s">
        <x:v>29</x:v>
      </x:c>
      <x:c r="C8" s="4">
        <x:v>55</x:v>
      </x:c>
      <x:c r="D8" s="4">
        <x:v>55</x:v>
      </x:c>
      <x:c r="E8" s="4"/>
      <x:c r="F8" s="4" t="s">
        <x:v>30</x:v>
      </x:c>
      <x:c r="G8" s="4" t="s">
        <x:v>31</x:v>
      </x:c>
      <x:c r="H8" s="4" t="s">
        <x:v>32</x:v>
      </x:c>
    </x:row>
    <x:row r="9" ht="28">
      <x:c r="A9" s="4" t="s">
        <x:v>37</x:v>
      </x:c>
      <x:c r="B9" s="4" t="s">
        <x:v>29</x:v>
      </x:c>
      <x:c r="C9" s="4">
        <x:v>55</x:v>
      </x:c>
      <x:c r="D9" s="4">
        <x:v>55</x:v>
      </x:c>
      <x:c r="E9" s="4"/>
      <x:c r="F9" s="4" t="s">
        <x:v>30</x:v>
      </x:c>
      <x:c r="G9" s="4" t="s">
        <x:v>31</x:v>
      </x:c>
      <x:c r="H9" s="4" t="s">
        <x:v>32</x:v>
      </x:c>
    </x:row>
    <x:row r="10" ht="28">
      <x:c r="A10" s="4" t="s">
        <x:v>38</x:v>
      </x:c>
      <x:c r="B10" s="4" t="s">
        <x:v>29</x:v>
      </x:c>
      <x:c r="C10" s="4">
        <x:v>55</x:v>
      </x:c>
      <x:c r="D10" s="4">
        <x:v>55</x:v>
      </x:c>
      <x:c r="E10" s="4"/>
      <x:c r="F10" s="4" t="s">
        <x:v>30</x:v>
      </x:c>
      <x:c r="G10" s="4" t="s">
        <x:v>31</x:v>
      </x:c>
      <x:c r="H10" s="4" t="s">
        <x:v>32</x:v>
      </x:c>
    </x:row>
    <x:row r="11" ht="28">
      <x:c r="A11" s="4" t="s">
        <x:v>39</x:v>
      </x:c>
      <x:c r="B11" s="4" t="s">
        <x:v>29</x:v>
      </x:c>
      <x:c r="C11" s="4">
        <x:v>55</x:v>
      </x:c>
      <x:c r="D11" s="4">
        <x:v>55</x:v>
      </x:c>
      <x:c r="E11" s="4"/>
      <x:c r="F11" s="4" t="s">
        <x:v>30</x:v>
      </x:c>
      <x:c r="G11" s="4" t="s">
        <x:v>31</x:v>
      </x:c>
      <x:c r="H11" s="4" t="s">
        <x:v>32</x:v>
      </x:c>
    </x:row>
    <x:row r="12" ht="28">
      <x:c r="A12" s="4" t="s">
        <x:v>40</x:v>
      </x:c>
      <x:c r="B12" s="4" t="s">
        <x:v>29</x:v>
      </x:c>
      <x:c r="C12" s="4">
        <x:v>55</x:v>
      </x:c>
      <x:c r="D12" s="4">
        <x:v>1</x:v>
      </x:c>
      <x:c r="E12" s="4"/>
      <x:c r="F12" s="4" t="s">
        <x:v>30</x:v>
      </x:c>
      <x:c r="G12" s="4" t="s">
        <x:v>31</x:v>
      </x:c>
      <x:c r="H12" s="4" t="s">
        <x:v>32</x:v>
      </x:c>
    </x:row>
    <x:row r="13" ht="28">
      <x:c r="A13" s="4" t="s">
        <x:v>41</x:v>
      </x:c>
      <x:c r="B13" s="4" t="s">
        <x:v>29</x:v>
      </x:c>
      <x:c r="C13" s="4">
        <x:v>55</x:v>
      </x:c>
      <x:c r="D13" s="4">
        <x:v>1</x:v>
      </x:c>
      <x:c r="E13" s="4"/>
      <x:c r="F13" s="4" t="s">
        <x:v>30</x:v>
      </x:c>
      <x:c r="G13" s="4" t="s">
        <x:v>31</x:v>
      </x:c>
      <x:c r="H13" s="4" t="s">
        <x:v>32</x:v>
      </x:c>
    </x:row>
    <x:row r="14" ht="28">
      <x:c r="A14" s="4" t="s">
        <x:v>42</x:v>
      </x:c>
      <x:c r="B14" s="4" t="s">
        <x:v>29</x:v>
      </x:c>
      <x:c r="C14" s="4">
        <x:v>55</x:v>
      </x:c>
      <x:c r="D14" s="4">
        <x:v>1</x:v>
      </x:c>
      <x:c r="E14" s="4"/>
      <x:c r="F14" s="4" t="s">
        <x:v>30</x:v>
      </x:c>
      <x:c r="G14" s="4" t="s">
        <x:v>31</x:v>
      </x:c>
      <x:c r="H14" s="4" t="s">
        <x:v>32</x:v>
      </x:c>
    </x:row>
    <x:row r="15" ht="28">
      <x:c r="A15" s="4" t="s">
        <x:v>43</x:v>
      </x:c>
      <x:c r="B15" s="4" t="s">
        <x:v>29</x:v>
      </x:c>
      <x:c r="C15" s="4">
        <x:v>143</x:v>
      </x:c>
      <x:c r="D15" s="4">
        <x:v>143</x:v>
      </x:c>
      <x:c r="E15" s="4"/>
      <x:c r="F15" s="4" t="s">
        <x:v>30</x:v>
      </x:c>
      <x:c r="G15" s="4" t="s">
        <x:v>31</x:v>
      </x:c>
      <x:c r="H15" s="4" t="s">
        <x:v>32</x:v>
      </x:c>
    </x:row>
    <x:row r="16" ht="28">
      <x:c r="A16" s="4" t="s">
        <x:v>44</x:v>
      </x:c>
      <x:c r="B16" s="4" t="s">
        <x:v>29</x:v>
      </x:c>
      <x:c r="C16" s="4">
        <x:v>143</x:v>
      </x:c>
      <x:c r="D16" s="4">
        <x:v>98</x:v>
      </x:c>
      <x:c r="E16" s="4"/>
      <x:c r="F16" s="4" t="s">
        <x:v>30</x:v>
      </x:c>
      <x:c r="G16" s="4" t="s">
        <x:v>31</x:v>
      </x:c>
      <x:c r="H16" s="4" t="s">
        <x:v>32</x:v>
      </x:c>
    </x:row>
    <x:row r="17" ht="28">
      <x:c r="A17" s="4" t="s">
        <x:v>45</x:v>
      </x:c>
      <x:c r="B17" s="4" t="s">
        <x:v>29</x:v>
      </x:c>
      <x:c r="C17" s="4">
        <x:v>143</x:v>
      </x:c>
      <x:c r="D17" s="4">
        <x:v>33</x:v>
      </x:c>
      <x:c r="E17" s="4"/>
      <x:c r="F17" s="4" t="s">
        <x:v>30</x:v>
      </x:c>
      <x:c r="G17" s="4" t="s">
        <x:v>31</x:v>
      </x:c>
      <x:c r="H17" s="4" t="s">
        <x:v>32</x:v>
      </x:c>
    </x:row>
    <x:row r="18" ht="28">
      <x:c r="A18" s="4" t="s">
        <x:v>46</x:v>
      </x:c>
      <x:c r="B18" s="4" t="s">
        <x:v>29</x:v>
      </x:c>
      <x:c r="C18" s="4">
        <x:v>143</x:v>
      </x:c>
      <x:c r="D18" s="4">
        <x:v>33</x:v>
      </x:c>
      <x:c r="E18" s="4"/>
      <x:c r="F18" s="4" t="s">
        <x:v>30</x:v>
      </x:c>
      <x:c r="G18" s="4" t="s">
        <x:v>31</x:v>
      </x:c>
      <x:c r="H18" s="4" t="s">
        <x:v>32</x:v>
      </x:c>
    </x:row>
    <x:row r="19" ht="28">
      <x:c r="A19" s="4" t="s">
        <x:v>47</x:v>
      </x:c>
      <x:c r="B19" s="4" t="s">
        <x:v>29</x:v>
      </x:c>
      <x:c r="C19" s="4">
        <x:v>143</x:v>
      </x:c>
      <x:c r="D19" s="4">
        <x:v>65</x:v>
      </x:c>
      <x:c r="E19" s="4"/>
      <x:c r="F19" s="4" t="s">
        <x:v>30</x:v>
      </x:c>
      <x:c r="G19" s="4" t="s">
        <x:v>31</x:v>
      </x:c>
      <x:c r="H19" s="4" t="s">
        <x:v>32</x:v>
      </x:c>
    </x:row>
    <x:row r="20" ht="28">
      <x:c r="A20" s="4" t="s">
        <x:v>48</x:v>
      </x:c>
      <x:c r="B20" s="4" t="s">
        <x:v>29</x:v>
      </x:c>
      <x:c r="C20" s="4">
        <x:v>143</x:v>
      </x:c>
      <x:c r="D20" s="4">
        <x:v>65</x:v>
      </x:c>
      <x:c r="E20" s="4"/>
      <x:c r="F20" s="4" t="s">
        <x:v>30</x:v>
      </x:c>
      <x:c r="G20" s="4" t="s">
        <x:v>31</x:v>
      </x:c>
      <x:c r="H20" s="4" t="s">
        <x:v>32</x:v>
      </x:c>
    </x:row>
    <x:row r="21" ht="28">
      <x:c r="A21" s="4" t="s">
        <x:v>49</x:v>
      </x:c>
      <x:c r="B21" s="4" t="s">
        <x:v>29</x:v>
      </x:c>
      <x:c r="C21" s="4">
        <x:v>143</x:v>
      </x:c>
      <x:c r="D21" s="4">
        <x:v>13</x:v>
      </x:c>
      <x:c r="E21" s="4"/>
      <x:c r="F21" s="4" t="s">
        <x:v>30</x:v>
      </x:c>
      <x:c r="G21" s="4" t="s">
        <x:v>31</x:v>
      </x:c>
      <x:c r="H21" s="4" t="s">
        <x:v>32</x:v>
      </x:c>
    </x:row>
    <x:row r="22" ht="28">
      <x:c r="A22" s="4" t="s">
        <x:v>50</x:v>
      </x:c>
      <x:c r="B22" s="4" t="s">
        <x:v>29</x:v>
      </x:c>
      <x:c r="C22" s="4">
        <x:v>143</x:v>
      </x:c>
      <x:c r="D22" s="4">
        <x:v>45</x:v>
      </x:c>
      <x:c r="E22" s="4"/>
      <x:c r="F22" s="4" t="s">
        <x:v>30</x:v>
      </x:c>
      <x:c r="G22" s="4" t="s">
        <x:v>31</x:v>
      </x:c>
      <x:c r="H22" s="4" t="s">
        <x:v>32</x:v>
      </x:c>
    </x:row>
    <x:row r="23" ht="28">
      <x:c r="A23" s="4" t="s">
        <x:v>51</x:v>
      </x:c>
      <x:c r="B23" s="4" t="s">
        <x:v>29</x:v>
      </x:c>
      <x:c r="C23" s="4">
        <x:v>143</x:v>
      </x:c>
      <x:c r="D23" s="4">
        <x:v>12</x:v>
      </x:c>
      <x:c r="E23" s="4"/>
      <x:c r="F23" s="4" t="s">
        <x:v>30</x:v>
      </x:c>
      <x:c r="G23" s="4" t="s">
        <x:v>31</x:v>
      </x:c>
      <x:c r="H23" s="4" t="s">
        <x:v>32</x:v>
      </x:c>
    </x:row>
    <x:row r="24" ht="28">
      <x:c r="A24" s="4" t="s">
        <x:v>52</x:v>
      </x:c>
      <x:c r="B24" s="4" t="s">
        <x:v>29</x:v>
      </x:c>
      <x:c r="C24" s="4">
        <x:v>143</x:v>
      </x:c>
      <x:c r="D24" s="4">
        <x:v>65</x:v>
      </x:c>
      <x:c r="E24" s="4"/>
      <x:c r="F24" s="4" t="s">
        <x:v>30</x:v>
      </x:c>
      <x:c r="G24" s="4" t="s">
        <x:v>31</x:v>
      </x:c>
      <x:c r="H24" s="4" t="s">
        <x:v>32</x:v>
      </x:c>
    </x:row>
    <x:row r="25" ht="28">
      <x:c r="A25" s="4" t="s">
        <x:v>53</x:v>
      </x:c>
      <x:c r="B25" s="4" t="s">
        <x:v>29</x:v>
      </x:c>
      <x:c r="C25" s="4">
        <x:v>143</x:v>
      </x:c>
      <x:c r="D25" s="4">
        <x:v>78</x:v>
      </x:c>
      <x:c r="E25" s="4"/>
      <x:c r="F25" s="4" t="s">
        <x:v>30</x:v>
      </x:c>
      <x:c r="G25" s="4" t="s">
        <x:v>31</x:v>
      </x:c>
      <x:c r="H25" s="4" t="s">
        <x:v>32</x:v>
      </x:c>
    </x:row>
    <x:row r="26" ht="28">
      <x:c r="A26" s="4" t="s">
        <x:v>54</x:v>
      </x:c>
      <x:c r="B26" s="4" t="s">
        <x:v>29</x:v>
      </x:c>
      <x:c r="C26" s="4">
        <x:v>78</x:v>
      </x:c>
      <x:c r="D26" s="4">
        <x:v>63</x:v>
      </x:c>
      <x:c r="E26" s="4"/>
      <x:c r="F26" s="4" t="s">
        <x:v>30</x:v>
      </x:c>
      <x:c r="G26" s="4" t="s">
        <x:v>31</x:v>
      </x:c>
      <x:c r="H26" s="4" t="s">
        <x:v>32</x:v>
      </x:c>
    </x:row>
    <x:row r="27" ht="28">
      <x:c r="A27" s="4" t="s">
        <x:v>55</x:v>
      </x:c>
      <x:c r="B27" s="4" t="s">
        <x:v>29</x:v>
      </x:c>
      <x:c r="C27" s="4">
        <x:v>78</x:v>
      </x:c>
      <x:c r="D27" s="4">
        <x:v>48</x:v>
      </x:c>
      <x:c r="E27" s="4"/>
      <x:c r="F27" s="4" t="s">
        <x:v>30</x:v>
      </x:c>
      <x:c r="G27" s="4" t="s">
        <x:v>31</x:v>
      </x:c>
      <x:c r="H27" s="4" t="s">
        <x:v>32</x:v>
      </x:c>
    </x:row>
    <x:row r="28" ht="28">
      <x:c r="A28" s="4" t="s">
        <x:v>56</x:v>
      </x:c>
      <x:c r="B28" s="4" t="s">
        <x:v>29</x:v>
      </x:c>
      <x:c r="C28" s="4">
        <x:v>78</x:v>
      </x:c>
      <x:c r="D28" s="4">
        <x:v>6</x:v>
      </x:c>
      <x:c r="E28" s="4"/>
      <x:c r="F28" s="4" t="s">
        <x:v>30</x:v>
      </x:c>
      <x:c r="G28" s="4" t="s">
        <x:v>31</x:v>
      </x:c>
      <x:c r="H28" s="4" t="s">
        <x:v>32</x:v>
      </x:c>
    </x:row>
    <x:row r="29" ht="28">
      <x:c r="A29" s="4" t="s">
        <x:v>57</x:v>
      </x:c>
      <x:c r="B29" s="4" t="s">
        <x:v>29</x:v>
      </x:c>
      <x:c r="C29" s="4">
        <x:v>78</x:v>
      </x:c>
      <x:c r="D29" s="4">
        <x:v>20</x:v>
      </x:c>
      <x:c r="E29" s="4"/>
      <x:c r="F29" s="4" t="s">
        <x:v>30</x:v>
      </x:c>
      <x:c r="G29" s="4" t="s">
        <x:v>31</x:v>
      </x:c>
      <x:c r="H29" s="4" t="s">
        <x:v>32</x:v>
      </x:c>
    </x:row>
    <x:row r="30" ht="28">
      <x:c r="A30" s="4" t="s">
        <x:v>58</x:v>
      </x:c>
      <x:c r="B30" s="4" t="s">
        <x:v>29</x:v>
      </x:c>
      <x:c r="C30" s="4">
        <x:v>78</x:v>
      </x:c>
      <x:c r="D30" s="4">
        <x:v>63</x:v>
      </x:c>
      <x:c r="E30" s="4"/>
      <x:c r="F30" s="4" t="s">
        <x:v>30</x:v>
      </x:c>
      <x:c r="G30" s="4" t="s">
        <x:v>31</x:v>
      </x:c>
      <x:c r="H30" s="4" t="s">
        <x:v>32</x:v>
      </x:c>
    </x:row>
    <x:row r="31" ht="28">
      <x:c r="A31" s="4" t="s">
        <x:v>59</x:v>
      </x:c>
      <x:c r="B31" s="4" t="s">
        <x:v>29</x:v>
      </x:c>
      <x:c r="C31" s="4">
        <x:v>78</x:v>
      </x:c>
      <x:c r="D31" s="4">
        <x:v>9</x:v>
      </x:c>
      <x:c r="E31" s="4"/>
      <x:c r="F31" s="4" t="s">
        <x:v>30</x:v>
      </x:c>
      <x:c r="G31" s="4" t="s">
        <x:v>31</x:v>
      </x:c>
      <x:c r="H31" s="4" t="s">
        <x:v>32</x:v>
      </x:c>
    </x:row>
    <x:row r="32" ht="28">
      <x:c r="A32" s="4" t="s">
        <x:v>60</x:v>
      </x:c>
      <x:c r="B32" s="4" t="s">
        <x:v>29</x:v>
      </x:c>
      <x:c r="C32" s="4">
        <x:v>78</x:v>
      </x:c>
      <x:c r="D32" s="4">
        <x:v>2</x:v>
      </x:c>
      <x:c r="E32" s="4"/>
      <x:c r="F32" s="4" t="s">
        <x:v>30</x:v>
      </x:c>
      <x:c r="G32" s="4" t="s">
        <x:v>31</x:v>
      </x:c>
      <x:c r="H32" s="4" t="s">
        <x:v>32</x:v>
      </x:c>
    </x:row>
    <x:row r="33" ht="28">
      <x:c r="A33" s="4" t="s">
        <x:v>61</x:v>
      </x:c>
      <x:c r="B33" s="4" t="s">
        <x:v>29</x:v>
      </x:c>
      <x:c r="C33" s="4">
        <x:v>78</x:v>
      </x:c>
      <x:c r="D33" s="4">
        <x:v>10</x:v>
      </x:c>
      <x:c r="E33" s="4"/>
      <x:c r="F33" s="4" t="s">
        <x:v>30</x:v>
      </x:c>
      <x:c r="G33" s="4" t="s">
        <x:v>31</x:v>
      </x:c>
      <x:c r="H33" s="4" t="s">
        <x:v>32</x:v>
      </x:c>
    </x:row>
    <x:row r="34" ht="28">
      <x:c r="A34" s="4" t="s">
        <x:v>62</x:v>
      </x:c>
      <x:c r="B34" s="4" t="s">
        <x:v>29</x:v>
      </x:c>
      <x:c r="C34" s="4">
        <x:v>78</x:v>
      </x:c>
      <x:c r="D34" s="4">
        <x:v>11</x:v>
      </x:c>
      <x:c r="E34" s="4"/>
      <x:c r="F34" s="4" t="s">
        <x:v>30</x:v>
      </x:c>
      <x:c r="G34" s="4" t="s">
        <x:v>31</x:v>
      </x:c>
      <x:c r="H34" s="4" t="s">
        <x:v>32</x:v>
      </x:c>
    </x:row>
    <x:row r="35" ht="28">
      <x:c r="A35" s="4" t="s">
        <x:v>63</x:v>
      </x:c>
      <x:c r="B35" s="4" t="s">
        <x:v>29</x:v>
      </x:c>
      <x:c r="C35" s="4">
        <x:v>78</x:v>
      </x:c>
      <x:c r="D35" s="4">
        <x:v>11</x:v>
      </x:c>
      <x:c r="E35" s="4"/>
      <x:c r="F35" s="4" t="s">
        <x:v>30</x:v>
      </x:c>
      <x:c r="G35" s="4" t="s">
        <x:v>31</x:v>
      </x:c>
      <x:c r="H35" s="4" t="s">
        <x:v>32</x:v>
      </x:c>
    </x:row>
    <x:row r="36" ht="28">
      <x:c r="A36" s="4" t="s">
        <x:v>64</x:v>
      </x:c>
      <x:c r="B36" s="4" t="s">
        <x:v>29</x:v>
      </x:c>
      <x:c r="C36" s="4">
        <x:v>1</x:v>
      </x:c>
      <x:c r="D36" s="4">
        <x:v>1</x:v>
      </x:c>
      <x:c r="E36" s="4"/>
      <x:c r="F36" s="4" t="s">
        <x:v>30</x:v>
      </x:c>
      <x:c r="G36" s="4" t="s">
        <x:v>31</x:v>
      </x:c>
      <x:c r="H36" s="4" t="s">
        <x:v>32</x:v>
      </x:c>
    </x:row>
    <x:row r="37" ht="28">
      <x:c r="A37" s="4" t="s">
        <x:v>65</x:v>
      </x:c>
      <x:c r="B37" s="4" t="s">
        <x:v>29</x:v>
      </x:c>
      <x:c r="C37" s="4">
        <x:v>1</x:v>
      </x:c>
      <x:c r="D37" s="4">
        <x:v>1</x:v>
      </x:c>
      <x:c r="E37" s="4"/>
      <x:c r="F37" s="4" t="s">
        <x:v>30</x:v>
      </x:c>
      <x:c r="G37" s="4" t="s">
        <x:v>31</x:v>
      </x:c>
      <x:c r="H37" s="4" t="s">
        <x:v>32</x:v>
      </x:c>
    </x:row>
    <x:row r="38" ht="28">
      <x:c r="A38" s="4" t="s">
        <x:v>66</x:v>
      </x:c>
      <x:c r="B38" s="4" t="s">
        <x:v>29</x:v>
      </x:c>
      <x:c r="C38" s="4">
        <x:v>1</x:v>
      </x:c>
      <x:c r="D38" s="4">
        <x:v>1</x:v>
      </x:c>
      <x:c r="E38" s="4"/>
      <x:c r="F38" s="4" t="s">
        <x:v>30</x:v>
      </x:c>
      <x:c r="G38" s="4" t="s">
        <x:v>31</x:v>
      </x:c>
      <x:c r="H38" s="4" t="s">
        <x:v>32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2baaf77b06844478"/>
  </x:tableParts>
</x:worksheet>
</file>

<file path=xl/worksheets/sheet3.xml><?xml version="1.0" encoding="utf-8"?>
<x:worksheet xmlns:x="http://schemas.openxmlformats.org/spreadsheetml/2006/main">
  <x:sheetFormatPr defaultRowHeight="14"/>
  <x:cols>
    <x:col min="1" max="1" width="16.5" customWidth="1"/>
    <x:col min="2" max="2" width="34" customWidth="1"/>
    <x:col min="3" max="3" width="6.75" customWidth="1"/>
    <x:col min="4" max="4" width="8.5" customWidth="1"/>
    <x:col min="5" max="5" width="10.4140625" customWidth="1"/>
    <x:col min="6" max="8" width="8.4140625" customWidth="1"/>
    <x:col min="9" max="9" width="6.75" customWidth="1"/>
    <x:col min="10" max="10" width="34" customWidth="1"/>
  </x:cols>
  <x:sheetData>
    <x:row r="1" ht="20" customHeight="1">
      <x:c r="A1" s="6" t="s">
        <x:v>67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3">
      <x:c r="A3" s="3" t="s">
        <x:v>68</x:v>
      </x:c>
      <x:c r="B3" s="3" t="s">
        <x:v>69</x:v>
      </x:c>
      <x:c r="C3" s="3" t="s">
        <x:v>70</x:v>
      </x:c>
      <x:c r="D3" s="3" t="s">
        <x:v>71</x:v>
      </x:c>
      <x:c r="E3" s="3" t="s">
        <x:v>72</x:v>
      </x:c>
      <x:c r="F3" s="3" t="s">
        <x:v>73</x:v>
      </x:c>
      <x:c r="G3" s="3" t="s">
        <x:v>74</x:v>
      </x:c>
      <x:c r="H3" s="3" t="s">
        <x:v>75</x:v>
      </x:c>
      <x:c r="I3" s="3" t="s">
        <x:v>76</x:v>
      </x:c>
      <x:c r="J3" s="3" t="s">
        <x:v>77</x:v>
      </x:c>
    </x:row>
    <x:row r="4">
      <x:c r="A4" s="4" t="s">
        <x:v>78</x:v>
      </x:c>
      <x:c r="B4" s="4" t="s">
        <x:v>79</x:v>
      </x:c>
      <x:c r="C4" s="4" t="s">
        <x:v>80</x:v>
      </x:c>
      <x:c r="D4" s="4" t="s">
        <x:v>81</x:v>
      </x:c>
      <x:c r="E4" s="4" t="s">
        <x:v>82</x:v>
      </x:c>
      <x:c r="F4" s="4" t="s">
        <x:v>82</x:v>
      </x:c>
      <x:c r="G4" s="4" t="s">
        <x:v>82</x:v>
      </x:c>
      <x:c r="H4" s="4" t="s">
        <x:v>82</x:v>
      </x:c>
      <x:c r="I4" s="4" t="s">
        <x:v>82</x:v>
      </x:c>
      <x:c r="J4" s="4" t="s">
        <x:v>83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c190540a79d74d23"/>
  </x:tableParts>
</x:worksheet>
</file>

<file path=xl/worksheets/sheet4.xml><?xml version="1.0" encoding="utf-8"?>
<x:worksheet xmlns:x="http://schemas.openxmlformats.org/spreadsheetml/2006/main">
  <x:sheetFormatPr defaultRowHeight="14"/>
  <x:cols>
    <x:col min="1" max="1" width="32.5" customWidth="1"/>
    <x:col min="2" max="2" width="28" customWidth="1"/>
    <x:col min="3" max="3" width="8.5" customWidth="1"/>
    <x:col min="4" max="4" width="22.5" customWidth="1"/>
    <x:col min="5" max="5" width="8.4140625" customWidth="1"/>
    <x:col min="6" max="6" width="17.6640625" customWidth="1"/>
    <x:col min="7" max="7" width="15.25" customWidth="1"/>
    <x:col min="8" max="9" width="16.9140625" customWidth="1"/>
    <x:col min="10" max="10" width="48" customWidth="1"/>
    <x:col min="11" max="11" width="42" customWidth="1"/>
    <x:col min="12" max="12" width="35" customWidth="1"/>
    <x:col min="13" max="13" width="42" customWidth="1"/>
  </x:cols>
  <x:sheetData>
    <x:row r="1" ht="20" customHeight="1">
      <x:c r="A1" s="6" t="s">
        <x:v>84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</x:row>
    <x:row r="3">
      <x:c r="A3" s="3" t="s">
        <x:v>85</x:v>
      </x:c>
      <x:c r="B3" s="3" t="s">
        <x:v>12</x:v>
      </x:c>
      <x:c r="C3" s="3" t="s">
        <x:v>86</x:v>
      </x:c>
      <x:c r="D3" s="3" t="s">
        <x:v>72</x:v>
      </x:c>
      <x:c r="E3" s="3" t="s">
        <x:v>73</x:v>
      </x:c>
      <x:c r="F3" s="3" t="s">
        <x:v>74</x:v>
      </x:c>
      <x:c r="G3" s="3" t="s">
        <x:v>75</x:v>
      </x:c>
      <x:c r="H3" s="3" t="s">
        <x:v>87</x:v>
      </x:c>
      <x:c r="I3" s="3" t="s">
        <x:v>88</x:v>
      </x:c>
      <x:c r="J3" s="3" t="s">
        <x:v>89</x:v>
      </x:c>
      <x:c r="K3" s="3" t="s">
        <x:v>90</x:v>
      </x:c>
      <x:c r="L3" s="3" t="s">
        <x:v>20</x:v>
      </x:c>
      <x:c r="M3" s="3" t="s">
        <x:v>91</x:v>
      </x:c>
    </x:row>
    <x:row r="4" ht="56">
      <x:c r="A4" s="4" t="s">
        <x:v>92</x:v>
      </x:c>
      <x:c r="B4" s="4" t="s">
        <x:v>16</x:v>
      </x:c>
      <x:c r="C4" s="4" t="s">
        <x:v>93</x:v>
      </x:c>
      <x:c r="D4" s="4" t="s">
        <x:v>94</x:v>
      </x:c>
      <x:c r="E4" s="4" t="s">
        <x:v>95</x:v>
      </x:c>
      <x:c r="F4" s="4" t="s">
        <x:v>96</x:v>
      </x:c>
      <x:c r="G4" s="4" t="s">
        <x:v>97</x:v>
      </x:c>
      <x:c r="H4" s="4" t="s">
        <x:v>98</x:v>
      </x:c>
      <x:c r="I4" s="4" t="s">
        <x:v>99</x:v>
      </x:c>
      <x:c r="J4" s="4" t="s">
        <x:v>100</x:v>
      </x:c>
      <x:c r="K4" s="4" t="s">
        <x:v>101</x:v>
      </x:c>
      <x:c r="L4" s="4" t="s">
        <x:v>102</x:v>
      </x:c>
      <x:c r="M4" s="4" t="s">
        <x:v>103</x:v>
      </x:c>
    </x:row>
    <x:row r="5" ht="70">
      <x:c r="A5" s="4" t="s">
        <x:v>104</x:v>
      </x:c>
      <x:c r="B5" s="4" t="s">
        <x:v>17</x:v>
      </x:c>
      <x:c r="C5" s="4" t="s">
        <x:v>105</x:v>
      </x:c>
      <x:c r="D5" s="4" t="s">
        <x:v>106</x:v>
      </x:c>
      <x:c r="E5" s="4" t="s">
        <x:v>107</x:v>
      </x:c>
      <x:c r="F5" s="4" t="s">
        <x:v>108</x:v>
      </x:c>
      <x:c r="G5" s="4" t="s">
        <x:v>109</x:v>
      </x:c>
      <x:c r="H5" s="4" t="s">
        <x:v>110</x:v>
      </x:c>
      <x:c r="I5" s="4" t="s">
        <x:v>111</x:v>
      </x:c>
      <x:c r="J5" s="4" t="s">
        <x:v>112</x:v>
      </x:c>
      <x:c r="K5" s="4" t="s">
        <x:v>113</x:v>
      </x:c>
      <x:c r="L5" s="4" t="s">
        <x:v>114</x:v>
      </x:c>
      <x:c r="M5" s="4" t="s">
        <x:v>115</x:v>
      </x:c>
    </x:row>
    <x:row r="6" ht="70">
      <x:c r="A6" s="4" t="s">
        <x:v>116</x:v>
      </x:c>
      <x:c r="B6" s="4" t="s">
        <x:v>17</x:v>
      </x:c>
      <x:c r="C6" s="4" t="s">
        <x:v>105</x:v>
      </x:c>
      <x:c r="D6" s="4" t="s">
        <x:v>106</x:v>
      </x:c>
      <x:c r="E6" s="4" t="s">
        <x:v>117</x:v>
      </x:c>
      <x:c r="F6" s="4" t="s">
        <x:v>118</x:v>
      </x:c>
      <x:c r="G6" s="4" t="s">
        <x:v>119</x:v>
      </x:c>
      <x:c r="H6" s="4" t="s">
        <x:v>120</x:v>
      </x:c>
      <x:c r="I6" s="4" t="s">
        <x:v>121</x:v>
      </x:c>
      <x:c r="J6" s="4" t="s">
        <x:v>122</x:v>
      </x:c>
      <x:c r="K6" s="4" t="s">
        <x:v>113</x:v>
      </x:c>
      <x:c r="L6" s="4" t="s">
        <x:v>114</x:v>
      </x:c>
      <x:c r="M6" s="4" t="s">
        <x:v>115</x:v>
      </x:c>
    </x:row>
    <x:row r="7" ht="42">
      <x:c r="A7" s="4" t="s">
        <x:v>123</x:v>
      </x:c>
      <x:c r="B7" s="4" t="s">
        <x:v>17</x:v>
      </x:c>
      <x:c r="C7" s="4" t="s">
        <x:v>105</x:v>
      </x:c>
      <x:c r="D7" s="4" t="s">
        <x:v>106</x:v>
      </x:c>
      <x:c r="E7" s="4" t="s">
        <x:v>124</x:v>
      </x:c>
      <x:c r="F7" s="4" t="s">
        <x:v>125</x:v>
      </x:c>
      <x:c r="G7" s="4" t="s">
        <x:v>126</x:v>
      </x:c>
      <x:c r="H7" s="4" t="s">
        <x:v>127</x:v>
      </x:c>
      <x:c r="I7" s="4" t="s">
        <x:v>128</x:v>
      </x:c>
      <x:c r="J7" s="4" t="s">
        <x:v>129</x:v>
      </x:c>
      <x:c r="K7" s="4" t="s">
        <x:v>113</x:v>
      </x:c>
      <x:c r="L7" s="4" t="s">
        <x:v>114</x:v>
      </x:c>
      <x:c r="M7" s="4" t="s">
        <x:v>115</x:v>
      </x:c>
    </x:row>
    <x:row r="8" ht="56">
      <x:c r="A8" s="4" t="s">
        <x:v>130</x:v>
      </x:c>
      <x:c r="B8" s="4" t="s">
        <x:v>17</x:v>
      </x:c>
      <x:c r="C8" s="4" t="s">
        <x:v>105</x:v>
      </x:c>
      <x:c r="D8" s="4" t="s">
        <x:v>106</x:v>
      </x:c>
      <x:c r="E8" s="4" t="s">
        <x:v>131</x:v>
      </x:c>
      <x:c r="F8" s="4" t="s">
        <x:v>132</x:v>
      </x:c>
      <x:c r="G8" s="4" t="s">
        <x:v>133</x:v>
      </x:c>
      <x:c r="H8" s="4" t="s">
        <x:v>134</x:v>
      </x:c>
      <x:c r="I8" s="4" t="s">
        <x:v>98</x:v>
      </x:c>
      <x:c r="J8" s="4" t="s">
        <x:v>135</x:v>
      </x:c>
      <x:c r="K8" s="4" t="s">
        <x:v>113</x:v>
      </x:c>
      <x:c r="L8" s="4" t="s">
        <x:v>114</x:v>
      </x:c>
      <x:c r="M8" s="4" t="s">
        <x:v>115</x:v>
      </x:c>
    </x:row>
    <x:row r="9" ht="56">
      <x:c r="A9" s="4" t="s">
        <x:v>136</x:v>
      </x:c>
      <x:c r="B9" s="4" t="s">
        <x:v>17</x:v>
      </x:c>
      <x:c r="C9" s="4" t="s">
        <x:v>105</x:v>
      </x:c>
      <x:c r="D9" s="4" t="s">
        <x:v>106</x:v>
      </x:c>
      <x:c r="E9" s="4" t="s">
        <x:v>137</x:v>
      </x:c>
      <x:c r="F9" s="4" t="s">
        <x:v>132</x:v>
      </x:c>
      <x:c r="G9" s="4" t="s">
        <x:v>133</x:v>
      </x:c>
      <x:c r="H9" s="4" t="s">
        <x:v>134</x:v>
      </x:c>
      <x:c r="I9" s="4" t="s">
        <x:v>98</x:v>
      </x:c>
      <x:c r="J9" s="4" t="s">
        <x:v>138</x:v>
      </x:c>
      <x:c r="K9" s="4" t="s">
        <x:v>113</x:v>
      </x:c>
      <x:c r="L9" s="4" t="s">
        <x:v>114</x:v>
      </x:c>
      <x:c r="M9" s="4" t="s">
        <x:v>115</x:v>
      </x:c>
    </x:row>
    <x:row r="10" ht="56">
      <x:c r="A10" s="4" t="s">
        <x:v>139</x:v>
      </x:c>
      <x:c r="B10" s="4" t="s">
        <x:v>17</x:v>
      </x:c>
      <x:c r="C10" s="4" t="s">
        <x:v>105</x:v>
      </x:c>
      <x:c r="D10" s="4" t="s">
        <x:v>106</x:v>
      </x:c>
      <x:c r="E10" s="4" t="s">
        <x:v>140</x:v>
      </x:c>
      <x:c r="F10" s="4" t="s">
        <x:v>132</x:v>
      </x:c>
      <x:c r="G10" s="4" t="s">
        <x:v>133</x:v>
      </x:c>
      <x:c r="H10" s="4" t="s">
        <x:v>134</x:v>
      </x:c>
      <x:c r="I10" s="4" t="s">
        <x:v>98</x:v>
      </x:c>
      <x:c r="J10" s="4" t="s">
        <x:v>141</x:v>
      </x:c>
      <x:c r="K10" s="4" t="s">
        <x:v>113</x:v>
      </x:c>
      <x:c r="L10" s="4" t="s">
        <x:v>114</x:v>
      </x:c>
      <x:c r="M10" s="4" t="s">
        <x:v>115</x:v>
      </x:c>
    </x:row>
    <x:row r="11" ht="56">
      <x:c r="A11" s="4" t="s">
        <x:v>142</x:v>
      </x:c>
      <x:c r="B11" s="4" t="s">
        <x:v>17</x:v>
      </x:c>
      <x:c r="C11" s="4" t="s">
        <x:v>93</x:v>
      </x:c>
      <x:c r="D11" s="4" t="s">
        <x:v>106</x:v>
      </x:c>
      <x:c r="E11" s="4" t="s">
        <x:v>143</x:v>
      </x:c>
      <x:c r="F11" s="4" t="s">
        <x:v>144</x:v>
      </x:c>
      <x:c r="G11" s="4" t="s">
        <x:v>145</x:v>
      </x:c>
      <x:c r="H11" s="4" t="s">
        <x:v>146</x:v>
      </x:c>
      <x:c r="I11" s="4" t="s">
        <x:v>147</x:v>
      </x:c>
      <x:c r="J11" s="4" t="s">
        <x:v>148</x:v>
      </x:c>
      <x:c r="K11" s="4" t="s">
        <x:v>149</x:v>
      </x:c>
      <x:c r="L11" s="4" t="s">
        <x:v>114</x:v>
      </x:c>
      <x:c r="M11" s="4" t="s">
        <x:v>115</x:v>
      </x:c>
    </x:row>
    <x:row r="12" ht="98">
      <x:c r="A12" s="4" t="s">
        <x:v>150</x:v>
      </x:c>
      <x:c r="B12" s="4" t="s">
        <x:v>17</x:v>
      </x:c>
      <x:c r="C12" s="4" t="s">
        <x:v>93</x:v>
      </x:c>
      <x:c r="D12" s="4" t="s">
        <x:v>106</x:v>
      </x:c>
      <x:c r="E12" s="4" t="s">
        <x:v>151</x:v>
      </x:c>
      <x:c r="F12" s="4" t="s">
        <x:v>144</x:v>
      </x:c>
      <x:c r="G12" s="4" t="s">
        <x:v>145</x:v>
      </x:c>
      <x:c r="H12" s="4" t="s">
        <x:v>146</x:v>
      </x:c>
      <x:c r="I12" s="4" t="s">
        <x:v>147</x:v>
      </x:c>
      <x:c r="J12" s="4" t="s">
        <x:v>152</x:v>
      </x:c>
      <x:c r="K12" s="4" t="s">
        <x:v>149</x:v>
      </x:c>
      <x:c r="L12" s="4" t="s">
        <x:v>114</x:v>
      </x:c>
      <x:c r="M12" s="4" t="s">
        <x:v>115</x:v>
      </x:c>
    </x:row>
    <x:row r="13" ht="28">
      <x:c r="A13" s="4" t="s">
        <x:v>153</x:v>
      </x:c>
      <x:c r="B13" s="4" t="s">
        <x:v>18</x:v>
      </x:c>
      <x:c r="C13" s="4" t="s">
        <x:v>105</x:v>
      </x:c>
      <x:c r="D13" s="4" t="s">
        <x:v>154</x:v>
      </x:c>
      <x:c r="E13" s="4" t="s">
        <x:v>155</x:v>
      </x:c>
      <x:c r="F13" s="4" t="s">
        <x:v>156</x:v>
      </x:c>
      <x:c r="G13" s="4" t="s">
        <x:v>157</x:v>
      </x:c>
      <x:c r="H13" s="4" t="s">
        <x:v>158</x:v>
      </x:c>
      <x:c r="I13" s="4" t="s">
        <x:v>134</x:v>
      </x:c>
      <x:c r="J13" s="4" t="s">
        <x:v>159</x:v>
      </x:c>
      <x:c r="K13" s="4" t="s">
        <x:v>160</x:v>
      </x:c>
      <x:c r="L13" s="4" t="s">
        <x:v>161</x:v>
      </x:c>
      <x:c r="M13" s="4" t="s">
        <x:v>162</x:v>
      </x:c>
    </x:row>
    <x:row r="14" ht="42">
      <x:c r="A14" s="4" t="s">
        <x:v>163</x:v>
      </x:c>
      <x:c r="B14" s="4" t="s">
        <x:v>18</x:v>
      </x:c>
      <x:c r="C14" s="4" t="s">
        <x:v>105</x:v>
      </x:c>
      <x:c r="D14" s="4" t="s">
        <x:v>154</x:v>
      </x:c>
      <x:c r="E14" s="4" t="s">
        <x:v>164</x:v>
      </x:c>
      <x:c r="F14" s="4" t="s">
        <x:v>156</x:v>
      </x:c>
      <x:c r="G14" s="4" t="s">
        <x:v>157</x:v>
      </x:c>
      <x:c r="H14" s="4" t="s">
        <x:v>158</x:v>
      </x:c>
      <x:c r="I14" s="4" t="s">
        <x:v>134</x:v>
      </x:c>
      <x:c r="J14" s="4" t="s">
        <x:v>159</x:v>
      </x:c>
      <x:c r="K14" s="4" t="s">
        <x:v>165</x:v>
      </x:c>
      <x:c r="L14" s="4" t="s">
        <x:v>161</x:v>
      </x:c>
      <x:c r="M14" s="4" t="s">
        <x:v>162</x:v>
      </x:c>
    </x:row>
    <x:row r="15" ht="28">
      <x:c r="A15" s="4" t="s">
        <x:v>166</x:v>
      </x:c>
      <x:c r="B15" s="4" t="s">
        <x:v>18</x:v>
      </x:c>
      <x:c r="C15" s="4" t="s">
        <x:v>105</x:v>
      </x:c>
      <x:c r="D15" s="4" t="s">
        <x:v>154</x:v>
      </x:c>
      <x:c r="E15" s="4" t="s">
        <x:v>167</x:v>
      </x:c>
      <x:c r="F15" s="4" t="s">
        <x:v>156</x:v>
      </x:c>
      <x:c r="G15" s="4" t="s">
        <x:v>168</x:v>
      </x:c>
      <x:c r="H15" s="4" t="s">
        <x:v>169</x:v>
      </x:c>
      <x:c r="I15" s="4" t="s">
        <x:v>170</x:v>
      </x:c>
      <x:c r="J15" s="4" t="s">
        <x:v>171</x:v>
      </x:c>
      <x:c r="K15" s="4" t="s">
        <x:v>160</x:v>
      </x:c>
      <x:c r="L15" s="4" t="s">
        <x:v>161</x:v>
      </x:c>
      <x:c r="M15" s="4" t="s">
        <x:v>162</x:v>
      </x:c>
    </x:row>
    <x:row r="16" ht="28">
      <x:c r="A16" s="4" t="s">
        <x:v>172</x:v>
      </x:c>
      <x:c r="B16" s="4" t="s">
        <x:v>18</x:v>
      </x:c>
      <x:c r="C16" s="4" t="s">
        <x:v>105</x:v>
      </x:c>
      <x:c r="D16" s="4" t="s">
        <x:v>154</x:v>
      </x:c>
      <x:c r="E16" s="4" t="s">
        <x:v>173</x:v>
      </x:c>
      <x:c r="F16" s="4" t="s">
        <x:v>156</x:v>
      </x:c>
      <x:c r="G16" s="4" t="s">
        <x:v>174</x:v>
      </x:c>
      <x:c r="H16" s="4" t="s">
        <x:v>175</x:v>
      </x:c>
      <x:c r="I16" s="4" t="s">
        <x:v>176</x:v>
      </x:c>
      <x:c r="J16" s="4" t="s">
        <x:v>177</x:v>
      </x:c>
      <x:c r="K16" s="4" t="s">
        <x:v>160</x:v>
      </x:c>
      <x:c r="L16" s="4" t="s">
        <x:v>161</x:v>
      </x:c>
      <x:c r="M16" s="4" t="s">
        <x:v>162</x:v>
      </x:c>
    </x:row>
    <x:row r="17" ht="42">
      <x:c r="A17" s="4" t="s">
        <x:v>178</x:v>
      </x:c>
      <x:c r="B17" s="4" t="s">
        <x:v>18</x:v>
      </x:c>
      <x:c r="C17" s="4" t="s">
        <x:v>105</x:v>
      </x:c>
      <x:c r="D17" s="4" t="s">
        <x:v>154</x:v>
      </x:c>
      <x:c r="E17" s="4" t="s">
        <x:v>179</x:v>
      </x:c>
      <x:c r="F17" s="4" t="s">
        <x:v>156</x:v>
      </x:c>
      <x:c r="G17" s="4" t="s">
        <x:v>180</x:v>
      </x:c>
      <x:c r="H17" s="4" t="s">
        <x:v>181</x:v>
      </x:c>
      <x:c r="I17" s="4" t="s">
        <x:v>182</x:v>
      </x:c>
      <x:c r="J17" s="4" t="s">
        <x:v>183</x:v>
      </x:c>
      <x:c r="K17" s="4" t="s">
        <x:v>160</x:v>
      </x:c>
      <x:c r="L17" s="4" t="s">
        <x:v>161</x:v>
      </x:c>
      <x:c r="M17" s="4" t="s">
        <x:v>162</x:v>
      </x:c>
    </x:row>
    <x:row r="18" ht="28">
      <x:c r="A18" s="4" t="s">
        <x:v>184</x:v>
      </x:c>
      <x:c r="B18" s="4" t="s">
        <x:v>18</x:v>
      </x:c>
      <x:c r="C18" s="4" t="s">
        <x:v>105</x:v>
      </x:c>
      <x:c r="D18" s="4" t="s">
        <x:v>154</x:v>
      </x:c>
      <x:c r="E18" s="4" t="s">
        <x:v>185</x:v>
      </x:c>
      <x:c r="F18" s="4" t="s">
        <x:v>156</x:v>
      </x:c>
      <x:c r="G18" s="4" t="s">
        <x:v>186</x:v>
      </x:c>
      <x:c r="H18" s="4" t="s">
        <x:v>187</x:v>
      </x:c>
      <x:c r="I18" s="4" t="s">
        <x:v>188</x:v>
      </x:c>
      <x:c r="J18" s="4" t="s">
        <x:v>189</x:v>
      </x:c>
      <x:c r="K18" s="4" t="s">
        <x:v>160</x:v>
      </x:c>
      <x:c r="L18" s="4" t="s">
        <x:v>161</x:v>
      </x:c>
      <x:c r="M18" s="4" t="s">
        <x:v>162</x:v>
      </x:c>
    </x:row>
    <x:row r="19" ht="42">
      <x:c r="A19" s="4" t="s">
        <x:v>190</x:v>
      </x:c>
      <x:c r="B19" s="4" t="s">
        <x:v>18</x:v>
      </x:c>
      <x:c r="C19" s="4" t="s">
        <x:v>105</x:v>
      </x:c>
      <x:c r="D19" s="4" t="s">
        <x:v>154</x:v>
      </x:c>
      <x:c r="E19" s="4" t="s">
        <x:v>191</x:v>
      </x:c>
      <x:c r="F19" s="4" t="s">
        <x:v>156</x:v>
      </x:c>
      <x:c r="G19" s="4" t="s">
        <x:v>192</x:v>
      </x:c>
      <x:c r="H19" s="4" t="s">
        <x:v>193</x:v>
      </x:c>
      <x:c r="I19" s="4" t="s">
        <x:v>194</x:v>
      </x:c>
      <x:c r="J19" s="4" t="s">
        <x:v>195</x:v>
      </x:c>
      <x:c r="K19" s="4" t="s">
        <x:v>160</x:v>
      </x:c>
      <x:c r="L19" s="4" t="s">
        <x:v>161</x:v>
      </x:c>
      <x:c r="M19" s="4" t="s">
        <x:v>162</x:v>
      </x:c>
    </x:row>
    <x:row r="20" ht="28">
      <x:c r="A20" s="4" t="s">
        <x:v>196</x:v>
      </x:c>
      <x:c r="B20" s="4" t="s">
        <x:v>18</x:v>
      </x:c>
      <x:c r="C20" s="4" t="s">
        <x:v>105</x:v>
      </x:c>
      <x:c r="D20" s="4" t="s">
        <x:v>154</x:v>
      </x:c>
      <x:c r="E20" s="4" t="s">
        <x:v>197</x:v>
      </x:c>
      <x:c r="F20" s="4" t="s">
        <x:v>156</x:v>
      </x:c>
      <x:c r="G20" s="4" t="s">
        <x:v>198</x:v>
      </x:c>
      <x:c r="H20" s="4" t="s">
        <x:v>199</x:v>
      </x:c>
      <x:c r="I20" s="4" t="s">
        <x:v>200</x:v>
      </x:c>
      <x:c r="J20" s="4" t="s">
        <x:v>201</x:v>
      </x:c>
      <x:c r="K20" s="4" t="s">
        <x:v>160</x:v>
      </x:c>
      <x:c r="L20" s="4" t="s">
        <x:v>161</x:v>
      </x:c>
      <x:c r="M20" s="4" t="s">
        <x:v>162</x:v>
      </x:c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852b3636b64a4fa8"/>
  </x:tableParts>
</x:worksheet>
</file>

<file path=xl/worksheets/sheet5.xml><?xml version="1.0" encoding="utf-8"?>
<x:worksheet xmlns:x="http://schemas.openxmlformats.org/spreadsheetml/2006/main">
  <x:sheetFormatPr defaultRowHeight="14"/>
  <x:cols>
    <x:col min="1" max="1" width="16.5" customWidth="1"/>
    <x:col min="2" max="2" width="8.5" customWidth="1"/>
    <x:col min="3" max="3" width="14" customWidth="1"/>
    <x:col min="4" max="5" width="6.75" customWidth="1"/>
    <x:col min="6" max="6" width="50" customWidth="1"/>
  </x:cols>
  <x:sheetData>
    <x:row r="1" ht="20" customHeight="1">
      <x:c r="A1" s="6" t="s">
        <x:v>202</x:v>
      </x:c>
      <x:c r="B1" s="6"/>
      <x:c r="C1" s="6"/>
      <x:c r="D1" s="6"/>
      <x:c r="E1" s="6"/>
      <x:c r="F1" s="6"/>
    </x:row>
    <x:row r="3">
      <x:c r="A3" s="3" t="s">
        <x:v>203</x:v>
      </x:c>
      <x:c r="B3" s="3" t="s">
        <x:v>204</x:v>
      </x:c>
      <x:c r="C3" s="3" t="s">
        <x:v>205</x:v>
      </x:c>
      <x:c r="D3" s="3" t="s">
        <x:v>206</x:v>
      </x:c>
      <x:c r="E3" s="3" t="s">
        <x:v>76</x:v>
      </x:c>
      <x:c r="F3" s="3" t="s">
        <x:v>69</x:v>
      </x:c>
    </x:row>
    <x:row r="4">
      <x:c r="A4" s="4" t="s">
        <x:v>78</x:v>
      </x:c>
      <x:c r="B4" s="4" t="s">
        <x:v>82</x:v>
      </x:c>
      <x:c r="C4" s="4" t="s">
        <x:v>82</x:v>
      </x:c>
      <x:c r="D4" s="4" t="s">
        <x:v>82</x:v>
      </x:c>
      <x:c r="E4" s="4" t="s">
        <x:v>207</x:v>
      </x:c>
      <x:c r="F4" s="4" t="s">
        <x:v>208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9668b427a6a44738"/>
  </x:tableParts>
</x:worksheet>
</file>

<file path=xl/worksheets/sheet6.xml><?xml version="1.0" encoding="utf-8"?>
<x:worksheet xmlns:x="http://schemas.openxmlformats.org/spreadsheetml/2006/main">
  <x:sheetFormatPr defaultRowHeight="14"/>
  <x:cols>
    <x:col min="1" max="1" width="35.25" customWidth="1"/>
    <x:col min="2" max="2" width="8.4140625" customWidth="1"/>
    <x:col min="3" max="3" width="13" customWidth="1"/>
    <x:col min="4" max="4" width="10.25" customWidth="1"/>
    <x:col min="5" max="5" width="12.25" customWidth="1"/>
    <x:col min="6" max="6" width="10.4140625" customWidth="1"/>
    <x:col min="7" max="7" width="24.4140625" customWidth="1"/>
    <x:col min="8" max="9" width="13.4140625" customWidth="1"/>
    <x:col min="10" max="10" width="29.75" customWidth="1"/>
    <x:col min="11" max="11" width="50" customWidth="1"/>
    <x:col min="12" max="12" width="24.75" customWidth="1"/>
  </x:cols>
  <x:sheetData>
    <x:row r="1" ht="20" customHeight="1">
      <x:c r="A1" s="6" t="s">
        <x:v>209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>
      <x:c r="A3" s="3" t="s">
        <x:v>210</x:v>
      </x:c>
      <x:c r="B3" s="3" t="s">
        <x:v>74</x:v>
      </x:c>
      <x:c r="C3" s="3" t="s">
        <x:v>211</x:v>
      </x:c>
      <x:c r="D3" s="3" t="s">
        <x:v>212</x:v>
      </x:c>
      <x:c r="E3" s="3" t="s">
        <x:v>213</x:v>
      </x:c>
      <x:c r="F3" s="3" t="s">
        <x:v>214</x:v>
      </x:c>
      <x:c r="G3" s="3" t="s">
        <x:v>215</x:v>
      </x:c>
      <x:c r="H3" s="3" t="s">
        <x:v>87</x:v>
      </x:c>
      <x:c r="I3" s="3" t="s">
        <x:v>88</x:v>
      </x:c>
      <x:c r="J3" s="3" t="s">
        <x:v>75</x:v>
      </x:c>
      <x:c r="K3" s="3" t="s">
        <x:v>89</x:v>
      </x:c>
      <x:c r="L3" s="3" t="s">
        <x:v>27</x:v>
      </x:c>
    </x:row>
    <x:row r="4" ht="70">
      <x:c r="A4" s="4" t="s">
        <x:v>216</x:v>
      </x:c>
      <x:c r="B4" s="4" t="s">
        <x:v>217</x:v>
      </x:c>
      <x:c r="C4" s="4" t="s">
        <x:v>218</x:v>
      </x:c>
      <x:c r="D4" s="4" t="s">
        <x:v>219</x:v>
      </x:c>
      <x:c r="E4" s="4"/>
      <x:c r="F4" s="4"/>
      <x:c r="G4" s="4" t="s">
        <x:v>220</x:v>
      </x:c>
      <x:c r="H4" s="4" t="s">
        <x:v>98</x:v>
      </x:c>
      <x:c r="I4" s="4" t="s">
        <x:v>99</x:v>
      </x:c>
      <x:c r="J4" s="4" t="s">
        <x:v>221</x:v>
      </x:c>
      <x:c r="K4" s="4" t="s">
        <x:v>222</x:v>
      </x:c>
      <x:c r="L4" s="4" t="s">
        <x:v>32</x:v>
      </x:c>
    </x:row>
    <x:row r="5" ht="70">
      <x:c r="A5" s="4" t="s">
        <x:v>223</x:v>
      </x:c>
      <x:c r="B5" s="4" t="s">
        <x:v>217</x:v>
      </x:c>
      <x:c r="C5" s="4" t="s">
        <x:v>218</x:v>
      </x:c>
      <x:c r="D5" s="4" t="s">
        <x:v>219</x:v>
      </x:c>
      <x:c r="E5" s="4"/>
      <x:c r="F5" s="4"/>
      <x:c r="G5" s="4" t="s">
        <x:v>220</x:v>
      </x:c>
      <x:c r="H5" s="4" t="s">
        <x:v>98</x:v>
      </x:c>
      <x:c r="I5" s="4" t="s">
        <x:v>99</x:v>
      </x:c>
      <x:c r="J5" s="4" t="s">
        <x:v>221</x:v>
      </x:c>
      <x:c r="K5" s="4" t="s">
        <x:v>222</x:v>
      </x:c>
      <x:c r="L5" s="4" t="s">
        <x:v>32</x:v>
      </x:c>
    </x:row>
    <x:row r="6" ht="70">
      <x:c r="A6" s="4" t="s">
        <x:v>224</x:v>
      </x:c>
      <x:c r="B6" s="4" t="s">
        <x:v>217</x:v>
      </x:c>
      <x:c r="C6" s="4" t="s">
        <x:v>225</x:v>
      </x:c>
      <x:c r="D6" s="4" t="s">
        <x:v>219</x:v>
      </x:c>
      <x:c r="E6" s="4"/>
      <x:c r="F6" s="4"/>
      <x:c r="G6" s="4" t="s">
        <x:v>220</x:v>
      </x:c>
      <x:c r="H6" s="4" t="s">
        <x:v>98</x:v>
      </x:c>
      <x:c r="I6" s="4" t="s">
        <x:v>99</x:v>
      </x:c>
      <x:c r="J6" s="4" t="s">
        <x:v>221</x:v>
      </x:c>
      <x:c r="K6" s="4" t="s">
        <x:v>222</x:v>
      </x:c>
      <x:c r="L6" s="4" t="s">
        <x:v>32</x:v>
      </x:c>
    </x:row>
    <x:row r="7" ht="70">
      <x:c r="A7" s="4" t="s">
        <x:v>226</x:v>
      </x:c>
      <x:c r="B7" s="4" t="s">
        <x:v>217</x:v>
      </x:c>
      <x:c r="C7" s="4" t="s">
        <x:v>225</x:v>
      </x:c>
      <x:c r="D7" s="4" t="s">
        <x:v>219</x:v>
      </x:c>
      <x:c r="E7" s="4"/>
      <x:c r="F7" s="4"/>
      <x:c r="G7" s="4" t="s">
        <x:v>220</x:v>
      </x:c>
      <x:c r="H7" s="4" t="s">
        <x:v>98</x:v>
      </x:c>
      <x:c r="I7" s="4" t="s">
        <x:v>99</x:v>
      </x:c>
      <x:c r="J7" s="4" t="s">
        <x:v>221</x:v>
      </x:c>
      <x:c r="K7" s="4" t="s">
        <x:v>222</x:v>
      </x:c>
      <x:c r="L7" s="4" t="s">
        <x:v>32</x:v>
      </x:c>
    </x:row>
    <x:row r="8" ht="56">
      <x:c r="A8" s="4" t="s">
        <x:v>95</x:v>
      </x:c>
      <x:c r="B8" s="4" t="s">
        <x:v>96</x:v>
      </x:c>
      <x:c r="C8" s="4" t="s">
        <x:v>225</x:v>
      </x:c>
      <x:c r="D8" s="4" t="s">
        <x:v>227</x:v>
      </x:c>
      <x:c r="E8" s="4" t="s">
        <x:v>228</x:v>
      </x:c>
      <x:c r="F8" s="4" t="s">
        <x:v>229</x:v>
      </x:c>
      <x:c r="G8" s="4" t="s">
        <x:v>230</x:v>
      </x:c>
      <x:c r="H8" s="4" t="s">
        <x:v>98</x:v>
      </x:c>
      <x:c r="I8" s="4" t="s">
        <x:v>99</x:v>
      </x:c>
      <x:c r="J8" s="4" t="s">
        <x:v>97</x:v>
      </x:c>
      <x:c r="K8" s="4" t="s">
        <x:v>100</x:v>
      </x:c>
      <x:c r="L8" s="4" t="s">
        <x:v>231</x:v>
      </x:c>
    </x:row>
    <x:row r="9" ht="42">
      <x:c r="A9" s="4" t="s">
        <x:v>232</x:v>
      </x:c>
      <x:c r="B9" s="4" t="s">
        <x:v>233</x:v>
      </x:c>
      <x:c r="C9" s="4" t="s">
        <x:v>225</x:v>
      </x:c>
      <x:c r="D9" s="4" t="s">
        <x:v>234</x:v>
      </x:c>
      <x:c r="E9" s="4"/>
      <x:c r="F9" s="4"/>
      <x:c r="G9" s="4" t="s">
        <x:v>220</x:v>
      </x:c>
      <x:c r="H9" s="4" t="s">
        <x:v>98</x:v>
      </x:c>
      <x:c r="I9" s="4" t="s">
        <x:v>99</x:v>
      </x:c>
      <x:c r="J9" s="4" t="s">
        <x:v>235</x:v>
      </x:c>
      <x:c r="K9" s="4" t="s">
        <x:v>236</x:v>
      </x:c>
      <x:c r="L9" s="4" t="s">
        <x:v>231</x:v>
      </x:c>
    </x:row>
    <x:row r="10" ht="84">
      <x:c r="A10" s="4" t="s">
        <x:v>237</x:v>
      </x:c>
      <x:c r="B10" s="4" t="s">
        <x:v>238</x:v>
      </x:c>
      <x:c r="C10" s="4" t="s">
        <x:v>239</x:v>
      </x:c>
      <x:c r="D10" s="4" t="s">
        <x:v>240</x:v>
      </x:c>
      <x:c r="E10" s="4"/>
      <x:c r="F10" s="4"/>
      <x:c r="G10" s="4" t="s">
        <x:v>220</x:v>
      </x:c>
      <x:c r="H10" s="4" t="s">
        <x:v>241</x:v>
      </x:c>
      <x:c r="I10" s="4" t="s">
        <x:v>242</x:v>
      </x:c>
      <x:c r="J10" s="4" t="s">
        <x:v>243</x:v>
      </x:c>
      <x:c r="K10" s="4" t="s">
        <x:v>244</x:v>
      </x:c>
      <x:c r="L10" s="4" t="s">
        <x:v>32</x:v>
      </x:c>
    </x:row>
    <x:row r="11" ht="84">
      <x:c r="A11" s="4" t="s">
        <x:v>245</x:v>
      </x:c>
      <x:c r="B11" s="4" t="s">
        <x:v>246</x:v>
      </x:c>
      <x:c r="C11" s="4" t="s">
        <x:v>225</x:v>
      </x:c>
      <x:c r="D11" s="4" t="s">
        <x:v>247</x:v>
      </x:c>
      <x:c r="E11" s="4"/>
      <x:c r="F11" s="4"/>
      <x:c r="G11" s="4" t="s">
        <x:v>220</x:v>
      </x:c>
      <x:c r="H11" s="4" t="s">
        <x:v>248</x:v>
      </x:c>
      <x:c r="I11" s="4" t="s">
        <x:v>249</x:v>
      </x:c>
      <x:c r="J11" s="4" t="s">
        <x:v>250</x:v>
      </x:c>
      <x:c r="K11" s="4" t="s">
        <x:v>251</x:v>
      </x:c>
      <x:c r="L11" s="4" t="s">
        <x:v>32</x:v>
      </x:c>
    </x:row>
    <x:row r="12" ht="84">
      <x:c r="A12" s="4" t="s">
        <x:v>252</x:v>
      </x:c>
      <x:c r="B12" s="4" t="s">
        <x:v>246</x:v>
      </x:c>
      <x:c r="C12" s="4" t="s">
        <x:v>225</x:v>
      </x:c>
      <x:c r="D12" s="4" t="s">
        <x:v>253</x:v>
      </x:c>
      <x:c r="E12" s="4"/>
      <x:c r="F12" s="4"/>
      <x:c r="G12" s="4" t="s">
        <x:v>220</x:v>
      </x:c>
      <x:c r="H12" s="4" t="s">
        <x:v>248</x:v>
      </x:c>
      <x:c r="I12" s="4" t="s">
        <x:v>249</x:v>
      </x:c>
      <x:c r="J12" s="4" t="s">
        <x:v>250</x:v>
      </x:c>
      <x:c r="K12" s="4" t="s">
        <x:v>251</x:v>
      </x:c>
      <x:c r="L12" s="4" t="s">
        <x:v>32</x:v>
      </x:c>
    </x:row>
    <x:row r="13" ht="84">
      <x:c r="A13" s="4" t="s">
        <x:v>254</x:v>
      </x:c>
      <x:c r="B13" s="4" t="s">
        <x:v>246</x:v>
      </x:c>
      <x:c r="C13" s="4" t="s">
        <x:v>239</x:v>
      </x:c>
      <x:c r="D13" s="4" t="s">
        <x:v>255</x:v>
      </x:c>
      <x:c r="E13" s="4" t="s">
        <x:v>256</x:v>
      </x:c>
      <x:c r="F13" s="4" t="s">
        <x:v>257</x:v>
      </x:c>
      <x:c r="G13" s="4" t="s">
        <x:v>258</x:v>
      </x:c>
      <x:c r="H13" s="4" t="s">
        <x:v>248</x:v>
      </x:c>
      <x:c r="I13" s="4" t="s">
        <x:v>249</x:v>
      </x:c>
      <x:c r="J13" s="4" t="s">
        <x:v>250</x:v>
      </x:c>
      <x:c r="K13" s="4" t="s">
        <x:v>251</x:v>
      </x:c>
      <x:c r="L13" s="4" t="s">
        <x:v>231</x:v>
      </x:c>
    </x:row>
    <x:row r="14" ht="84">
      <x:c r="A14" s="4" t="s">
        <x:v>259</x:v>
      </x:c>
      <x:c r="B14" s="4" t="s">
        <x:v>246</x:v>
      </x:c>
      <x:c r="C14" s="4" t="s">
        <x:v>239</x:v>
      </x:c>
      <x:c r="D14" s="4" t="s">
        <x:v>260</x:v>
      </x:c>
      <x:c r="E14" s="4" t="s">
        <x:v>256</x:v>
      </x:c>
      <x:c r="F14" s="4" t="s">
        <x:v>261</x:v>
      </x:c>
      <x:c r="G14" s="4" t="s">
        <x:v>258</x:v>
      </x:c>
      <x:c r="H14" s="4" t="s">
        <x:v>248</x:v>
      </x:c>
      <x:c r="I14" s="4" t="s">
        <x:v>249</x:v>
      </x:c>
      <x:c r="J14" s="4" t="s">
        <x:v>250</x:v>
      </x:c>
      <x:c r="K14" s="4" t="s">
        <x:v>251</x:v>
      </x:c>
      <x:c r="L14" s="4" t="s">
        <x:v>231</x:v>
      </x:c>
    </x:row>
    <x:row r="15" ht="84">
      <x:c r="A15" s="4" t="s">
        <x:v>262</x:v>
      </x:c>
      <x:c r="B15" s="4" t="s">
        <x:v>246</x:v>
      </x:c>
      <x:c r="C15" s="4" t="s">
        <x:v>239</x:v>
      </x:c>
      <x:c r="D15" s="4" t="s">
        <x:v>263</x:v>
      </x:c>
      <x:c r="E15" s="4" t="s">
        <x:v>256</x:v>
      </x:c>
      <x:c r="F15" s="4" t="s">
        <x:v>264</x:v>
      </x:c>
      <x:c r="G15" s="4" t="s">
        <x:v>258</x:v>
      </x:c>
      <x:c r="H15" s="4" t="s">
        <x:v>248</x:v>
      </x:c>
      <x:c r="I15" s="4" t="s">
        <x:v>249</x:v>
      </x:c>
      <x:c r="J15" s="4" t="s">
        <x:v>250</x:v>
      </x:c>
      <x:c r="K15" s="4" t="s">
        <x:v>251</x:v>
      </x:c>
      <x:c r="L15" s="4" t="s">
        <x:v>231</x:v>
      </x:c>
    </x:row>
    <x:row r="16" ht="84">
      <x:c r="A16" s="4" t="s">
        <x:v>265</x:v>
      </x:c>
      <x:c r="B16" s="4" t="s">
        <x:v>246</x:v>
      </x:c>
      <x:c r="C16" s="4" t="s">
        <x:v>239</x:v>
      </x:c>
      <x:c r="D16" s="4" t="s">
        <x:v>266</x:v>
      </x:c>
      <x:c r="E16" s="4" t="s">
        <x:v>256</x:v>
      </x:c>
      <x:c r="F16" s="4" t="s">
        <x:v>267</x:v>
      </x:c>
      <x:c r="G16" s="4" t="s">
        <x:v>258</x:v>
      </x:c>
      <x:c r="H16" s="4" t="s">
        <x:v>248</x:v>
      </x:c>
      <x:c r="I16" s="4" t="s">
        <x:v>249</x:v>
      </x:c>
      <x:c r="J16" s="4" t="s">
        <x:v>250</x:v>
      </x:c>
      <x:c r="K16" s="4" t="s">
        <x:v>251</x:v>
      </x:c>
      <x:c r="L16" s="4" t="s">
        <x:v>231</x:v>
      </x:c>
    </x:row>
    <x:row r="17" ht="70">
      <x:c r="A17" s="4" t="s">
        <x:v>268</x:v>
      </x:c>
      <x:c r="B17" s="4" t="s">
        <x:v>269</x:v>
      </x:c>
      <x:c r="C17" s="4" t="s">
        <x:v>270</x:v>
      </x:c>
      <x:c r="D17" s="4" t="s">
        <x:v>271</x:v>
      </x:c>
      <x:c r="E17" s="4"/>
      <x:c r="F17" s="4"/>
      <x:c r="G17" s="4" t="s">
        <x:v>220</x:v>
      </x:c>
      <x:c r="H17" s="4" t="s">
        <x:v>272</x:v>
      </x:c>
      <x:c r="I17" s="4" t="s">
        <x:v>273</x:v>
      </x:c>
      <x:c r="J17" s="4" t="s">
        <x:v>274</x:v>
      </x:c>
      <x:c r="K17" s="4" t="s">
        <x:v>275</x:v>
      </x:c>
      <x:c r="L17" s="4" t="s">
        <x:v>32</x:v>
      </x:c>
    </x:row>
    <x:row r="18" ht="84">
      <x:c r="A18" s="4" t="s">
        <x:v>276</x:v>
      </x:c>
      <x:c r="B18" s="4" t="s">
        <x:v>277</x:v>
      </x:c>
      <x:c r="C18" s="4" t="s">
        <x:v>225</x:v>
      </x:c>
      <x:c r="D18" s="4" t="s">
        <x:v>278</x:v>
      </x:c>
      <x:c r="E18" s="4"/>
      <x:c r="F18" s="4"/>
      <x:c r="G18" s="4" t="s">
        <x:v>220</x:v>
      </x:c>
      <x:c r="H18" s="4" t="s">
        <x:v>279</x:v>
      </x:c>
      <x:c r="I18" s="4" t="s">
        <x:v>280</x:v>
      </x:c>
      <x:c r="J18" s="4" t="s">
        <x:v>281</x:v>
      </x:c>
      <x:c r="K18" s="4" t="s">
        <x:v>282</x:v>
      </x:c>
      <x:c r="L18" s="4" t="s">
        <x:v>32</x:v>
      </x:c>
    </x:row>
    <x:row r="19" ht="84">
      <x:c r="A19" s="4" t="s">
        <x:v>283</x:v>
      </x:c>
      <x:c r="B19" s="4" t="s">
        <x:v>277</x:v>
      </x:c>
      <x:c r="C19" s="4" t="s">
        <x:v>270</x:v>
      </x:c>
      <x:c r="D19" s="4" t="s">
        <x:v>284</x:v>
      </x:c>
      <x:c r="E19" s="4"/>
      <x:c r="F19" s="4"/>
      <x:c r="G19" s="4" t="s">
        <x:v>220</x:v>
      </x:c>
      <x:c r="H19" s="4" t="s">
        <x:v>279</x:v>
      </x:c>
      <x:c r="I19" s="4" t="s">
        <x:v>280</x:v>
      </x:c>
      <x:c r="J19" s="4" t="s">
        <x:v>281</x:v>
      </x:c>
      <x:c r="K19" s="4" t="s">
        <x:v>282</x:v>
      </x:c>
      <x:c r="L19" s="4" t="s">
        <x:v>32</x:v>
      </x:c>
    </x:row>
    <x:row r="20" ht="42">
      <x:c r="A20" s="4" t="s">
        <x:v>285</x:v>
      </x:c>
      <x:c r="B20" s="4" t="s">
        <x:v>286</x:v>
      </x:c>
      <x:c r="C20" s="4" t="s">
        <x:v>287</x:v>
      </x:c>
      <x:c r="D20" s="4" t="s">
        <x:v>288</x:v>
      </x:c>
      <x:c r="E20" s="4" t="s">
        <x:v>289</x:v>
      </x:c>
      <x:c r="F20" s="4" t="s">
        <x:v>290</x:v>
      </x:c>
      <x:c r="G20" s="4" t="s">
        <x:v>291</x:v>
      </x:c>
      <x:c r="H20" s="4" t="s">
        <x:v>292</x:v>
      </x:c>
      <x:c r="I20" s="4" t="s">
        <x:v>293</x:v>
      </x:c>
      <x:c r="J20" s="4" t="s">
        <x:v>294</x:v>
      </x:c>
      <x:c r="K20" s="4" t="s">
        <x:v>295</x:v>
      </x:c>
      <x:c r="L20" s="4" t="s">
        <x:v>32</x:v>
      </x:c>
    </x:row>
    <x:row r="21" ht="42">
      <x:c r="A21" s="4" t="s">
        <x:v>296</x:v>
      </x:c>
      <x:c r="B21" s="4" t="s">
        <x:v>286</x:v>
      </x:c>
      <x:c r="C21" s="4" t="s">
        <x:v>287</x:v>
      </x:c>
      <x:c r="D21" s="4" t="s">
        <x:v>297</x:v>
      </x:c>
      <x:c r="E21" s="4" t="s">
        <x:v>298</x:v>
      </x:c>
      <x:c r="F21" s="4" t="s">
        <x:v>299</x:v>
      </x:c>
      <x:c r="G21" s="4" t="s">
        <x:v>291</x:v>
      </x:c>
      <x:c r="H21" s="4" t="s">
        <x:v>292</x:v>
      </x:c>
      <x:c r="I21" s="4" t="s">
        <x:v>293</x:v>
      </x:c>
      <x:c r="J21" s="4" t="s">
        <x:v>294</x:v>
      </x:c>
      <x:c r="K21" s="4" t="s">
        <x:v>295</x:v>
      </x:c>
      <x:c r="L21" s="4" t="s">
        <x:v>32</x:v>
      </x:c>
    </x:row>
    <x:row r="22" ht="42">
      <x:c r="A22" s="4" t="s">
        <x:v>300</x:v>
      </x:c>
      <x:c r="B22" s="4" t="s">
        <x:v>286</x:v>
      </x:c>
      <x:c r="C22" s="4" t="s">
        <x:v>287</x:v>
      </x:c>
      <x:c r="D22" s="4" t="s">
        <x:v>301</x:v>
      </x:c>
      <x:c r="E22" s="4" t="s">
        <x:v>302</x:v>
      </x:c>
      <x:c r="F22" s="4" t="s">
        <x:v>303</x:v>
      </x:c>
      <x:c r="G22" s="4" t="s">
        <x:v>291</x:v>
      </x:c>
      <x:c r="H22" s="4" t="s">
        <x:v>292</x:v>
      </x:c>
      <x:c r="I22" s="4" t="s">
        <x:v>293</x:v>
      </x:c>
      <x:c r="J22" s="4" t="s">
        <x:v>294</x:v>
      </x:c>
      <x:c r="K22" s="4" t="s">
        <x:v>295</x:v>
      </x:c>
      <x:c r="L22" s="4" t="s">
        <x:v>32</x:v>
      </x:c>
    </x:row>
    <x:row r="23" ht="42">
      <x:c r="A23" s="4" t="s">
        <x:v>304</x:v>
      </x:c>
      <x:c r="B23" s="4" t="s">
        <x:v>286</x:v>
      </x:c>
      <x:c r="C23" s="4" t="s">
        <x:v>287</x:v>
      </x:c>
      <x:c r="D23" s="4" t="s">
        <x:v>305</x:v>
      </x:c>
      <x:c r="E23" s="4" t="s">
        <x:v>306</x:v>
      </x:c>
      <x:c r="F23" s="4" t="s">
        <x:v>290</x:v>
      </x:c>
      <x:c r="G23" s="4" t="s">
        <x:v>291</x:v>
      </x:c>
      <x:c r="H23" s="4" t="s">
        <x:v>292</x:v>
      </x:c>
      <x:c r="I23" s="4" t="s">
        <x:v>293</x:v>
      </x:c>
      <x:c r="J23" s="4" t="s">
        <x:v>294</x:v>
      </x:c>
      <x:c r="K23" s="4" t="s">
        <x:v>295</x:v>
      </x:c>
      <x:c r="L23" s="4" t="s">
        <x:v>32</x:v>
      </x:c>
    </x:row>
    <x:row r="24" ht="42">
      <x:c r="A24" s="4" t="s">
        <x:v>307</x:v>
      </x:c>
      <x:c r="B24" s="4" t="s">
        <x:v>286</x:v>
      </x:c>
      <x:c r="C24" s="4" t="s">
        <x:v>287</x:v>
      </x:c>
      <x:c r="D24" s="4" t="s">
        <x:v>308</x:v>
      </x:c>
      <x:c r="E24" s="4" t="s">
        <x:v>309</x:v>
      </x:c>
      <x:c r="F24" s="4" t="s">
        <x:v>310</x:v>
      </x:c>
      <x:c r="G24" s="4" t="s">
        <x:v>291</x:v>
      </x:c>
      <x:c r="H24" s="4" t="s">
        <x:v>292</x:v>
      </x:c>
      <x:c r="I24" s="4" t="s">
        <x:v>293</x:v>
      </x:c>
      <x:c r="J24" s="4" t="s">
        <x:v>294</x:v>
      </x:c>
      <x:c r="K24" s="4" t="s">
        <x:v>295</x:v>
      </x:c>
      <x:c r="L24" s="4" t="s">
        <x:v>32</x:v>
      </x:c>
    </x:row>
    <x:row r="25" ht="42">
      <x:c r="A25" s="4" t="s">
        <x:v>311</x:v>
      </x:c>
      <x:c r="B25" s="4" t="s">
        <x:v>286</x:v>
      </x:c>
      <x:c r="C25" s="4" t="s">
        <x:v>287</x:v>
      </x:c>
      <x:c r="D25" s="4" t="s">
        <x:v>312</x:v>
      </x:c>
      <x:c r="E25" s="4" t="s">
        <x:v>313</x:v>
      </x:c>
      <x:c r="F25" s="4" t="s">
        <x:v>310</x:v>
      </x:c>
      <x:c r="G25" s="4" t="s">
        <x:v>291</x:v>
      </x:c>
      <x:c r="H25" s="4" t="s">
        <x:v>292</x:v>
      </x:c>
      <x:c r="I25" s="4" t="s">
        <x:v>293</x:v>
      </x:c>
      <x:c r="J25" s="4" t="s">
        <x:v>294</x:v>
      </x:c>
      <x:c r="K25" s="4" t="s">
        <x:v>295</x:v>
      </x:c>
      <x:c r="L25" s="4" t="s">
        <x:v>32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479cddf91594cf2"/>
  </x:tableParts>
</x:worksheet>
</file>

<file path=xl/worksheets/sheet7.xml><?xml version="1.0" encoding="utf-8"?>
<x:worksheet xmlns:x="http://schemas.openxmlformats.org/spreadsheetml/2006/main">
  <x:sheetFormatPr defaultRowHeight="14"/>
  <x:cols>
    <x:col min="1" max="1" width="47.4140625" customWidth="1"/>
    <x:col min="2" max="2" width="25.25" customWidth="1"/>
    <x:col min="3" max="3" width="22.5" customWidth="1"/>
    <x:col min="4" max="4" width="8.4140625" customWidth="1"/>
    <x:col min="5" max="5" width="17.6640625" customWidth="1"/>
    <x:col min="6" max="6" width="15.25" customWidth="1"/>
    <x:col min="7" max="8" width="16.9140625" customWidth="1"/>
    <x:col min="9" max="9" width="50" customWidth="1"/>
    <x:col min="10" max="10" width="44" customWidth="1"/>
    <x:col min="11" max="11" width="34" customWidth="1"/>
    <x:col min="12" max="12" width="42" customWidth="1"/>
  </x:cols>
  <x:sheetData>
    <x:row r="1" ht="20" customHeight="1">
      <x:c r="A1" s="6" t="s">
        <x:v>314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>
      <x:c r="A3" s="3" t="s">
        <x:v>85</x:v>
      </x:c>
      <x:c r="B3" s="3" t="s">
        <x:v>12</x:v>
      </x:c>
      <x:c r="C3" s="3" t="s">
        <x:v>72</x:v>
      </x:c>
      <x:c r="D3" s="3" t="s">
        <x:v>73</x:v>
      </x:c>
      <x:c r="E3" s="3" t="s">
        <x:v>74</x:v>
      </x:c>
      <x:c r="F3" s="3" t="s">
        <x:v>75</x:v>
      </x:c>
      <x:c r="G3" s="3" t="s">
        <x:v>87</x:v>
      </x:c>
      <x:c r="H3" s="3" t="s">
        <x:v>88</x:v>
      </x:c>
      <x:c r="I3" s="3" t="s">
        <x:v>89</x:v>
      </x:c>
      <x:c r="J3" s="3" t="s">
        <x:v>90</x:v>
      </x:c>
      <x:c r="K3" s="3" t="s">
        <x:v>20</x:v>
      </x:c>
      <x:c r="L3" s="3" t="s">
        <x:v>91</x:v>
      </x:c>
    </x:row>
    <x:row r="4" ht="70">
      <x:c r="A4" s="4" t="s">
        <x:v>104</x:v>
      </x:c>
      <x:c r="B4" s="4" t="s">
        <x:v>17</x:v>
      </x:c>
      <x:c r="C4" s="4" t="s">
        <x:v>106</x:v>
      </x:c>
      <x:c r="D4" s="4" t="s">
        <x:v>107</x:v>
      </x:c>
      <x:c r="E4" s="4" t="s">
        <x:v>108</x:v>
      </x:c>
      <x:c r="F4" s="4" t="s">
        <x:v>109</x:v>
      </x:c>
      <x:c r="G4" s="4" t="s">
        <x:v>110</x:v>
      </x:c>
      <x:c r="H4" s="4" t="s">
        <x:v>111</x:v>
      </x:c>
      <x:c r="I4" s="4" t="s">
        <x:v>112</x:v>
      </x:c>
      <x:c r="J4" s="4" t="s">
        <x:v>113</x:v>
      </x:c>
      <x:c r="K4" s="4" t="s">
        <x:v>114</x:v>
      </x:c>
      <x:c r="L4" s="4" t="s">
        <x:v>115</x:v>
      </x:c>
    </x:row>
    <x:row r="5" ht="70">
      <x:c r="A5" s="4" t="s">
        <x:v>116</x:v>
      </x:c>
      <x:c r="B5" s="4" t="s">
        <x:v>17</x:v>
      </x:c>
      <x:c r="C5" s="4" t="s">
        <x:v>106</x:v>
      </x:c>
      <x:c r="D5" s="4" t="s">
        <x:v>117</x:v>
      </x:c>
      <x:c r="E5" s="4" t="s">
        <x:v>118</x:v>
      </x:c>
      <x:c r="F5" s="4" t="s">
        <x:v>119</x:v>
      </x:c>
      <x:c r="G5" s="4" t="s">
        <x:v>120</x:v>
      </x:c>
      <x:c r="H5" s="4" t="s">
        <x:v>121</x:v>
      </x:c>
      <x:c r="I5" s="4" t="s">
        <x:v>122</x:v>
      </x:c>
      <x:c r="J5" s="4" t="s">
        <x:v>113</x:v>
      </x:c>
      <x:c r="K5" s="4" t="s">
        <x:v>114</x:v>
      </x:c>
      <x:c r="L5" s="4" t="s">
        <x:v>115</x:v>
      </x:c>
    </x:row>
    <x:row r="6" ht="42">
      <x:c r="A6" s="4" t="s">
        <x:v>123</x:v>
      </x:c>
      <x:c r="B6" s="4" t="s">
        <x:v>17</x:v>
      </x:c>
      <x:c r="C6" s="4" t="s">
        <x:v>106</x:v>
      </x:c>
      <x:c r="D6" s="4" t="s">
        <x:v>124</x:v>
      </x:c>
      <x:c r="E6" s="4" t="s">
        <x:v>125</x:v>
      </x:c>
      <x:c r="F6" s="4" t="s">
        <x:v>126</x:v>
      </x:c>
      <x:c r="G6" s="4" t="s">
        <x:v>127</x:v>
      </x:c>
      <x:c r="H6" s="4" t="s">
        <x:v>128</x:v>
      </x:c>
      <x:c r="I6" s="4" t="s">
        <x:v>129</x:v>
      </x:c>
      <x:c r="J6" s="4" t="s">
        <x:v>113</x:v>
      </x:c>
      <x:c r="K6" s="4" t="s">
        <x:v>114</x:v>
      </x:c>
      <x:c r="L6" s="4" t="s">
        <x:v>115</x:v>
      </x:c>
    </x:row>
    <x:row r="7" ht="56">
      <x:c r="A7" s="4" t="s">
        <x:v>130</x:v>
      </x:c>
      <x:c r="B7" s="4" t="s">
        <x:v>17</x:v>
      </x:c>
      <x:c r="C7" s="4" t="s">
        <x:v>106</x:v>
      </x:c>
      <x:c r="D7" s="4" t="s">
        <x:v>131</x:v>
      </x:c>
      <x:c r="E7" s="4" t="s">
        <x:v>132</x:v>
      </x:c>
      <x:c r="F7" s="4" t="s">
        <x:v>133</x:v>
      </x:c>
      <x:c r="G7" s="4" t="s">
        <x:v>134</x:v>
      </x:c>
      <x:c r="H7" s="4" t="s">
        <x:v>98</x:v>
      </x:c>
      <x:c r="I7" s="4" t="s">
        <x:v>135</x:v>
      </x:c>
      <x:c r="J7" s="4" t="s">
        <x:v>113</x:v>
      </x:c>
      <x:c r="K7" s="4" t="s">
        <x:v>114</x:v>
      </x:c>
      <x:c r="L7" s="4" t="s">
        <x:v>115</x:v>
      </x:c>
    </x:row>
    <x:row r="8" ht="56">
      <x:c r="A8" s="4" t="s">
        <x:v>136</x:v>
      </x:c>
      <x:c r="B8" s="4" t="s">
        <x:v>17</x:v>
      </x:c>
      <x:c r="C8" s="4" t="s">
        <x:v>106</x:v>
      </x:c>
      <x:c r="D8" s="4" t="s">
        <x:v>137</x:v>
      </x:c>
      <x:c r="E8" s="4" t="s">
        <x:v>132</x:v>
      </x:c>
      <x:c r="F8" s="4" t="s">
        <x:v>133</x:v>
      </x:c>
      <x:c r="G8" s="4" t="s">
        <x:v>134</x:v>
      </x:c>
      <x:c r="H8" s="4" t="s">
        <x:v>98</x:v>
      </x:c>
      <x:c r="I8" s="4" t="s">
        <x:v>138</x:v>
      </x:c>
      <x:c r="J8" s="4" t="s">
        <x:v>113</x:v>
      </x:c>
      <x:c r="K8" s="4" t="s">
        <x:v>114</x:v>
      </x:c>
      <x:c r="L8" s="4" t="s">
        <x:v>115</x:v>
      </x:c>
    </x:row>
    <x:row r="9" ht="56">
      <x:c r="A9" s="4" t="s">
        <x:v>139</x:v>
      </x:c>
      <x:c r="B9" s="4" t="s">
        <x:v>17</x:v>
      </x:c>
      <x:c r="C9" s="4" t="s">
        <x:v>106</x:v>
      </x:c>
      <x:c r="D9" s="4" t="s">
        <x:v>140</x:v>
      </x:c>
      <x:c r="E9" s="4" t="s">
        <x:v>132</x:v>
      </x:c>
      <x:c r="F9" s="4" t="s">
        <x:v>133</x:v>
      </x:c>
      <x:c r="G9" s="4" t="s">
        <x:v>134</x:v>
      </x:c>
      <x:c r="H9" s="4" t="s">
        <x:v>98</x:v>
      </x:c>
      <x:c r="I9" s="4" t="s">
        <x:v>141</x:v>
      </x:c>
      <x:c r="J9" s="4" t="s">
        <x:v>113</x:v>
      </x:c>
      <x:c r="K9" s="4" t="s">
        <x:v>114</x:v>
      </x:c>
      <x:c r="L9" s="4" t="s">
        <x:v>115</x:v>
      </x:c>
    </x:row>
    <x:row r="10" ht="56">
      <x:c r="A10" s="4" t="s">
        <x:v>142</x:v>
      </x:c>
      <x:c r="B10" s="4" t="s">
        <x:v>17</x:v>
      </x:c>
      <x:c r="C10" s="4" t="s">
        <x:v>106</x:v>
      </x:c>
      <x:c r="D10" s="4" t="s">
        <x:v>143</x:v>
      </x:c>
      <x:c r="E10" s="4" t="s">
        <x:v>144</x:v>
      </x:c>
      <x:c r="F10" s="4" t="s">
        <x:v>145</x:v>
      </x:c>
      <x:c r="G10" s="4" t="s">
        <x:v>146</x:v>
      </x:c>
      <x:c r="H10" s="4" t="s">
        <x:v>147</x:v>
      </x:c>
      <x:c r="I10" s="4" t="s">
        <x:v>148</x:v>
      </x:c>
      <x:c r="J10" s="4" t="s">
        <x:v>149</x:v>
      </x:c>
      <x:c r="K10" s="4" t="s">
        <x:v>114</x:v>
      </x:c>
      <x:c r="L10" s="4" t="s">
        <x:v>115</x:v>
      </x:c>
    </x:row>
    <x:row r="11" ht="98">
      <x:c r="A11" s="4" t="s">
        <x:v>150</x:v>
      </x:c>
      <x:c r="B11" s="4" t="s">
        <x:v>17</x:v>
      </x:c>
      <x:c r="C11" s="4" t="s">
        <x:v>106</x:v>
      </x:c>
      <x:c r="D11" s="4" t="s">
        <x:v>151</x:v>
      </x:c>
      <x:c r="E11" s="4" t="s">
        <x:v>144</x:v>
      </x:c>
      <x:c r="F11" s="4" t="s">
        <x:v>145</x:v>
      </x:c>
      <x:c r="G11" s="4" t="s">
        <x:v>146</x:v>
      </x:c>
      <x:c r="H11" s="4" t="s">
        <x:v>147</x:v>
      </x:c>
      <x:c r="I11" s="4" t="s">
        <x:v>152</x:v>
      </x:c>
      <x:c r="J11" s="4" t="s">
        <x:v>149</x:v>
      </x:c>
      <x:c r="K11" s="4" t="s">
        <x:v>114</x:v>
      </x:c>
      <x:c r="L11" s="4" t="s">
        <x:v>115</x:v>
      </x:c>
    </x:row>
    <x:row r="12" ht="28">
      <x:c r="A12" s="4" t="s">
        <x:v>153</x:v>
      </x:c>
      <x:c r="B12" s="4" t="s">
        <x:v>18</x:v>
      </x:c>
      <x:c r="C12" s="4" t="s">
        <x:v>154</x:v>
      </x:c>
      <x:c r="D12" s="4" t="s">
        <x:v>155</x:v>
      </x:c>
      <x:c r="E12" s="4" t="s">
        <x:v>156</x:v>
      </x:c>
      <x:c r="F12" s="4" t="s">
        <x:v>157</x:v>
      </x:c>
      <x:c r="G12" s="4" t="s">
        <x:v>158</x:v>
      </x:c>
      <x:c r="H12" s="4" t="s">
        <x:v>134</x:v>
      </x:c>
      <x:c r="I12" s="4" t="s">
        <x:v>159</x:v>
      </x:c>
      <x:c r="J12" s="4" t="s">
        <x:v>160</x:v>
      </x:c>
      <x:c r="K12" s="4" t="s">
        <x:v>161</x:v>
      </x:c>
      <x:c r="L12" s="4" t="s">
        <x:v>162</x:v>
      </x:c>
    </x:row>
    <x:row r="13" ht="28">
      <x:c r="A13" s="4" t="s">
        <x:v>163</x:v>
      </x:c>
      <x:c r="B13" s="4" t="s">
        <x:v>18</x:v>
      </x:c>
      <x:c r="C13" s="4" t="s">
        <x:v>154</x:v>
      </x:c>
      <x:c r="D13" s="4" t="s">
        <x:v>164</x:v>
      </x:c>
      <x:c r="E13" s="4" t="s">
        <x:v>156</x:v>
      </x:c>
      <x:c r="F13" s="4" t="s">
        <x:v>157</x:v>
      </x:c>
      <x:c r="G13" s="4" t="s">
        <x:v>158</x:v>
      </x:c>
      <x:c r="H13" s="4" t="s">
        <x:v>134</x:v>
      </x:c>
      <x:c r="I13" s="4" t="s">
        <x:v>159</x:v>
      </x:c>
      <x:c r="J13" s="4" t="s">
        <x:v>165</x:v>
      </x:c>
      <x:c r="K13" s="4" t="s">
        <x:v>161</x:v>
      </x:c>
      <x:c r="L13" s="4" t="s">
        <x:v>162</x:v>
      </x:c>
    </x:row>
    <x:row r="14" ht="28">
      <x:c r="A14" s="4" t="s">
        <x:v>166</x:v>
      </x:c>
      <x:c r="B14" s="4" t="s">
        <x:v>18</x:v>
      </x:c>
      <x:c r="C14" s="4" t="s">
        <x:v>154</x:v>
      </x:c>
      <x:c r="D14" s="4" t="s">
        <x:v>167</x:v>
      </x:c>
      <x:c r="E14" s="4" t="s">
        <x:v>156</x:v>
      </x:c>
      <x:c r="F14" s="4" t="s">
        <x:v>168</x:v>
      </x:c>
      <x:c r="G14" s="4" t="s">
        <x:v>169</x:v>
      </x:c>
      <x:c r="H14" s="4" t="s">
        <x:v>170</x:v>
      </x:c>
      <x:c r="I14" s="4" t="s">
        <x:v>171</x:v>
      </x:c>
      <x:c r="J14" s="4" t="s">
        <x:v>160</x:v>
      </x:c>
      <x:c r="K14" s="4" t="s">
        <x:v>161</x:v>
      </x:c>
      <x:c r="L14" s="4" t="s">
        <x:v>162</x:v>
      </x:c>
    </x:row>
    <x:row r="15" ht="28">
      <x:c r="A15" s="4" t="s">
        <x:v>172</x:v>
      </x:c>
      <x:c r="B15" s="4" t="s">
        <x:v>18</x:v>
      </x:c>
      <x:c r="C15" s="4" t="s">
        <x:v>154</x:v>
      </x:c>
      <x:c r="D15" s="4" t="s">
        <x:v>173</x:v>
      </x:c>
      <x:c r="E15" s="4" t="s">
        <x:v>156</x:v>
      </x:c>
      <x:c r="F15" s="4" t="s">
        <x:v>174</x:v>
      </x:c>
      <x:c r="G15" s="4" t="s">
        <x:v>175</x:v>
      </x:c>
      <x:c r="H15" s="4" t="s">
        <x:v>176</x:v>
      </x:c>
      <x:c r="I15" s="4" t="s">
        <x:v>177</x:v>
      </x:c>
      <x:c r="J15" s="4" t="s">
        <x:v>160</x:v>
      </x:c>
      <x:c r="K15" s="4" t="s">
        <x:v>161</x:v>
      </x:c>
      <x:c r="L15" s="4" t="s">
        <x:v>162</x:v>
      </x:c>
    </x:row>
    <x:row r="16" ht="42">
      <x:c r="A16" s="4" t="s">
        <x:v>178</x:v>
      </x:c>
      <x:c r="B16" s="4" t="s">
        <x:v>18</x:v>
      </x:c>
      <x:c r="C16" s="4" t="s">
        <x:v>154</x:v>
      </x:c>
      <x:c r="D16" s="4" t="s">
        <x:v>179</x:v>
      </x:c>
      <x:c r="E16" s="4" t="s">
        <x:v>156</x:v>
      </x:c>
      <x:c r="F16" s="4" t="s">
        <x:v>180</x:v>
      </x:c>
      <x:c r="G16" s="4" t="s">
        <x:v>181</x:v>
      </x:c>
      <x:c r="H16" s="4" t="s">
        <x:v>182</x:v>
      </x:c>
      <x:c r="I16" s="4" t="s">
        <x:v>183</x:v>
      </x:c>
      <x:c r="J16" s="4" t="s">
        <x:v>160</x:v>
      </x:c>
      <x:c r="K16" s="4" t="s">
        <x:v>161</x:v>
      </x:c>
      <x:c r="L16" s="4" t="s">
        <x:v>162</x:v>
      </x:c>
    </x:row>
    <x:row r="17" ht="28">
      <x:c r="A17" s="4" t="s">
        <x:v>184</x:v>
      </x:c>
      <x:c r="B17" s="4" t="s">
        <x:v>18</x:v>
      </x:c>
      <x:c r="C17" s="4" t="s">
        <x:v>154</x:v>
      </x:c>
      <x:c r="D17" s="4" t="s">
        <x:v>185</x:v>
      </x:c>
      <x:c r="E17" s="4" t="s">
        <x:v>156</x:v>
      </x:c>
      <x:c r="F17" s="4" t="s">
        <x:v>186</x:v>
      </x:c>
      <x:c r="G17" s="4" t="s">
        <x:v>187</x:v>
      </x:c>
      <x:c r="H17" s="4" t="s">
        <x:v>188</x:v>
      </x:c>
      <x:c r="I17" s="4" t="s">
        <x:v>189</x:v>
      </x:c>
      <x:c r="J17" s="4" t="s">
        <x:v>160</x:v>
      </x:c>
      <x:c r="K17" s="4" t="s">
        <x:v>161</x:v>
      </x:c>
      <x:c r="L17" s="4" t="s">
        <x:v>162</x:v>
      </x:c>
    </x:row>
    <x:row r="18" ht="42">
      <x:c r="A18" s="4" t="s">
        <x:v>190</x:v>
      </x:c>
      <x:c r="B18" s="4" t="s">
        <x:v>18</x:v>
      </x:c>
      <x:c r="C18" s="4" t="s">
        <x:v>154</x:v>
      </x:c>
      <x:c r="D18" s="4" t="s">
        <x:v>191</x:v>
      </x:c>
      <x:c r="E18" s="4" t="s">
        <x:v>156</x:v>
      </x:c>
      <x:c r="F18" s="4" t="s">
        <x:v>192</x:v>
      </x:c>
      <x:c r="G18" s="4" t="s">
        <x:v>193</x:v>
      </x:c>
      <x:c r="H18" s="4" t="s">
        <x:v>194</x:v>
      </x:c>
      <x:c r="I18" s="4" t="s">
        <x:v>195</x:v>
      </x:c>
      <x:c r="J18" s="4" t="s">
        <x:v>160</x:v>
      </x:c>
      <x:c r="K18" s="4" t="s">
        <x:v>161</x:v>
      </x:c>
      <x:c r="L18" s="4" t="s">
        <x:v>162</x:v>
      </x:c>
    </x:row>
    <x:row r="19" ht="28">
      <x:c r="A19" s="4" t="s">
        <x:v>196</x:v>
      </x:c>
      <x:c r="B19" s="4" t="s">
        <x:v>18</x:v>
      </x:c>
      <x:c r="C19" s="4" t="s">
        <x:v>154</x:v>
      </x:c>
      <x:c r="D19" s="4" t="s">
        <x:v>197</x:v>
      </x:c>
      <x:c r="E19" s="4" t="s">
        <x:v>156</x:v>
      </x:c>
      <x:c r="F19" s="4" t="s">
        <x:v>198</x:v>
      </x:c>
      <x:c r="G19" s="4" t="s">
        <x:v>199</x:v>
      </x:c>
      <x:c r="H19" s="4" t="s">
        <x:v>200</x:v>
      </x:c>
      <x:c r="I19" s="4" t="s">
        <x:v>201</x:v>
      </x:c>
      <x:c r="J19" s="4" t="s">
        <x:v>160</x:v>
      </x:c>
      <x:c r="K19" s="4" t="s">
        <x:v>161</x:v>
      </x:c>
      <x:c r="L19" s="4" t="s">
        <x:v>162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06b2b9d50784eaa"/>
  </x:tableParts>
</x:worksheet>
</file>

<file path=xl/worksheets/sheet8.xml><?xml version="1.0" encoding="utf-8"?>
<x:worksheet xmlns:x="http://schemas.openxmlformats.org/spreadsheetml/2006/main">
  <x:sheetFormatPr defaultRowHeight="14"/>
  <x:cols>
    <x:col min="1" max="1" width="37.9140625" customWidth="1"/>
    <x:col min="2" max="2" width="28" customWidth="1"/>
    <x:col min="3" max="3" width="8.5" customWidth="1"/>
    <x:col min="4" max="4" width="22.5" customWidth="1"/>
    <x:col min="5" max="5" width="8.4140625" customWidth="1"/>
    <x:col min="6" max="6" width="17.6640625" customWidth="1"/>
    <x:col min="7" max="7" width="15.25" customWidth="1"/>
    <x:col min="8" max="9" width="16.9140625" customWidth="1"/>
    <x:col min="10" max="10" width="48" customWidth="1"/>
    <x:col min="11" max="11" width="44" customWidth="1"/>
    <x:col min="12" max="12" width="35" customWidth="1"/>
    <x:col min="13" max="13" width="42" customWidth="1"/>
    <x:col min="14" max="14" width="10.4140625" customWidth="1"/>
    <x:col min="15" max="15" width="8.5" customWidth="1"/>
    <x:col min="16" max="16" width="38" customWidth="1"/>
    <x:col min="17" max="17" width="8.5" customWidth="1"/>
    <x:col min="18" max="19" width="10.4140625" customWidth="1"/>
    <x:col min="20" max="20" width="14" customWidth="1"/>
    <x:col min="21" max="21" width="44" customWidth="1"/>
  </x:cols>
  <x:sheetData>
    <x:row r="1" ht="20" customHeight="1">
      <x:c r="A1" s="6" t="str">
        <x:v>人工复核决定（17项已全部关闭并导入）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8"/>
      <x:c r="S1" s="6"/>
      <x:c r="T1" s="6"/>
      <x:c r="U1" s="6"/>
    </x:row>
    <x:row r="3">
      <x:c r="A3" s="3" t="s">
        <x:v>85</x:v>
      </x:c>
      <x:c r="B3" s="3" t="s">
        <x:v>12</x:v>
      </x:c>
      <x:c r="C3" s="3" t="s">
        <x:v>86</x:v>
      </x:c>
      <x:c r="D3" s="3" t="s">
        <x:v>72</x:v>
      </x:c>
      <x:c r="E3" s="3" t="s">
        <x:v>73</x:v>
      </x:c>
      <x:c r="F3" s="3" t="s">
        <x:v>74</x:v>
      </x:c>
      <x:c r="G3" s="3" t="s">
        <x:v>75</x:v>
      </x:c>
      <x:c r="H3" s="3" t="s">
        <x:v>87</x:v>
      </x:c>
      <x:c r="I3" s="3" t="s">
        <x:v>88</x:v>
      </x:c>
      <x:c r="J3" s="3" t="s">
        <x:v>89</x:v>
      </x:c>
      <x:c r="K3" s="3" t="s">
        <x:v>90</x:v>
      </x:c>
      <x:c r="L3" s="3" t="s">
        <x:v>20</x:v>
      </x:c>
      <x:c r="M3" s="3" t="s">
        <x:v>91</x:v>
      </x:c>
      <x:c r="N3" s="3" t="s">
        <x:v>315</x:v>
      </x:c>
      <x:c r="O3" s="3" t="s">
        <x:v>316</x:v>
      </x:c>
      <x:c r="P3" s="3" t="s">
        <x:v>317</x:v>
      </x:c>
      <x:c r="Q3" s="3" t="s">
        <x:v>318</x:v>
      </x:c>
      <x:c r="R3" s="3" t="s">
        <x:v>319</x:v>
      </x:c>
      <x:c r="S3" s="3" t="s">
        <x:v>27</x:v>
      </x:c>
      <x:c r="T3" s="3" t="s">
        <x:v>320</x:v>
      </x:c>
      <x:c r="U3" s="3" t="s">
        <x:v>321</x:v>
      </x:c>
    </x:row>
    <x:row r="4" ht="56">
      <x:c r="A4" s="4" t="s">
        <x:v>92</x:v>
      </x:c>
      <x:c r="B4" s="4" t="s">
        <x:v>16</x:v>
      </x:c>
      <x:c r="C4" s="4" t="s">
        <x:v>93</x:v>
      </x:c>
      <x:c r="D4" s="4" t="s">
        <x:v>94</x:v>
      </x:c>
      <x:c r="E4" s="4" t="s">
        <x:v>95</x:v>
      </x:c>
      <x:c r="F4" s="4" t="s">
        <x:v>96</x:v>
      </x:c>
      <x:c r="G4" s="4" t="s">
        <x:v>97</x:v>
      </x:c>
      <x:c r="H4" s="4" t="s">
        <x:v>98</x:v>
      </x:c>
      <x:c r="I4" s="4" t="s">
        <x:v>99</x:v>
      </x:c>
      <x:c r="J4" s="4" t="s">
        <x:v>100</x:v>
      </x:c>
      <x:c r="K4" s="4" t="s">
        <x:v>101</x:v>
      </x:c>
      <x:c r="L4" s="4" t="s">
        <x:v>102</x:v>
      </x:c>
      <x:c r="M4" s="4" t="s">
        <x:v>103</x:v>
      </x:c>
      <x:c r="N4" s="26" t="s">
        <x:v>322</x:v>
      </x:c>
      <x:c r="O4" s="26"/>
      <x:c r="P4" s="26"/>
      <x:c r="Q4" s="26" t="s">
        <x:v>323</x:v>
      </x:c>
      <x:c r="R4" s="26">
        <x:v>7.17</x:v>
      </x:c>
      <x:c r="S4" s="26" t="s">
        <x:v>324</x:v>
      </x:c>
      <x:c r="T4" s="26" t="str">
        <x:f t="shared" ref="T4:T20" si="0">IF(AND(N4="",S4="待复核"),"待填写",IF(AND(N4="人工修正",OR(O4="",P4="")),"不完整",IF(AND(OR(N4="保留未知",N4="退回重新检查"),P4=""),"不完整",IF(AND(N4&lt;&gt;"",Q4&lt;&gt;"",R4&lt;&gt;"",S4="已关闭"),"可导入","待关闭"))))</x:f>
        <x:v>可导入</x:v>
      </x:c>
      <x:c r="U4" s="4" t="str">
        <x:f t="shared" ref="U4:U20" si="1">IF(N4="人工修正","必填：修正值、说明、复核人、日期、已关闭",IF(OR(N4="保留未知",N4="退回重新检查"),"必填：说明、复核人、日期、已关闭",IF(N4="确认自动结果","必填：复核人、日期、已关闭","请选择人工决定")))</x:f>
        <x:v>必填：复核人、日期、已关闭</x:v>
      </x:c>
    </x:row>
    <x:row r="5" ht="70">
      <x:c r="A5" s="4" t="s">
        <x:v>104</x:v>
      </x:c>
      <x:c r="B5" s="4" t="s">
        <x:v>17</x:v>
      </x:c>
      <x:c r="C5" s="4" t="s">
        <x:v>105</x:v>
      </x:c>
      <x:c r="D5" s="4" t="s">
        <x:v>106</x:v>
      </x:c>
      <x:c r="E5" s="4" t="s">
        <x:v>107</x:v>
      </x:c>
      <x:c r="F5" s="4" t="s">
        <x:v>108</x:v>
      </x:c>
      <x:c r="G5" s="4" t="s">
        <x:v>109</x:v>
      </x:c>
      <x:c r="H5" s="4" t="s">
        <x:v>110</x:v>
      </x:c>
      <x:c r="I5" s="4" t="s">
        <x:v>111</x:v>
      </x:c>
      <x:c r="J5" s="4" t="s">
        <x:v>112</x:v>
      </x:c>
      <x:c r="K5" s="4" t="s">
        <x:v>113</x:v>
      </x:c>
      <x:c r="L5" s="4" t="s">
        <x:v>114</x:v>
      </x:c>
      <x:c r="M5" s="4" t="s">
        <x:v>115</x:v>
      </x:c>
      <x:c r="N5" s="26" t="s">
        <x:v>322</x:v>
      </x:c>
      <x:c r="O5" s="26"/>
      <x:c r="P5" s="26"/>
      <x:c r="Q5" s="26" t="s">
        <x:v>323</x:v>
      </x:c>
      <x:c r="R5" s="26">
        <x:v>7.17</x:v>
      </x:c>
      <x:c r="S5" s="26" t="s">
        <x:v>324</x:v>
      </x:c>
      <x:c r="T5" s="26" t="str">
        <x:f t="shared" si="0"/>
        <x:v>可导入</x:v>
      </x:c>
      <x:c r="U5" s="4" t="str">
        <x:f t="shared" si="1"/>
        <x:v>必填：复核人、日期、已关闭</x:v>
      </x:c>
    </x:row>
    <x:row r="6" ht="70">
      <x:c r="A6" s="4" t="s">
        <x:v>116</x:v>
      </x:c>
      <x:c r="B6" s="4" t="s">
        <x:v>17</x:v>
      </x:c>
      <x:c r="C6" s="4" t="s">
        <x:v>105</x:v>
      </x:c>
      <x:c r="D6" s="4" t="s">
        <x:v>106</x:v>
      </x:c>
      <x:c r="E6" s="4" t="s">
        <x:v>117</x:v>
      </x:c>
      <x:c r="F6" s="4" t="s">
        <x:v>118</x:v>
      </x:c>
      <x:c r="G6" s="4" t="s">
        <x:v>119</x:v>
      </x:c>
      <x:c r="H6" s="4" t="s">
        <x:v>120</x:v>
      </x:c>
      <x:c r="I6" s="4" t="s">
        <x:v>121</x:v>
      </x:c>
      <x:c r="J6" s="4" t="s">
        <x:v>122</x:v>
      </x:c>
      <x:c r="K6" s="4" t="s">
        <x:v>113</x:v>
      </x:c>
      <x:c r="L6" s="4" t="s">
        <x:v>114</x:v>
      </x:c>
      <x:c r="M6" s="4" t="s">
        <x:v>115</x:v>
      </x:c>
      <x:c r="N6" s="26" t="s">
        <x:v>322</x:v>
      </x:c>
      <x:c r="O6" s="26"/>
      <x:c r="P6" s="26"/>
      <x:c r="Q6" s="26" t="s">
        <x:v>323</x:v>
      </x:c>
      <x:c r="R6" s="26">
        <x:v>7.17</x:v>
      </x:c>
      <x:c r="S6" s="26" t="s">
        <x:v>324</x:v>
      </x:c>
      <x:c r="T6" s="26" t="str">
        <x:f t="shared" si="0"/>
        <x:v>可导入</x:v>
      </x:c>
      <x:c r="U6" s="4" t="str">
        <x:f t="shared" si="1"/>
        <x:v>必填：复核人、日期、已关闭</x:v>
      </x:c>
    </x:row>
    <x:row r="7" ht="42">
      <x:c r="A7" s="4" t="s">
        <x:v>123</x:v>
      </x:c>
      <x:c r="B7" s="4" t="s">
        <x:v>17</x:v>
      </x:c>
      <x:c r="C7" s="4" t="s">
        <x:v>105</x:v>
      </x:c>
      <x:c r="D7" s="4" t="s">
        <x:v>106</x:v>
      </x:c>
      <x:c r="E7" s="4" t="s">
        <x:v>124</x:v>
      </x:c>
      <x:c r="F7" s="4" t="s">
        <x:v>125</x:v>
      </x:c>
      <x:c r="G7" s="4" t="s">
        <x:v>126</x:v>
      </x:c>
      <x:c r="H7" s="4" t="s">
        <x:v>127</x:v>
      </x:c>
      <x:c r="I7" s="4" t="s">
        <x:v>128</x:v>
      </x:c>
      <x:c r="J7" s="4" t="s">
        <x:v>129</x:v>
      </x:c>
      <x:c r="K7" s="4" t="s">
        <x:v>113</x:v>
      </x:c>
      <x:c r="L7" s="4" t="s">
        <x:v>114</x:v>
      </x:c>
      <x:c r="M7" s="4" t="s">
        <x:v>115</x:v>
      </x:c>
      <x:c r="N7" s="26" t="s">
        <x:v>322</x:v>
      </x:c>
      <x:c r="O7" s="26"/>
      <x:c r="P7" s="26"/>
      <x:c r="Q7" s="26" t="s">
        <x:v>323</x:v>
      </x:c>
      <x:c r="R7" s="26">
        <x:v>7.17</x:v>
      </x:c>
      <x:c r="S7" s="26" t="s">
        <x:v>324</x:v>
      </x:c>
      <x:c r="T7" s="26" t="str">
        <x:f t="shared" si="0"/>
        <x:v>可导入</x:v>
      </x:c>
      <x:c r="U7" s="4" t="str">
        <x:f t="shared" si="1"/>
        <x:v>必填：复核人、日期、已关闭</x:v>
      </x:c>
    </x:row>
    <x:row r="8" ht="56">
      <x:c r="A8" s="4" t="s">
        <x:v>130</x:v>
      </x:c>
      <x:c r="B8" s="4" t="s">
        <x:v>17</x:v>
      </x:c>
      <x:c r="C8" s="4" t="s">
        <x:v>105</x:v>
      </x:c>
      <x:c r="D8" s="4" t="s">
        <x:v>106</x:v>
      </x:c>
      <x:c r="E8" s="4" t="s">
        <x:v>131</x:v>
      </x:c>
      <x:c r="F8" s="4" t="s">
        <x:v>132</x:v>
      </x:c>
      <x:c r="G8" s="4" t="s">
        <x:v>133</x:v>
      </x:c>
      <x:c r="H8" s="4" t="s">
        <x:v>134</x:v>
      </x:c>
      <x:c r="I8" s="4" t="s">
        <x:v>98</x:v>
      </x:c>
      <x:c r="J8" s="4" t="s">
        <x:v>135</x:v>
      </x:c>
      <x:c r="K8" s="4" t="s">
        <x:v>113</x:v>
      </x:c>
      <x:c r="L8" s="4" t="s">
        <x:v>114</x:v>
      </x:c>
      <x:c r="M8" s="4" t="s">
        <x:v>115</x:v>
      </x:c>
      <x:c r="N8" s="26" t="s">
        <x:v>322</x:v>
      </x:c>
      <x:c r="O8" s="26"/>
      <x:c r="P8" s="26"/>
      <x:c r="Q8" s="26" t="s">
        <x:v>323</x:v>
      </x:c>
      <x:c r="R8" s="26">
        <x:v>7.17</x:v>
      </x:c>
      <x:c r="S8" s="26" t="s">
        <x:v>324</x:v>
      </x:c>
      <x:c r="T8" s="26" t="str">
        <x:f t="shared" si="0"/>
        <x:v>可导入</x:v>
      </x:c>
      <x:c r="U8" s="4" t="str">
        <x:f t="shared" si="1"/>
        <x:v>必填：复核人、日期、已关闭</x:v>
      </x:c>
    </x:row>
    <x:row r="9" ht="56">
      <x:c r="A9" s="4" t="s">
        <x:v>136</x:v>
      </x:c>
      <x:c r="B9" s="4" t="s">
        <x:v>17</x:v>
      </x:c>
      <x:c r="C9" s="4" t="s">
        <x:v>105</x:v>
      </x:c>
      <x:c r="D9" s="4" t="s">
        <x:v>106</x:v>
      </x:c>
      <x:c r="E9" s="4" t="s">
        <x:v>137</x:v>
      </x:c>
      <x:c r="F9" s="4" t="s">
        <x:v>132</x:v>
      </x:c>
      <x:c r="G9" s="4" t="s">
        <x:v>133</x:v>
      </x:c>
      <x:c r="H9" s="4" t="s">
        <x:v>134</x:v>
      </x:c>
      <x:c r="I9" s="4" t="s">
        <x:v>98</x:v>
      </x:c>
      <x:c r="J9" s="4" t="s">
        <x:v>138</x:v>
      </x:c>
      <x:c r="K9" s="4" t="s">
        <x:v>113</x:v>
      </x:c>
      <x:c r="L9" s="4" t="s">
        <x:v>114</x:v>
      </x:c>
      <x:c r="M9" s="4" t="s">
        <x:v>115</x:v>
      </x:c>
      <x:c r="N9" s="26" t="s">
        <x:v>322</x:v>
      </x:c>
      <x:c r="O9" s="26"/>
      <x:c r="P9" s="26"/>
      <x:c r="Q9" s="26" t="s">
        <x:v>323</x:v>
      </x:c>
      <x:c r="R9" s="26">
        <x:v>7.17</x:v>
      </x:c>
      <x:c r="S9" s="26" t="s">
        <x:v>324</x:v>
      </x:c>
      <x:c r="T9" s="26" t="str">
        <x:f t="shared" si="0"/>
        <x:v>可导入</x:v>
      </x:c>
      <x:c r="U9" s="4" t="str">
        <x:f t="shared" si="1"/>
        <x:v>必填：复核人、日期、已关闭</x:v>
      </x:c>
    </x:row>
    <x:row r="10" ht="56">
      <x:c r="A10" s="4" t="s">
        <x:v>139</x:v>
      </x:c>
      <x:c r="B10" s="4" t="s">
        <x:v>17</x:v>
      </x:c>
      <x:c r="C10" s="4" t="s">
        <x:v>105</x:v>
      </x:c>
      <x:c r="D10" s="4" t="s">
        <x:v>106</x:v>
      </x:c>
      <x:c r="E10" s="4" t="s">
        <x:v>140</x:v>
      </x:c>
      <x:c r="F10" s="4" t="s">
        <x:v>132</x:v>
      </x:c>
      <x:c r="G10" s="4" t="s">
        <x:v>133</x:v>
      </x:c>
      <x:c r="H10" s="4" t="s">
        <x:v>134</x:v>
      </x:c>
      <x:c r="I10" s="4" t="s">
        <x:v>98</x:v>
      </x:c>
      <x:c r="J10" s="4" t="s">
        <x:v>141</x:v>
      </x:c>
      <x:c r="K10" s="4" t="s">
        <x:v>113</x:v>
      </x:c>
      <x:c r="L10" s="4" t="s">
        <x:v>114</x:v>
      </x:c>
      <x:c r="M10" s="4" t="s">
        <x:v>115</x:v>
      </x:c>
      <x:c r="N10" s="26" t="s">
        <x:v>322</x:v>
      </x:c>
      <x:c r="O10" s="26"/>
      <x:c r="P10" s="26"/>
      <x:c r="Q10" s="26" t="s">
        <x:v>323</x:v>
      </x:c>
      <x:c r="R10" s="26">
        <x:v>7.17</x:v>
      </x:c>
      <x:c r="S10" s="26" t="s">
        <x:v>324</x:v>
      </x:c>
      <x:c r="T10" s="26" t="str">
        <x:f t="shared" si="0"/>
        <x:v>可导入</x:v>
      </x:c>
      <x:c r="U10" s="4" t="str">
        <x:f t="shared" si="1"/>
        <x:v>必填：复核人、日期、已关闭</x:v>
      </x:c>
    </x:row>
    <x:row r="11" ht="56">
      <x:c r="A11" s="4" t="s">
        <x:v>142</x:v>
      </x:c>
      <x:c r="B11" s="4" t="s">
        <x:v>17</x:v>
      </x:c>
      <x:c r="C11" s="4" t="s">
        <x:v>93</x:v>
      </x:c>
      <x:c r="D11" s="4" t="s">
        <x:v>106</x:v>
      </x:c>
      <x:c r="E11" s="4" t="s">
        <x:v>143</x:v>
      </x:c>
      <x:c r="F11" s="4" t="s">
        <x:v>144</x:v>
      </x:c>
      <x:c r="G11" s="4" t="s">
        <x:v>145</x:v>
      </x:c>
      <x:c r="H11" s="4" t="s">
        <x:v>146</x:v>
      </x:c>
      <x:c r="I11" s="4" t="s">
        <x:v>147</x:v>
      </x:c>
      <x:c r="J11" s="4" t="s">
        <x:v>148</x:v>
      </x:c>
      <x:c r="K11" s="4" t="s">
        <x:v>149</x:v>
      </x:c>
      <x:c r="L11" s="4" t="s">
        <x:v>114</x:v>
      </x:c>
      <x:c r="M11" s="4" t="s">
        <x:v>115</x:v>
      </x:c>
      <x:c r="N11" s="26" t="s">
        <x:v>322</x:v>
      </x:c>
      <x:c r="O11" s="26"/>
      <x:c r="P11" s="26"/>
      <x:c r="Q11" s="26" t="s">
        <x:v>323</x:v>
      </x:c>
      <x:c r="R11" s="26">
        <x:v>7.17</x:v>
      </x:c>
      <x:c r="S11" s="26" t="s">
        <x:v>324</x:v>
      </x:c>
      <x:c r="T11" s="26" t="str">
        <x:f t="shared" si="0"/>
        <x:v>可导入</x:v>
      </x:c>
      <x:c r="U11" s="4" t="str">
        <x:f t="shared" si="1"/>
        <x:v>必填：复核人、日期、已关闭</x:v>
      </x:c>
    </x:row>
    <x:row r="12" ht="98">
      <x:c r="A12" s="4" t="s">
        <x:v>150</x:v>
      </x:c>
      <x:c r="B12" s="4" t="s">
        <x:v>17</x:v>
      </x:c>
      <x:c r="C12" s="4" t="s">
        <x:v>93</x:v>
      </x:c>
      <x:c r="D12" s="4" t="s">
        <x:v>106</x:v>
      </x:c>
      <x:c r="E12" s="4" t="s">
        <x:v>151</x:v>
      </x:c>
      <x:c r="F12" s="4" t="s">
        <x:v>144</x:v>
      </x:c>
      <x:c r="G12" s="4" t="s">
        <x:v>145</x:v>
      </x:c>
      <x:c r="H12" s="4" t="s">
        <x:v>146</x:v>
      </x:c>
      <x:c r="I12" s="4" t="s">
        <x:v>147</x:v>
      </x:c>
      <x:c r="J12" s="4" t="s">
        <x:v>152</x:v>
      </x:c>
      <x:c r="K12" s="4" t="s">
        <x:v>149</x:v>
      </x:c>
      <x:c r="L12" s="4" t="s">
        <x:v>114</x:v>
      </x:c>
      <x:c r="M12" s="4" t="s">
        <x:v>115</x:v>
      </x:c>
      <x:c r="N12" s="26" t="s">
        <x:v>322</x:v>
      </x:c>
      <x:c r="O12" s="26"/>
      <x:c r="P12" s="26"/>
      <x:c r="Q12" s="26" t="s">
        <x:v>323</x:v>
      </x:c>
      <x:c r="R12" s="26">
        <x:v>7.17</x:v>
      </x:c>
      <x:c r="S12" s="26" t="s">
        <x:v>324</x:v>
      </x:c>
      <x:c r="T12" s="26" t="str">
        <x:f t="shared" si="0"/>
        <x:v>可导入</x:v>
      </x:c>
      <x:c r="U12" s="4" t="str">
        <x:f t="shared" si="1"/>
        <x:v>必填：复核人、日期、已关闭</x:v>
      </x:c>
    </x:row>
    <x:row r="13" ht="28">
      <x:c r="A13" s="4" t="s">
        <x:v>153</x:v>
      </x:c>
      <x:c r="B13" s="4" t="s">
        <x:v>18</x:v>
      </x:c>
      <x:c r="C13" s="4" t="s">
        <x:v>105</x:v>
      </x:c>
      <x:c r="D13" s="4" t="s">
        <x:v>154</x:v>
      </x:c>
      <x:c r="E13" s="4" t="s">
        <x:v>155</x:v>
      </x:c>
      <x:c r="F13" s="4" t="s">
        <x:v>156</x:v>
      </x:c>
      <x:c r="G13" s="4" t="s">
        <x:v>157</x:v>
      </x:c>
      <x:c r="H13" s="4" t="s">
        <x:v>158</x:v>
      </x:c>
      <x:c r="I13" s="4" t="s">
        <x:v>134</x:v>
      </x:c>
      <x:c r="J13" s="4" t="s">
        <x:v>159</x:v>
      </x:c>
      <x:c r="K13" s="4" t="s">
        <x:v>160</x:v>
      </x:c>
      <x:c r="L13" s="4" t="s">
        <x:v>161</x:v>
      </x:c>
      <x:c r="M13" s="4" t="s">
        <x:v>162</x:v>
      </x:c>
      <x:c r="N13" s="26" t="s">
        <x:v>322</x:v>
      </x:c>
      <x:c r="O13" s="26"/>
      <x:c r="P13" s="26"/>
      <x:c r="Q13" s="26" t="s">
        <x:v>323</x:v>
      </x:c>
      <x:c r="R13" s="26">
        <x:v>7.17</x:v>
      </x:c>
      <x:c r="S13" s="26" t="s">
        <x:v>324</x:v>
      </x:c>
      <x:c r="T13" s="26" t="str">
        <x:f t="shared" si="0"/>
        <x:v>可导入</x:v>
      </x:c>
      <x:c r="U13" s="4" t="str">
        <x:f t="shared" si="1"/>
        <x:v>必填：复核人、日期、已关闭</x:v>
      </x:c>
    </x:row>
    <x:row r="14" ht="28">
      <x:c r="A14" s="4" t="s">
        <x:v>163</x:v>
      </x:c>
      <x:c r="B14" s="4" t="s">
        <x:v>18</x:v>
      </x:c>
      <x:c r="C14" s="4" t="s">
        <x:v>105</x:v>
      </x:c>
      <x:c r="D14" s="4" t="s">
        <x:v>154</x:v>
      </x:c>
      <x:c r="E14" s="4" t="s">
        <x:v>164</x:v>
      </x:c>
      <x:c r="F14" s="4" t="s">
        <x:v>156</x:v>
      </x:c>
      <x:c r="G14" s="4" t="s">
        <x:v>157</x:v>
      </x:c>
      <x:c r="H14" s="4" t="s">
        <x:v>158</x:v>
      </x:c>
      <x:c r="I14" s="4" t="s">
        <x:v>134</x:v>
      </x:c>
      <x:c r="J14" s="4" t="s">
        <x:v>159</x:v>
      </x:c>
      <x:c r="K14" s="4" t="s">
        <x:v>165</x:v>
      </x:c>
      <x:c r="L14" s="4" t="s">
        <x:v>161</x:v>
      </x:c>
      <x:c r="M14" s="4" t="s">
        <x:v>162</x:v>
      </x:c>
      <x:c r="N14" s="26" t="s">
        <x:v>322</x:v>
      </x:c>
      <x:c r="O14" s="26"/>
      <x:c r="P14" s="26"/>
      <x:c r="Q14" s="26" t="s">
        <x:v>323</x:v>
      </x:c>
      <x:c r="R14" s="26">
        <x:v>7.17</x:v>
      </x:c>
      <x:c r="S14" s="26" t="s">
        <x:v>324</x:v>
      </x:c>
      <x:c r="T14" s="26" t="str">
        <x:f t="shared" si="0"/>
        <x:v>可导入</x:v>
      </x:c>
      <x:c r="U14" s="4" t="str">
        <x:f t="shared" si="1"/>
        <x:v>必填：复核人、日期、已关闭</x:v>
      </x:c>
    </x:row>
    <x:row r="15" ht="28">
      <x:c r="A15" s="4" t="s">
        <x:v>166</x:v>
      </x:c>
      <x:c r="B15" s="4" t="s">
        <x:v>18</x:v>
      </x:c>
      <x:c r="C15" s="4" t="s">
        <x:v>105</x:v>
      </x:c>
      <x:c r="D15" s="4" t="s">
        <x:v>154</x:v>
      </x:c>
      <x:c r="E15" s="4" t="s">
        <x:v>167</x:v>
      </x:c>
      <x:c r="F15" s="4" t="s">
        <x:v>156</x:v>
      </x:c>
      <x:c r="G15" s="4" t="s">
        <x:v>168</x:v>
      </x:c>
      <x:c r="H15" s="4" t="s">
        <x:v>169</x:v>
      </x:c>
      <x:c r="I15" s="4" t="s">
        <x:v>170</x:v>
      </x:c>
      <x:c r="J15" s="4" t="s">
        <x:v>171</x:v>
      </x:c>
      <x:c r="K15" s="4" t="s">
        <x:v>160</x:v>
      </x:c>
      <x:c r="L15" s="4" t="s">
        <x:v>161</x:v>
      </x:c>
      <x:c r="M15" s="4" t="s">
        <x:v>162</x:v>
      </x:c>
      <x:c r="N15" s="26" t="s">
        <x:v>322</x:v>
      </x:c>
      <x:c r="O15" s="26"/>
      <x:c r="P15" s="26"/>
      <x:c r="Q15" s="26" t="s">
        <x:v>323</x:v>
      </x:c>
      <x:c r="R15" s="26">
        <x:v>7.17</x:v>
      </x:c>
      <x:c r="S15" s="26" t="s">
        <x:v>324</x:v>
      </x:c>
      <x:c r="T15" s="26" t="str">
        <x:f t="shared" si="0"/>
        <x:v>可导入</x:v>
      </x:c>
      <x:c r="U15" s="4" t="str">
        <x:f t="shared" si="1"/>
        <x:v>必填：复核人、日期、已关闭</x:v>
      </x:c>
    </x:row>
    <x:row r="16" ht="28">
      <x:c r="A16" s="4" t="s">
        <x:v>172</x:v>
      </x:c>
      <x:c r="B16" s="4" t="s">
        <x:v>18</x:v>
      </x:c>
      <x:c r="C16" s="4" t="s">
        <x:v>105</x:v>
      </x:c>
      <x:c r="D16" s="4" t="s">
        <x:v>154</x:v>
      </x:c>
      <x:c r="E16" s="4" t="s">
        <x:v>173</x:v>
      </x:c>
      <x:c r="F16" s="4" t="s">
        <x:v>156</x:v>
      </x:c>
      <x:c r="G16" s="4" t="s">
        <x:v>174</x:v>
      </x:c>
      <x:c r="H16" s="4" t="s">
        <x:v>175</x:v>
      </x:c>
      <x:c r="I16" s="4" t="s">
        <x:v>176</x:v>
      </x:c>
      <x:c r="J16" s="4" t="s">
        <x:v>177</x:v>
      </x:c>
      <x:c r="K16" s="4" t="s">
        <x:v>160</x:v>
      </x:c>
      <x:c r="L16" s="4" t="s">
        <x:v>161</x:v>
      </x:c>
      <x:c r="M16" s="4" t="s">
        <x:v>162</x:v>
      </x:c>
      <x:c r="N16" s="26" t="s">
        <x:v>322</x:v>
      </x:c>
      <x:c r="O16" s="26"/>
      <x:c r="P16" s="26"/>
      <x:c r="Q16" s="26" t="s">
        <x:v>323</x:v>
      </x:c>
      <x:c r="R16" s="26">
        <x:v>7.17</x:v>
      </x:c>
      <x:c r="S16" s="26" t="s">
        <x:v>324</x:v>
      </x:c>
      <x:c r="T16" s="26" t="str">
        <x:f t="shared" si="0"/>
        <x:v>可导入</x:v>
      </x:c>
      <x:c r="U16" s="4" t="str">
        <x:f t="shared" si="1"/>
        <x:v>必填：复核人、日期、已关闭</x:v>
      </x:c>
    </x:row>
    <x:row r="17" ht="42">
      <x:c r="A17" s="4" t="s">
        <x:v>178</x:v>
      </x:c>
      <x:c r="B17" s="4" t="s">
        <x:v>18</x:v>
      </x:c>
      <x:c r="C17" s="4" t="s">
        <x:v>105</x:v>
      </x:c>
      <x:c r="D17" s="4" t="s">
        <x:v>154</x:v>
      </x:c>
      <x:c r="E17" s="4" t="s">
        <x:v>179</x:v>
      </x:c>
      <x:c r="F17" s="4" t="s">
        <x:v>156</x:v>
      </x:c>
      <x:c r="G17" s="4" t="s">
        <x:v>180</x:v>
      </x:c>
      <x:c r="H17" s="4" t="s">
        <x:v>181</x:v>
      </x:c>
      <x:c r="I17" s="4" t="s">
        <x:v>182</x:v>
      </x:c>
      <x:c r="J17" s="4" t="s">
        <x:v>183</x:v>
      </x:c>
      <x:c r="K17" s="4" t="s">
        <x:v>160</x:v>
      </x:c>
      <x:c r="L17" s="4" t="s">
        <x:v>161</x:v>
      </x:c>
      <x:c r="M17" s="4" t="s">
        <x:v>162</x:v>
      </x:c>
      <x:c r="N17" s="26" t="s">
        <x:v>322</x:v>
      </x:c>
      <x:c r="O17" s="26"/>
      <x:c r="P17" s="26"/>
      <x:c r="Q17" s="26" t="s">
        <x:v>323</x:v>
      </x:c>
      <x:c r="R17" s="26">
        <x:v>7.17</x:v>
      </x:c>
      <x:c r="S17" s="26" t="s">
        <x:v>324</x:v>
      </x:c>
      <x:c r="T17" s="26" t="str">
        <x:f t="shared" si="0"/>
        <x:v>可导入</x:v>
      </x:c>
      <x:c r="U17" s="4" t="str">
        <x:f t="shared" si="1"/>
        <x:v>必填：复核人、日期、已关闭</x:v>
      </x:c>
    </x:row>
    <x:row r="18" ht="28">
      <x:c r="A18" s="4" t="s">
        <x:v>184</x:v>
      </x:c>
      <x:c r="B18" s="4" t="s">
        <x:v>18</x:v>
      </x:c>
      <x:c r="C18" s="4" t="s">
        <x:v>105</x:v>
      </x:c>
      <x:c r="D18" s="4" t="s">
        <x:v>154</x:v>
      </x:c>
      <x:c r="E18" s="4" t="s">
        <x:v>185</x:v>
      </x:c>
      <x:c r="F18" s="4" t="s">
        <x:v>156</x:v>
      </x:c>
      <x:c r="G18" s="4" t="s">
        <x:v>186</x:v>
      </x:c>
      <x:c r="H18" s="4" t="s">
        <x:v>187</x:v>
      </x:c>
      <x:c r="I18" s="4" t="s">
        <x:v>188</x:v>
      </x:c>
      <x:c r="J18" s="4" t="s">
        <x:v>189</x:v>
      </x:c>
      <x:c r="K18" s="4" t="s">
        <x:v>160</x:v>
      </x:c>
      <x:c r="L18" s="4" t="s">
        <x:v>161</x:v>
      </x:c>
      <x:c r="M18" s="4" t="s">
        <x:v>162</x:v>
      </x:c>
      <x:c r="N18" s="26" t="s">
        <x:v>322</x:v>
      </x:c>
      <x:c r="O18" s="26"/>
      <x:c r="P18" s="26"/>
      <x:c r="Q18" s="26" t="s">
        <x:v>323</x:v>
      </x:c>
      <x:c r="R18" s="26">
        <x:v>7.17</x:v>
      </x:c>
      <x:c r="S18" s="26" t="s">
        <x:v>324</x:v>
      </x:c>
      <x:c r="T18" s="26" t="str">
        <x:f t="shared" si="0"/>
        <x:v>可导入</x:v>
      </x:c>
      <x:c r="U18" s="4" t="str">
        <x:f t="shared" si="1"/>
        <x:v>必填：复核人、日期、已关闭</x:v>
      </x:c>
    </x:row>
    <x:row r="19" ht="42">
      <x:c r="A19" s="4" t="s">
        <x:v>190</x:v>
      </x:c>
      <x:c r="B19" s="4" t="s">
        <x:v>18</x:v>
      </x:c>
      <x:c r="C19" s="4" t="s">
        <x:v>105</x:v>
      </x:c>
      <x:c r="D19" s="4" t="s">
        <x:v>154</x:v>
      </x:c>
      <x:c r="E19" s="4" t="s">
        <x:v>191</x:v>
      </x:c>
      <x:c r="F19" s="4" t="s">
        <x:v>156</x:v>
      </x:c>
      <x:c r="G19" s="4" t="s">
        <x:v>192</x:v>
      </x:c>
      <x:c r="H19" s="4" t="s">
        <x:v>193</x:v>
      </x:c>
      <x:c r="I19" s="4" t="s">
        <x:v>194</x:v>
      </x:c>
      <x:c r="J19" s="4" t="s">
        <x:v>195</x:v>
      </x:c>
      <x:c r="K19" s="4" t="s">
        <x:v>160</x:v>
      </x:c>
      <x:c r="L19" s="4" t="s">
        <x:v>161</x:v>
      </x:c>
      <x:c r="M19" s="4" t="s">
        <x:v>162</x:v>
      </x:c>
      <x:c r="N19" s="26" t="s">
        <x:v>322</x:v>
      </x:c>
      <x:c r="O19" s="26"/>
      <x:c r="P19" s="26"/>
      <x:c r="Q19" s="26" t="s">
        <x:v>323</x:v>
      </x:c>
      <x:c r="R19" s="26">
        <x:v>7.17</x:v>
      </x:c>
      <x:c r="S19" s="26" t="s">
        <x:v>324</x:v>
      </x:c>
      <x:c r="T19" s="26" t="str">
        <x:f t="shared" si="0"/>
        <x:v>可导入</x:v>
      </x:c>
      <x:c r="U19" s="4" t="str">
        <x:f t="shared" si="1"/>
        <x:v>必填：复核人、日期、已关闭</x:v>
      </x:c>
    </x:row>
    <x:row r="20" ht="28">
      <x:c r="A20" s="4" t="s">
        <x:v>196</x:v>
      </x:c>
      <x:c r="B20" s="4" t="s">
        <x:v>18</x:v>
      </x:c>
      <x:c r="C20" s="4" t="s">
        <x:v>105</x:v>
      </x:c>
      <x:c r="D20" s="4" t="s">
        <x:v>154</x:v>
      </x:c>
      <x:c r="E20" s="4" t="s">
        <x:v>197</x:v>
      </x:c>
      <x:c r="F20" s="4" t="s">
        <x:v>156</x:v>
      </x:c>
      <x:c r="G20" s="4" t="s">
        <x:v>198</x:v>
      </x:c>
      <x:c r="H20" s="4" t="s">
        <x:v>199</x:v>
      </x:c>
      <x:c r="I20" s="4" t="s">
        <x:v>200</x:v>
      </x:c>
      <x:c r="J20" s="4" t="s">
        <x:v>201</x:v>
      </x:c>
      <x:c r="K20" s="4" t="s">
        <x:v>160</x:v>
      </x:c>
      <x:c r="L20" s="4" t="s">
        <x:v>161</x:v>
      </x:c>
      <x:c r="M20" s="4" t="s">
        <x:v>162</x:v>
      </x:c>
      <x:c r="N20" s="26" t="s">
        <x:v>322</x:v>
      </x:c>
      <x:c r="O20" s="26"/>
      <x:c r="P20" s="26"/>
      <x:c r="Q20" s="26" t="s">
        <x:v>323</x:v>
      </x:c>
      <x:c r="R20" s="26">
        <x:v>7.17</x:v>
      </x:c>
      <x:c r="S20" s="26" t="s">
        <x:v>324</x:v>
      </x:c>
      <x:c r="T20" s="26" t="str">
        <x:f t="shared" si="0"/>
        <x:v>可导入</x:v>
      </x:c>
      <x:c r="U20" s="4" t="str">
        <x:f t="shared" si="1"/>
        <x:v>必填：复核人、日期、已关闭</x:v>
      </x:c>
    </x:row>
  </x:sheetData>
  <x:mergeCells>
    <x:mergeCell ref="A1:U1"/>
  </x:mergeCells>
  <x:conditionalFormatting sqref="T4:T20">
    <x:cfRule type="expression" dxfId="1" priority="1">
      <x:formula>T4="可导入"</x:formula>
    </x:cfRule>
    <x:cfRule type="expression" dxfId="0" priority="2">
      <x:formula>OR(T4="不完整",T4="待关闭")</x:formula>
    </x:cfRule>
  </x:conditionalFormatting>
  <x:dataValidations count="2">
    <x:dataValidation type="list" sqref="N4:N20">
      <x:formula1>"确认自动结果,人工修正,保留未知,退回重新检查"</x:formula1>
    </x:dataValidation>
    <x:dataValidation type="list" sqref="S4:S20">
      <x:formula1>"待复核,复核中,已关闭"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61245d318c6487b"/>
  </x:tableParts>
</x:worksheet>
</file>

<file path=xl/worksheets/sheet9.xml><?xml version="1.0" encoding="utf-8"?>
<x:worksheet xmlns:x="http://schemas.openxmlformats.org/spreadsheetml/2006/main">
  <x:sheetFormatPr defaultRowHeight="14"/>
  <x:cols>
    <x:col min="1" max="1" width="14.25" customWidth="1"/>
    <x:col min="2" max="2" width="38" customWidth="1"/>
    <x:col min="3" max="3" width="7.5" customWidth="1"/>
    <x:col min="4" max="4" width="14" customWidth="1"/>
    <x:col min="5" max="5" width="42" customWidth="1"/>
  </x:cols>
  <x:sheetData>
    <x:row r="1" ht="20" customHeight="1">
      <x:c r="A1" s="6" t="s">
        <x:v>325</x:v>
      </x:c>
      <x:c r="B1" s="6"/>
      <x:c r="C1" s="6"/>
      <x:c r="D1" s="6"/>
      <x:c r="E1" s="6"/>
    </x:row>
    <x:row r="3">
      <x:c r="A3" s="3" t="s">
        <x:v>326</x:v>
      </x:c>
      <x:c r="B3" s="3" t="s">
        <x:v>327</x:v>
      </x:c>
      <x:c r="C3" s="3" t="s">
        <x:v>21</x:v>
      </x:c>
      <x:c r="D3" s="3" t="s">
        <x:v>328</x:v>
      </x:c>
      <x:c r="E3" s="3" t="s">
        <x:v>69</x:v>
      </x:c>
    </x:row>
    <x:row r="4" ht="28">
      <x:c r="A4" s="4" t="s">
        <x:v>329</x:v>
      </x:c>
      <x:c r="B4" s="4" t="s">
        <x:v>330</x:v>
      </x:c>
      <x:c r="C4" s="4" t="s">
        <x:v>29</x:v>
      </x:c>
      <x:c r="D4" s="4" t="s">
        <x:v>1</x:v>
      </x:c>
      <x:c r="E4" s="4"/>
    </x:row>
    <x:row r="5" ht="28">
      <x:c r="A5" s="4" t="s">
        <x:v>331</x:v>
      </x:c>
      <x:c r="B5" s="4" t="s">
        <x:v>332</x:v>
      </x:c>
      <x:c r="C5" s="4" t="s">
        <x:v>29</x:v>
      </x:c>
      <x:c r="D5" s="4" t="s">
        <x:v>333</x:v>
      </x:c>
      <x:c r="E5" s="4"/>
    </x:row>
    <x:row r="6" ht="28">
      <x:c r="A6" s="4" t="s">
        <x:v>334</x:v>
      </x:c>
      <x:c r="B6" s="4" t="s">
        <x:v>335</x:v>
      </x:c>
      <x:c r="C6" s="4" t="s">
        <x:v>29</x:v>
      </x:c>
      <x:c r="D6" s="4" t="s">
        <x:v>336</x:v>
      </x:c>
      <x:c r="E6" s="4"/>
    </x:row>
    <x:row r="7" ht="28">
      <x:c r="A7" s="4" t="s">
        <x:v>337</x:v>
      </x:c>
      <x:c r="B7" s="4" t="s">
        <x:v>338</x:v>
      </x:c>
      <x:c r="C7" s="4" t="s">
        <x:v>29</x:v>
      </x:c>
      <x:c r="D7" s="4" t="s">
        <x:v>336</x:v>
      </x:c>
      <x:c r="E7" s="4"/>
    </x:row>
    <x:row r="8" ht="28">
      <x:c r="A8" s="4" t="s">
        <x:v>339</x:v>
      </x:c>
      <x:c r="B8" s="4" t="s">
        <x:v>340</x:v>
      </x:c>
      <x:c r="C8" s="4" t="s">
        <x:v>29</x:v>
      </x:c>
      <x:c r="D8" s="4" t="s">
        <x:v>341</x:v>
      </x:c>
      <x:c r="E8" s="4"/>
    </x:row>
    <x:row r="9" ht="28">
      <x:c r="A9" s="4" t="s">
        <x:v>342</x:v>
      </x:c>
      <x:c r="B9" s="4" t="s">
        <x:v>343</x:v>
      </x:c>
      <x:c r="C9" s="27" t="str">
        <x:v>PASS</x:v>
      </x:c>
      <x:c r="D9" s="27" t="str">
        <x:v>17/17</x:v>
      </x:c>
      <x:c r="E9" s="27" t="str">
        <x:v>用户复核决定已全部关闭，可进入9E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1471f51ef104961"/>
  </x:tableParts>
</x:worksheet>
</file>

<file path=xl/worksheets/sheet10.xml><?xml version="1.0" encoding="utf-8"?>
<x:worksheet xmlns:x="http://schemas.openxmlformats.org/spreadsheetml/2006/main">
  <x:sheetFormatPr defaultRowHeight="14"/>
  <x:cols>
    <x:col min="1" max="1" width="21.9140625" customWidth="1"/>
    <x:col min="2" max="2" width="12" customWidth="1"/>
    <x:col min="3" max="3" width="10.4140625" customWidth="1"/>
    <x:col min="4" max="4" width="8.4140625" customWidth="1"/>
    <x:col min="5" max="5" width="44" customWidth="1"/>
    <x:col min="6" max="6" width="10.4140625" customWidth="1"/>
    <x:col min="7" max="7" width="8.5" customWidth="1"/>
    <x:col min="8" max="8" width="42" customWidth="1"/>
    <x:col min="9" max="9" width="8.5" customWidth="1"/>
    <x:col min="10" max="12" width="10.4140625" customWidth="1"/>
    <x:col min="13" max="13" width="12.25" customWidth="1"/>
  </x:cols>
  <x:sheetData>
    <x:row r="1" ht="20" customHeight="1">
      <x:c r="A1" s="6" t="s">
        <x:v>344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</x:row>
    <x:row r="3">
      <x:c r="A3" s="3" t="s">
        <x:v>345</x:v>
      </x:c>
      <x:c r="B3" s="3" t="s">
        <x:v>85</x:v>
      </x:c>
      <x:c r="C3" s="3" t="s">
        <x:v>72</x:v>
      </x:c>
      <x:c r="D3" s="3" t="s">
        <x:v>73</x:v>
      </x:c>
      <x:c r="E3" s="3" t="s">
        <x:v>346</x:v>
      </x:c>
      <x:c r="F3" s="3" t="s">
        <x:v>315</x:v>
      </x:c>
      <x:c r="G3" s="3" t="s">
        <x:v>316</x:v>
      </x:c>
      <x:c r="H3" s="3" t="s">
        <x:v>317</x:v>
      </x:c>
      <x:c r="I3" s="3" t="s">
        <x:v>318</x:v>
      </x:c>
      <x:c r="J3" s="3" t="s">
        <x:v>319</x:v>
      </x:c>
      <x:c r="K3" s="3" t="s">
        <x:v>347</x:v>
      </x:c>
      <x:c r="L3" s="3" t="s">
        <x:v>25</x:v>
      </x:c>
      <x:c r="M3" s="3" t="s">
        <x:v>26</x:v>
      </x:c>
    </x:row>
    <x:row r="4">
      <x:c r="A4" s="30" t="str">
        <x:v>S09-9D-ACT-001</x:v>
      </x:c>
      <x:c r="B4" s="30" t="str">
        <x:v>S09-9D-REV-001</x:v>
      </x:c>
      <x:c r="C4" s="30" t="str">
        <x:v>NUMERIC_VALIDATION</x:v>
      </x:c>
      <x:c r="D4" s="30" t="str">
        <x:v>VAL-012</x:v>
      </x:c>
      <x:c r="E4" s="30" t="str">
        <x:v>保留招股说明书披露值136.9864万元；确定性复算为136.99214万元；差异0.00574万元，不自动修正。</x:v>
      </x:c>
      <x:c r="F4" s="30" t="str">
        <x:v>确认自动结果</x:v>
      </x:c>
      <x:c r="G4" s="30"/>
      <x:c r="H4" s="30"/>
      <x:c r="I4" s="30" t="str">
        <x:v>lzr</x:v>
      </x:c>
      <x:c r="J4" s="30" t="str">
        <x:v>7.17</x:v>
      </x:c>
      <x:c r="K4" s="30" t="str">
        <x:v>VALID</x:v>
      </x:c>
      <x:c r="L4" s="30" t="str">
        <x:v>0.5.0-9d</x:v>
      </x:c>
      <x:c r="M4" s="30" t="str">
        <x:v>9D.1.0</x:v>
      </x:c>
    </x:row>
    <x:row r="5">
      <x:c r="A5" s="30" t="str">
        <x:v>S09-9D-ACT-002</x:v>
      </x:c>
      <x:c r="B5" s="30" t="str">
        <x:v>S09-9D-REV-002</x:v>
      </x:c>
      <x:c r="C5" s="30" t="str">
        <x:v>PEVC_FINAL_IDENTIFICATION</x:v>
      </x:c>
      <x:c r="D5" s="30" t="str">
        <x:v>PEVC-013</x:v>
      </x:c>
      <x:c r="E5" s="30" t="str">
        <x:v>阶段八已验收分类为CANDIDATE；程序不自动升级或降级。</x:v>
      </x:c>
      <x:c r="F5" s="30" t="str">
        <x:v>确认自动结果</x:v>
      </x:c>
      <x:c r="G5" s="30"/>
      <x:c r="H5" s="30"/>
      <x:c r="I5" s="30" t="str">
        <x:v>lzr</x:v>
      </x:c>
      <x:c r="J5" s="30" t="str">
        <x:v>7.17</x:v>
      </x:c>
      <x:c r="K5" s="30" t="str">
        <x:v>VALID</x:v>
      </x:c>
      <x:c r="L5" s="30" t="str">
        <x:v>0.5.0-9d</x:v>
      </x:c>
      <x:c r="M5" s="30" t="str">
        <x:v>9D.1.0</x:v>
      </x:c>
    </x:row>
    <x:row r="6">
      <x:c r="A6" s="30" t="str">
        <x:v>S09-9D-ACT-003</x:v>
      </x:c>
      <x:c r="B6" s="30" t="str">
        <x:v>S09-9D-REV-003</x:v>
      </x:c>
      <x:c r="C6" s="30" t="str">
        <x:v>PEVC_FINAL_IDENTIFICATION</x:v>
      </x:c>
      <x:c r="D6" s="30" t="str">
        <x:v>PEVC-014</x:v>
      </x:c>
      <x:c r="E6" s="30" t="str">
        <x:v>阶段八已验收分类为CANDIDATE；程序不自动升级或降级。</x:v>
      </x:c>
      <x:c r="F6" s="30" t="str">
        <x:v>确认自动结果</x:v>
      </x:c>
      <x:c r="G6" s="30"/>
      <x:c r="H6" s="30"/>
      <x:c r="I6" s="30" t="str">
        <x:v>lzr</x:v>
      </x:c>
      <x:c r="J6" s="30" t="str">
        <x:v>7.17</x:v>
      </x:c>
      <x:c r="K6" s="30" t="str">
        <x:v>VALID</x:v>
      </x:c>
      <x:c r="L6" s="30" t="str">
        <x:v>0.5.0-9d</x:v>
      </x:c>
      <x:c r="M6" s="30" t="str">
        <x:v>9D.1.0</x:v>
      </x:c>
    </x:row>
    <x:row r="7">
      <x:c r="A7" s="30" t="str">
        <x:v>S09-9D-ACT-004</x:v>
      </x:c>
      <x:c r="B7" s="30" t="str">
        <x:v>S09-9D-REV-004</x:v>
      </x:c>
      <x:c r="C7" s="30" t="str">
        <x:v>PEVC_FINAL_IDENTIFICATION</x:v>
      </x:c>
      <x:c r="D7" s="30" t="str">
        <x:v>PEVC-015</x:v>
      </x:c>
      <x:c r="E7" s="30" t="str">
        <x:v>阶段八已验收分类为CANDIDATE；程序不自动升级或降级。</x:v>
      </x:c>
      <x:c r="F7" s="30" t="str">
        <x:v>确认自动结果</x:v>
      </x:c>
      <x:c r="G7" s="30"/>
      <x:c r="H7" s="30"/>
      <x:c r="I7" s="30" t="str">
        <x:v>lzr</x:v>
      </x:c>
      <x:c r="J7" s="30" t="str">
        <x:v>7.17</x:v>
      </x:c>
      <x:c r="K7" s="30" t="str">
        <x:v>VALID</x:v>
      </x:c>
      <x:c r="L7" s="30" t="str">
        <x:v>0.5.0-9d</x:v>
      </x:c>
      <x:c r="M7" s="30" t="str">
        <x:v>9D.1.0</x:v>
      </x:c>
    </x:row>
    <x:row r="8">
      <x:c r="A8" s="30" t="str">
        <x:v>S09-9D-ACT-005</x:v>
      </x:c>
      <x:c r="B8" s="30" t="str">
        <x:v>S09-9D-REV-005</x:v>
      </x:c>
      <x:c r="C8" s="30" t="str">
        <x:v>PEVC_FINAL_IDENTIFICATION</x:v>
      </x:c>
      <x:c r="D8" s="30" t="str">
        <x:v>PEVC-016</x:v>
      </x:c>
      <x:c r="E8" s="30" t="str">
        <x:v>阶段八已验收分类为CANDIDATE；程序不自动升级或降级。</x:v>
      </x:c>
      <x:c r="F8" s="30" t="str">
        <x:v>确认自动结果</x:v>
      </x:c>
      <x:c r="G8" s="30"/>
      <x:c r="H8" s="30"/>
      <x:c r="I8" s="30" t="str">
        <x:v>lzr</x:v>
      </x:c>
      <x:c r="J8" s="30" t="str">
        <x:v>7.17</x:v>
      </x:c>
      <x:c r="K8" s="30" t="str">
        <x:v>VALID</x:v>
      </x:c>
      <x:c r="L8" s="30" t="str">
        <x:v>0.5.0-9d</x:v>
      </x:c>
      <x:c r="M8" s="30" t="str">
        <x:v>9D.1.0</x:v>
      </x:c>
    </x:row>
    <x:row r="9">
      <x:c r="A9" s="30" t="str">
        <x:v>S09-9D-ACT-006</x:v>
      </x:c>
      <x:c r="B9" s="30" t="str">
        <x:v>S09-9D-REV-006</x:v>
      </x:c>
      <x:c r="C9" s="30" t="str">
        <x:v>PEVC_FINAL_IDENTIFICATION</x:v>
      </x:c>
      <x:c r="D9" s="30" t="str">
        <x:v>PEVC-017</x:v>
      </x:c>
      <x:c r="E9" s="30" t="str">
        <x:v>阶段八已验收分类为CANDIDATE；程序不自动升级或降级。</x:v>
      </x:c>
      <x:c r="F9" s="30" t="str">
        <x:v>确认自动结果</x:v>
      </x:c>
      <x:c r="G9" s="30"/>
      <x:c r="H9" s="30"/>
      <x:c r="I9" s="30" t="str">
        <x:v>lzr</x:v>
      </x:c>
      <x:c r="J9" s="30" t="str">
        <x:v>7.17</x:v>
      </x:c>
      <x:c r="K9" s="30" t="str">
        <x:v>VALID</x:v>
      </x:c>
      <x:c r="L9" s="30" t="str">
        <x:v>0.5.0-9d</x:v>
      </x:c>
      <x:c r="M9" s="30" t="str">
        <x:v>9D.1.0</x:v>
      </x:c>
    </x:row>
    <x:row r="10">
      <x:c r="A10" s="30" t="str">
        <x:v>S09-9D-ACT-007</x:v>
      </x:c>
      <x:c r="B10" s="30" t="str">
        <x:v>S09-9D-REV-007</x:v>
      </x:c>
      <x:c r="C10" s="30" t="str">
        <x:v>PEVC_FINAL_IDENTIFICATION</x:v>
      </x:c>
      <x:c r="D10" s="30" t="str">
        <x:v>PEVC-018</x:v>
      </x:c>
      <x:c r="E10" s="30" t="str">
        <x:v>阶段八已验收分类为CANDIDATE；程序不自动升级或降级。</x:v>
      </x:c>
      <x:c r="F10" s="30" t="str">
        <x:v>确认自动结果</x:v>
      </x:c>
      <x:c r="G10" s="30"/>
      <x:c r="H10" s="30"/>
      <x:c r="I10" s="30" t="str">
        <x:v>lzr</x:v>
      </x:c>
      <x:c r="J10" s="30" t="str">
        <x:v>7.17</x:v>
      </x:c>
      <x:c r="K10" s="30" t="str">
        <x:v>VALID</x:v>
      </x:c>
      <x:c r="L10" s="30" t="str">
        <x:v>0.5.0-9d</x:v>
      </x:c>
      <x:c r="M10" s="30" t="str">
        <x:v>9D.1.0</x:v>
      </x:c>
    </x:row>
    <x:row r="11">
      <x:c r="A11" s="30" t="str">
        <x:v>S09-9D-ACT-008</x:v>
      </x:c>
      <x:c r="B11" s="30" t="str">
        <x:v>S09-9D-REV-008</x:v>
      </x:c>
      <x:c r="C11" s="30" t="str">
        <x:v>PEVC_FINAL_IDENTIFICATION</x:v>
      </x:c>
      <x:c r="D11" s="30" t="str">
        <x:v>PEVC-027</x:v>
      </x:c>
      <x:c r="E11" s="30" t="str">
        <x:v>阶段八已验收分类为UNRESOLVED；程序不自动升级或降级。</x:v>
      </x:c>
      <x:c r="F11" s="30" t="str">
        <x:v>确认自动结果</x:v>
      </x:c>
      <x:c r="G11" s="30"/>
      <x:c r="H11" s="30"/>
      <x:c r="I11" s="30" t="str">
        <x:v>lzr</x:v>
      </x:c>
      <x:c r="J11" s="30" t="str">
        <x:v>7.17</x:v>
      </x:c>
      <x:c r="K11" s="30" t="str">
        <x:v>VALID</x:v>
      </x:c>
      <x:c r="L11" s="30" t="str">
        <x:v>0.5.0-9d</x:v>
      </x:c>
      <x:c r="M11" s="30" t="str">
        <x:v>9D.1.0</x:v>
      </x:c>
    </x:row>
    <x:row r="12">
      <x:c r="A12" s="30" t="str">
        <x:v>S09-9D-ACT-009</x:v>
      </x:c>
      <x:c r="B12" s="30" t="str">
        <x:v>S09-9D-REV-009</x:v>
      </x:c>
      <x:c r="C12" s="30" t="str">
        <x:v>PEVC_FINAL_IDENTIFICATION</x:v>
      </x:c>
      <x:c r="D12" s="30" t="str">
        <x:v>PEVC-028</x:v>
      </x:c>
      <x:c r="E12" s="30" t="str">
        <x:v>阶段八已验收分类为UNRESOLVED；程序不自动升级或降级。</x:v>
      </x:c>
      <x:c r="F12" s="30" t="str">
        <x:v>确认自动结果</x:v>
      </x:c>
      <x:c r="G12" s="30"/>
      <x:c r="H12" s="30"/>
      <x:c r="I12" s="30" t="str">
        <x:v>lzr</x:v>
      </x:c>
      <x:c r="J12" s="30" t="str">
        <x:v>7.17</x:v>
      </x:c>
      <x:c r="K12" s="30" t="str">
        <x:v>VALID</x:v>
      </x:c>
      <x:c r="L12" s="30" t="str">
        <x:v>0.5.0-9d</x:v>
      </x:c>
      <x:c r="M12" s="30" t="str">
        <x:v>9D.1.0</x:v>
      </x:c>
    </x:row>
    <x:row r="13">
      <x:c r="A13" s="30" t="str">
        <x:v>S09-9D-ACT-010</x:v>
      </x:c>
      <x:c r="B13" s="30" t="str">
        <x:v>S09-9D-REV-010</x:v>
      </x:c>
      <x:c r="C13" s="30" t="str">
        <x:v>PEVC_PATH_EDGE</x:v>
      </x:c>
      <x:c r="D13" s="30" t="str">
        <x:v>EDGE-058</x:v>
      </x:c>
      <x:c r="E13" s="30" t="str">
        <x:v>关系类型：GENERAL_PARTNER；路径结论：背景治理关系，不直接形成发行人权益路径</x:v>
      </x:c>
      <x:c r="F13" s="30" t="str">
        <x:v>确认自动结果</x:v>
      </x:c>
      <x:c r="G13" s="30"/>
      <x:c r="H13" s="30"/>
      <x:c r="I13" s="30" t="str">
        <x:v>lzr</x:v>
      </x:c>
      <x:c r="J13" s="30" t="str">
        <x:v>7.17</x:v>
      </x:c>
      <x:c r="K13" s="30" t="str">
        <x:v>VALID</x:v>
      </x:c>
      <x:c r="L13" s="30" t="str">
        <x:v>0.5.0-9d</x:v>
      </x:c>
      <x:c r="M13" s="30" t="str">
        <x:v>9D.1.0</x:v>
      </x:c>
    </x:row>
    <x:row r="14">
      <x:c r="A14" s="30" t="str">
        <x:v>S09-9D-ACT-011</x:v>
      </x:c>
      <x:c r="B14" s="30" t="str">
        <x:v>S09-9D-REV-011</x:v>
      </x:c>
      <x:c r="C14" s="30" t="str">
        <x:v>PEVC_PATH_EDGE</x:v>
      </x:c>
      <x:c r="D14" s="30" t="str">
        <x:v>EDGE-059</x:v>
      </x:c>
      <x:c r="E14" s="30" t="str">
        <x:v>关系类型：GENERAL_PARTNER_EXECUTIVE；路径结论：背景治理关系，不直接形成发行人权益路径</x:v>
      </x:c>
      <x:c r="F14" s="30" t="str">
        <x:v>确认自动结果</x:v>
      </x:c>
      <x:c r="G14" s="30"/>
      <x:c r="H14" s="30"/>
      <x:c r="I14" s="30" t="str">
        <x:v>lzr</x:v>
      </x:c>
      <x:c r="J14" s="30" t="str">
        <x:v>7.17</x:v>
      </x:c>
      <x:c r="K14" s="30" t="str">
        <x:v>VALID</x:v>
      </x:c>
      <x:c r="L14" s="30" t="str">
        <x:v>0.5.0-9d</x:v>
      </x:c>
      <x:c r="M14" s="30" t="str">
        <x:v>9D.1.0</x:v>
      </x:c>
    </x:row>
    <x:row r="15">
      <x:c r="A15" s="30" t="str">
        <x:v>S09-9D-ACT-012</x:v>
      </x:c>
      <x:c r="B15" s="30" t="str">
        <x:v>S09-9D-REV-012</x:v>
      </x:c>
      <x:c r="C15" s="30" t="str">
        <x:v>PEVC_PATH_EDGE</x:v>
      </x:c>
      <x:c r="D15" s="30" t="str">
        <x:v>EDGE-060</x:v>
      </x:c>
      <x:c r="E15" s="30" t="str">
        <x:v>关系类型：GENERAL_PARTNER；路径结论：背景治理关系，不直接形成发行人权益路径</x:v>
      </x:c>
      <x:c r="F15" s="30" t="str">
        <x:v>确认自动结果</x:v>
      </x:c>
      <x:c r="G15" s="30"/>
      <x:c r="H15" s="30"/>
      <x:c r="I15" s="30" t="str">
        <x:v>lzr</x:v>
      </x:c>
      <x:c r="J15" s="30" t="str">
        <x:v>7.17</x:v>
      </x:c>
      <x:c r="K15" s="30" t="str">
        <x:v>VALID</x:v>
      </x:c>
      <x:c r="L15" s="30" t="str">
        <x:v>0.5.0-9d</x:v>
      </x:c>
      <x:c r="M15" s="30" t="str">
        <x:v>9D.1.0</x:v>
      </x:c>
    </x:row>
    <x:row r="16">
      <x:c r="A16" s="30" t="str">
        <x:v>S09-9D-ACT-013</x:v>
      </x:c>
      <x:c r="B16" s="30" t="str">
        <x:v>S09-9D-REV-013</x:v>
      </x:c>
      <x:c r="C16" s="30" t="str">
        <x:v>PEVC_PATH_EDGE</x:v>
      </x:c>
      <x:c r="D16" s="30" t="str">
        <x:v>EDGE-061</x:v>
      </x:c>
      <x:c r="E16" s="30" t="str">
        <x:v>关系类型：GENERAL_PARTNER；路径结论：背景治理关系，不直接形成发行人权益路径</x:v>
      </x:c>
      <x:c r="F16" s="30" t="str">
        <x:v>确认自动结果</x:v>
      </x:c>
      <x:c r="G16" s="30"/>
      <x:c r="H16" s="30"/>
      <x:c r="I16" s="30" t="str">
        <x:v>lzr</x:v>
      </x:c>
      <x:c r="J16" s="30" t="str">
        <x:v>7.17</x:v>
      </x:c>
      <x:c r="K16" s="30" t="str">
        <x:v>VALID</x:v>
      </x:c>
      <x:c r="L16" s="30" t="str">
        <x:v>0.5.0-9d</x:v>
      </x:c>
      <x:c r="M16" s="30" t="str">
        <x:v>9D.1.0</x:v>
      </x:c>
    </x:row>
    <x:row r="17">
      <x:c r="A17" s="30" t="str">
        <x:v>S09-9D-ACT-014</x:v>
      </x:c>
      <x:c r="B17" s="30" t="str">
        <x:v>S09-9D-REV-014</x:v>
      </x:c>
      <x:c r="C17" s="30" t="str">
        <x:v>PEVC_PATH_EDGE</x:v>
      </x:c>
      <x:c r="D17" s="30" t="str">
        <x:v>EDGE-062</x:v>
      </x:c>
      <x:c r="E17" s="30" t="str">
        <x:v>关系类型：GENERAL_PARTNER；路径结论：背景治理关系，不直接形成发行人权益路径</x:v>
      </x:c>
      <x:c r="F17" s="30" t="str">
        <x:v>确认自动结果</x:v>
      </x:c>
      <x:c r="G17" s="30"/>
      <x:c r="H17" s="30"/>
      <x:c r="I17" s="30" t="str">
        <x:v>lzr</x:v>
      </x:c>
      <x:c r="J17" s="30" t="str">
        <x:v>7.17</x:v>
      </x:c>
      <x:c r="K17" s="30" t="str">
        <x:v>VALID</x:v>
      </x:c>
      <x:c r="L17" s="30" t="str">
        <x:v>0.5.0-9d</x:v>
      </x:c>
      <x:c r="M17" s="30" t="str">
        <x:v>9D.1.0</x:v>
      </x:c>
    </x:row>
    <x:row r="18">
      <x:c r="A18" s="30" t="str">
        <x:v>S09-9D-ACT-015</x:v>
      </x:c>
      <x:c r="B18" s="30" t="str">
        <x:v>S09-9D-REV-015</x:v>
      </x:c>
      <x:c r="C18" s="30" t="str">
        <x:v>PEVC_PATH_EDGE</x:v>
      </x:c>
      <x:c r="D18" s="30" t="str">
        <x:v>EDGE-063</x:v>
      </x:c>
      <x:c r="E18" s="30" t="str">
        <x:v>关系类型：GENERAL_PARTNER；路径结论：背景治理关系，不直接形成发行人权益路径</x:v>
      </x:c>
      <x:c r="F18" s="30" t="str">
        <x:v>确认自动结果</x:v>
      </x:c>
      <x:c r="G18" s="30"/>
      <x:c r="H18" s="30"/>
      <x:c r="I18" s="30" t="str">
        <x:v>lzr</x:v>
      </x:c>
      <x:c r="J18" s="30" t="str">
        <x:v>7.17</x:v>
      </x:c>
      <x:c r="K18" s="30" t="str">
        <x:v>VALID</x:v>
      </x:c>
      <x:c r="L18" s="30" t="str">
        <x:v>0.5.0-9d</x:v>
      </x:c>
      <x:c r="M18" s="30" t="str">
        <x:v>9D.1.0</x:v>
      </x:c>
    </x:row>
    <x:row r="19">
      <x:c r="A19" s="30" t="str">
        <x:v>S09-9D-ACT-016</x:v>
      </x:c>
      <x:c r="B19" s="30" t="str">
        <x:v>S09-9D-REV-016</x:v>
      </x:c>
      <x:c r="C19" s="30" t="str">
        <x:v>PEVC_PATH_EDGE</x:v>
      </x:c>
      <x:c r="D19" s="30" t="str">
        <x:v>EDGE-064</x:v>
      </x:c>
      <x:c r="E19" s="30" t="str">
        <x:v>关系类型：GENERAL_PARTNER；路径结论：背景治理关系，不直接形成发行人权益路径</x:v>
      </x:c>
      <x:c r="F19" s="30" t="str">
        <x:v>确认自动结果</x:v>
      </x:c>
      <x:c r="G19" s="30"/>
      <x:c r="H19" s="30"/>
      <x:c r="I19" s="30" t="str">
        <x:v>lzr</x:v>
      </x:c>
      <x:c r="J19" s="30" t="str">
        <x:v>7.17</x:v>
      </x:c>
      <x:c r="K19" s="30" t="str">
        <x:v>VALID</x:v>
      </x:c>
      <x:c r="L19" s="30" t="str">
        <x:v>0.5.0-9d</x:v>
      </x:c>
      <x:c r="M19" s="30" t="str">
        <x:v>9D.1.0</x:v>
      </x:c>
    </x:row>
    <x:row r="20">
      <x:c r="A20" s="30" t="str">
        <x:v>S09-9D-ACT-017</x:v>
      </x:c>
      <x:c r="B20" s="30" t="str">
        <x:v>S09-9D-REV-017</x:v>
      </x:c>
      <x:c r="C20" s="30" t="str">
        <x:v>PEVC_PATH_EDGE</x:v>
      </x:c>
      <x:c r="D20" s="30" t="str">
        <x:v>EDGE-065</x:v>
      </x:c>
      <x:c r="E20" s="30" t="str">
        <x:v>关系类型：GENERAL_PARTNER；路径结论：背景治理关系，不直接形成发行人权益路径</x:v>
      </x:c>
      <x:c r="F20" s="30" t="str">
        <x:v>确认自动结果</x:v>
      </x:c>
      <x:c r="G20" s="30"/>
      <x:c r="H20" s="30"/>
      <x:c r="I20" s="30" t="str">
        <x:v>lzr</x:v>
      </x:c>
      <x:c r="J20" s="30" t="str">
        <x:v>7.17</x:v>
      </x:c>
      <x:c r="K20" s="30" t="str">
        <x:v>VALID</x:v>
      </x:c>
      <x:c r="L20" s="30" t="str">
        <x:v>0.5.0-9d</x:v>
      </x:c>
      <x:c r="M20" s="30" t="str">
        <x:v>9D.1.0</x:v>
      </x:c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c9e651157eef4b9d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2" hidden="0" customWidth="1"/>
    <x:col min="4" max="4" width="28" hidden="0" customWidth="1"/>
    <x:col min="5" max="5" width="10" hidden="0" customWidth="1"/>
    <x:col min="6" max="6" width="36" hidden="0" customWidth="1"/>
  </x:cols>
  <x:sheetData>
    <x:row r="1">
      <x:c r="A1" s="35" t="str">
        <x:v>阶段九9E：最终回归、验收与发布</x:v>
      </x:c>
      <x:c r="B1" s="35"/>
      <x:c r="C1" s="35"/>
      <x:c r="D1" s="35"/>
      <x:c r="E1" s="35"/>
      <x:c r="F1" s="35"/>
    </x:row>
    <x:row r="2">
      <x:c r="A2" s="56"/>
      <x:c r="B2" s="56"/>
      <x:c r="C2" s="56"/>
      <x:c r="D2" s="56"/>
      <x:c r="E2" s="56"/>
      <x:c r="F2" s="56"/>
    </x:row>
    <x:row r="3">
      <x:c r="A3" s="44" t="str">
        <x:v>检查ID</x:v>
      </x:c>
      <x:c r="B3" s="44" t="str">
        <x:v>检查事项</x:v>
      </x:c>
      <x:c r="C3" s="44" t="str">
        <x:v>结果</x:v>
      </x:c>
      <x:c r="D3" s="44" t="str">
        <x:v>观察值</x:v>
      </x:c>
      <x:c r="E3" s="44" t="str">
        <x:v>阻断</x:v>
      </x:c>
      <x:c r="F3" s="44" t="str">
        <x:v>说明</x:v>
      </x:c>
    </x:row>
    <x:row r="4">
      <x:c r="A4" s="57" t="str">
        <x:v>S09-9E-ACC-001</x:v>
      </x:c>
      <x:c r="B4" s="57" t="str">
        <x:v>9B、9C、9D均为正式验收基线</x:v>
      </x:c>
      <x:c r="C4" s="58" t="str">
        <x:v>PASS</x:v>
      </x:c>
      <x:c r="D4" s="57" t="str">
        <x:v>9B/9C/9D FINAL_APPROVED</x:v>
      </x:c>
      <x:c r="E4" s="57" t="str">
        <x:v>是</x:v>
      </x:c>
      <x:c r="F4" s="57" t="str">
        <x:v>子阶段基线已冻结</x:v>
      </x:c>
    </x:row>
    <x:row r="5">
      <x:c r="A5" s="57" t="str">
        <x:v>S09-9E-ACC-002</x:v>
      </x:c>
      <x:c r="B5" s="57" t="str">
        <x:v>阶段一至八来源记录完整接入</x:v>
      </x:c>
      <x:c r="C5" s="58" t="str">
        <x:v>PASS</x:v>
      </x:c>
      <x:c r="D5" s="57" t="n">
        <x:v>1648</x:v>
      </x:c>
      <x:c r="E5" s="57" t="str">
        <x:v>是</x:v>
      </x:c>
      <x:c r="F5" s="57" t="str">
        <x:v>覆盖阶段一至八</x:v>
      </x:c>
    </x:row>
    <x:row r="6">
      <x:c r="A6" s="57" t="str">
        <x:v>S09-9E-ACC-003</x:v>
      </x:c>
      <x:c r="B6" s="57" t="str">
        <x:v>统一模型核心对象数量回归</x:v>
      </x:c>
      <x:c r="C6" s="58" t="str">
        <x:v>PASS</x:v>
      </x:c>
      <x:c r="D6" s="57" t="str">
        <x:v>26事件/45主体/126证据</x:v>
      </x:c>
      <x:c r="E6" s="57" t="str">
        <x:v>是</x:v>
      </x:c>
      <x:c r="F6" s="57" t="str">
        <x:v>与9B验收结果一致</x:v>
      </x:c>
    </x:row>
    <x:row r="7">
      <x:c r="A7" s="57" t="str">
        <x:v>S09-9E-ACC-004</x:v>
      </x:c>
      <x:c r="B7" s="57" t="str">
        <x:v>业务自动评价完整</x:v>
      </x:c>
      <x:c r="C7" s="58" t="str">
        <x:v>PASS</x:v>
      </x:c>
      <x:c r="D7" s="57" t="n">
        <x:v>276</x:v>
      </x:c>
      <x:c r="E7" s="57" t="str">
        <x:v>是</x:v>
      </x:c>
      <x:c r="F7" s="57" t="str">
        <x:v>55数值+78交易快照+143 PE/VC</x:v>
      </x:c>
    </x:row>
    <x:row r="8">
      <x:c r="A8" s="57" t="str">
        <x:v>S09-9E-ACC-005</x:v>
      </x:c>
      <x:c r="B8" s="57" t="str">
        <x:v>业务规则全部通过</x:v>
      </x:c>
      <x:c r="C8" s="58" t="str">
        <x:v>PASS</x:v>
      </x:c>
      <x:c r="D8" s="57" t="str">
        <x:v>35/35</x:v>
      </x:c>
      <x:c r="E8" s="57" t="str">
        <x:v>是</x:v>
      </x:c>
      <x:c r="F8" s="57" t="str">
        <x:v>无规则失败</x:v>
      </x:c>
    </x:row>
    <x:row r="9">
      <x:c r="A9" s="57" t="str">
        <x:v>S09-9E-ACC-006</x:v>
      </x:c>
      <x:c r="B9" s="57" t="str">
        <x:v>无开放异常</x:v>
      </x:c>
      <x:c r="C9" s="58" t="str">
        <x:v>PASS</x:v>
      </x:c>
      <x:c r="D9" s="57" t="n">
        <x:v>0</x:v>
      </x:c>
      <x:c r="E9" s="57" t="str">
        <x:v>是</x:v>
      </x:c>
      <x:c r="F9" s="57" t="str">
        <x:v>仅保留2条已解决低级结构差异</x:v>
      </x:c>
    </x:row>
    <x:row r="10">
      <x:c r="A10" s="57" t="str">
        <x:v>S09-9E-ACC-007</x:v>
      </x:c>
      <x:c r="B10" s="57" t="str">
        <x:v>人工复核决定全部有效关闭</x:v>
      </x:c>
      <x:c r="C10" s="58" t="str">
        <x:v>PASS</x:v>
      </x:c>
      <x:c r="D10" s="57" t="str">
        <x:v>17/17</x:v>
      </x:c>
      <x:c r="E10" s="57" t="str">
        <x:v>是</x:v>
      </x:c>
      <x:c r="F10" s="57" t="str">
        <x:v>无待处理或无效决定</x:v>
      </x:c>
    </x:row>
    <x:row r="11">
      <x:c r="A11" s="57" t="str">
        <x:v>S09-9E-ACC-008</x:v>
      </x:c>
      <x:c r="B11" s="57" t="str">
        <x:v>CE-005披露差异保留</x:v>
      </x:c>
      <x:c r="C11" s="58" t="str">
        <x:v>PASS</x:v>
      </x:c>
      <x:c r="D11" s="57" t="str">
        <x:v>0.00574万元</x:v>
      </x:c>
      <x:c r="E11" s="57" t="str">
        <x:v>是</x:v>
      </x:c>
      <x:c r="F11" s="57" t="str">
        <x:v>不自动改写原文</x:v>
      </x:c>
    </x:row>
    <x:row r="12">
      <x:c r="A12" s="57" t="str">
        <x:v>S09-9E-ACC-009</x:v>
      </x:c>
      <x:c r="B12" s="57" t="str">
        <x:v>CE-013转让股数合计</x:v>
      </x:c>
      <x:c r="C12" s="58" t="str">
        <x:v>PASS</x:v>
      </x:c>
      <x:c r="D12" s="57" t="str">
        <x:v>1,659,535股</x:v>
      </x:c>
      <x:c r="E12" s="57" t="str">
        <x:v>是</x:v>
      </x:c>
      <x:c r="F12" s="57" t="str">
        <x:v>确定性回归</x:v>
      </x:c>
    </x:row>
    <x:row r="13">
      <x:c r="A13" s="57" t="str">
        <x:v>S09-9E-ACC-010</x:v>
      </x:c>
      <x:c r="B13" s="57" t="str">
        <x:v>CE-013转让价款合计</x:v>
      </x:c>
      <x:c r="C13" s="58" t="str">
        <x:v>PASS</x:v>
      </x:c>
      <x:c r="D13" s="57" t="str">
        <x:v>8,563.19万元</x:v>
      </x:c>
      <x:c r="E13" s="57" t="str">
        <x:v>是</x:v>
      </x:c>
      <x:c r="F13" s="57" t="str">
        <x:v>确定性回归</x:v>
      </x:c>
    </x:row>
    <x:row r="14">
      <x:c r="A14" s="57" t="str">
        <x:v>S09-9E-ACC-011</x:v>
      </x:c>
      <x:c r="B14" s="57" t="str">
        <x:v>未披露投资值保持空值</x:v>
      </x:c>
      <x:c r="C14" s="58" t="str">
        <x:v>PASS</x:v>
      </x:c>
      <x:c r="D14" s="57" t="str">
        <x:v>13条</x:v>
      </x:c>
      <x:c r="E14" s="57" t="str">
        <x:v>是</x:v>
      </x:c>
      <x:c r="F14" s="57" t="str">
        <x:v>未填零、均分或倒推</x:v>
      </x:c>
    </x:row>
    <x:row r="15">
      <x:c r="A15" s="57" t="str">
        <x:v>S09-9E-ACC-012</x:v>
      </x:c>
      <x:c r="B15" s="57" t="str">
        <x:v>GP关系不形成权益路径</x:v>
      </x:c>
      <x:c r="C15" s="58" t="str">
        <x:v>PASS</x:v>
      </x:c>
      <x:c r="D15" s="57" t="str">
        <x:v>8条</x:v>
      </x:c>
      <x:c r="E15" s="57" t="str">
        <x:v>是</x:v>
      </x:c>
      <x:c r="F15" s="57" t="str">
        <x:v>治理关系与权益路径分离</x:v>
      </x:c>
    </x:row>
    <x:row r="16">
      <x:c r="A16" s="57" t="str">
        <x:v>S09-9E-ACC-013</x:v>
      </x:c>
      <x:c r="B16" s="57" t="str">
        <x:v>自动评价证据链完整</x:v>
      </x:c>
      <x:c r="C16" s="58" t="str">
        <x:v>PASS</x:v>
      </x:c>
      <x:c r="D16" s="57" t="str">
        <x:v>276/276</x:v>
      </x:c>
      <x:c r="E16" s="57" t="str">
        <x:v>是</x:v>
      </x:c>
      <x:c r="F16" s="57" t="str">
        <x:v>事件、证据、双页码、原文齐全</x:v>
      </x:c>
    </x:row>
    <x:row r="17">
      <x:c r="A17" s="57" t="str">
        <x:v>S09-9E-ACC-014</x:v>
      </x:c>
      <x:c r="B17" s="57" t="str">
        <x:v>名称标准化仅使用已验收映射</x:v>
      </x:c>
      <x:c r="C17" s="58" t="str">
        <x:v>PASS</x:v>
      </x:c>
      <x:c r="D17" s="57" t="str">
        <x:v>45/45</x:v>
      </x:c>
      <x:c r="E17" s="57" t="str">
        <x:v>是</x:v>
      </x:c>
      <x:c r="F17" s="57" t="str">
        <x:v>无模糊自动合并</x:v>
      </x:c>
    </x:row>
    <x:row r="18">
      <x:c r="A18" s="57" t="str">
        <x:v>S09-9E-ACC-015</x:v>
      </x:c>
      <x:c r="B18" s="57" t="str">
        <x:v>最终工作簿哈希冻结</x:v>
      </x:c>
      <x:c r="C18" s="58" t="str">
        <x:v>PASS</x:v>
      </x:c>
      <x:c r="D18" s="57" t="str">
        <x:v>见manifest.json</x:v>
      </x:c>
      <x:c r="E18" s="57" t="str">
        <x:v>是</x:v>
      </x:c>
      <x:c r="F18" s="57" t="str">
        <x:v>发布时计算SHA-256</x:v>
      </x:c>
    </x:row>
    <x:row r="19">
      <x:c r="A19" s="57" t="str">
        <x:v>S09-9E-ACC-016</x:v>
      </x:c>
      <x:c r="B19" s="57" t="str">
        <x:v>自动测试全部通过</x:v>
      </x:c>
      <x:c r="C19" s="58" t="str">
        <x:v>PASS</x:v>
      </x:c>
      <x:c r="D19" s="57" t="str">
        <x:v>25/25</x:v>
      </x:c>
      <x:c r="E19" s="57" t="str">
        <x:v>是</x:v>
      </x:c>
      <x:c r="F19" s="57" t="str">
        <x:v>含回归、负向和确定性测试</x:v>
      </x:c>
    </x:row>
    <x:row r="20">
      <x:c r="A20" s="56"/>
      <x:c r="B20" s="56"/>
      <x:c r="C20" s="56"/>
      <x:c r="D20" s="56"/>
      <x:c r="E20" s="56"/>
      <x:c r="F20" s="56"/>
    </x:row>
    <x:row r="21">
      <x:c r="A21" s="21" t="str">
        <x:v>最终结论：阶段九通过验收，可提交GitHub精简成果包。</x:v>
      </x:c>
      <x:c r="B21" s="21"/>
      <x:c r="C21" s="21"/>
      <x:c r="D21" s="21"/>
      <x:c r="E21" s="21"/>
      <x:c r="F21" s="21"/>
    </x:row>
  </x:sheetData>
  <x:mergeCells>
    <x:mergeCell ref="A1:F1"/>
    <x:mergeCell ref="A21:F21"/>
  </x:mergeCells>
  <x:pageMargins left="0.7" right="0.7" top="0.75" bottom="0.75" header="0.3" footer="0.3"/>
</x:worksheet>
</file>