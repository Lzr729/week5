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7c5330893f4892" /></Relationships>
</file>

<file path=xl/workbook.xml><?xml version="1.0" encoding="utf-8"?>
<x:workbook xmlns:x="http://schemas.openxmlformats.org/spreadsheetml/2006/main">
  <x:sheets>
    <x:sheet xmlns:r="http://schemas.openxmlformats.org/officeDocument/2006/relationships" name="00_使用说明" sheetId="1" r:id="Re0b931476277473c"/>
    <x:sheet xmlns:r="http://schemas.openxmlformats.org/officeDocument/2006/relationships" name="01_股本变化时间线" sheetId="2" r:id="R32984f3b93f04b50"/>
    <x:sheet xmlns:r="http://schemas.openxmlformats.org/officeDocument/2006/relationships" name="02_时间节点明细" sheetId="3" r:id="Rd335adf5b645401c"/>
    <x:sheet xmlns:r="http://schemas.openxmlformats.org/officeDocument/2006/relationships" name="03_计算值登记" sheetId="4" r:id="R5ccfe98e94db44f0"/>
    <x:sheet xmlns:r="http://schemas.openxmlformats.org/officeDocument/2006/relationships" name="04_排除项及待复核" sheetId="5" r:id="R385a208ef47a4330"/>
    <x:sheet xmlns:r="http://schemas.openxmlformats.org/officeDocument/2006/relationships" name="05_验收清单" sheetId="6" r:id="Rf6887563234d461e"/>
    <x:sheet xmlns:r="http://schemas.openxmlformats.org/officeDocument/2006/relationships" name="99_下拉选项" sheetId="7" r:id="Re737ab1e0b2747a2"/>
  </x:sheets>
</x:workbook>
</file>

<file path=xl/sharedStrings.xml><?xml version="1.0" encoding="utf-8"?>
<x:sst xmlns:x="http://schemas.openxmlformats.org/spreadsheetml/2006/main">
  <x:si>
    <x:t xml:space="preserve">阶段定位与事实来源</x:t>
  </x:si>
  <x:si>
    <x:t xml:space="preserve">阶段五KPI</x:t>
  </x:si>
  <x:si>
    <x:t xml:space="preserve">用途</x:t>
  </x:si>
  <x:si>
    <x:t xml:space="preserve">将阶段四已验收的单事件串联为可排序、可追溯且不重复计数的事件级股本变化时间线。</x:t>
  </x:si>
  <x:si>
    <x:t xml:space="preserve">指标</x:t>
  </x:si>
  <x:si>
    <x:t xml:space="preserve">结果</x:t>
  </x:si>
  <x:si>
    <x:t xml:space="preserve">说明</x:t>
  </x:si>
  <x:si>
    <x:t xml:space="preserve">唯一主要事实来源</x:t>
  </x:si>
  <x:si>
    <x:t xml:space="preserve">301563_云汉芯城_IPO招股说明书.pdf</x:t>
  </x:si>
  <x:si>
    <x:t xml:space="preserve">主时间线事件</x:t>
  </x:si>
  <x:si>
    <x:t xml:space="preserve">实际事件单元</x:t>
  </x:si>
  <x:si>
    <x:t xml:space="preserve">结构化输入</x:t>
  </x:si>
  <x:si>
    <x:t xml:space="preserve">stage04_CE001_CE014_final_approved.xlsx；仅作为PDF事实的结构化索引。</x:t>
  </x:si>
  <x:si>
    <x:t xml:space="preserve">时间节点</x:t>
  </x:si>
  <x:si>
    <x:t xml:space="preserve">独立日期事实</x:t>
  </x:si>
  <x:si>
    <x:t xml:space="preserve">页码口径</x:t>
  </x:si>
  <x:si>
    <x:t xml:space="preserve">PDF阅读器页码 = 正文印刷页码 + 1。</x:t>
  </x:si>
  <x:si>
    <x:t xml:space="preserve">计算登记</x:t>
  </x:si>
  <x:si>
    <x:t xml:space="preserve">仅用于衔接</x:t>
  </x:si>
  <x:si>
    <x:t xml:space="preserve">阶段边界</x:t>
  </x:si>
  <x:si>
    <x:t xml:space="preserve">本工作簿不生成逐股东完整持股快照、不判断PE/VC属性、不形成投资路径、不完成正式数值校验。</x:t>
  </x:si>
  <x:si>
    <x:t xml:space="preserve">排除记录</x:t>
  </x:si>
  <x:si>
    <x:t xml:space="preserve">父容器及特殊权利事项</x:t>
  </x:si>
  <x:si>
    <x:t xml:space="preserve">当前状态</x:t>
  </x:si>
  <x:si>
    <x:t xml:space="preserve">值类型与颜色规则</x:t>
  </x:si>
  <x:si>
    <x:t xml:space="preserve">类型</x:t>
  </x:si>
  <x:si>
    <x:t xml:space="preserve">在本工作簿中的处理</x:t>
  </x:si>
  <x:si>
    <x:t xml:space="preserve">颜色/标记</x:t>
  </x:si>
  <x:si>
    <x:t xml:space="preserve">禁止事项</x:t>
  </x:si>
  <x:si>
    <x:t xml:space="preserve">原文披露值</x:t>
  </x:si>
  <x:si>
    <x:t xml:space="preserve">PDF直接披露；保留原数值、单位、证据编号和双页码。</x:t>
  </x:si>
  <x:si>
    <x:t xml:space="preserve">蓝色数字</x:t>
  </x:si>
  <x:si>
    <x:t xml:space="preserve">不得由计算值覆盖。</x:t>
  </x:si>
  <x:si>
    <x:t xml:space="preserve">标准化值</x:t>
  </x:si>
  <x:si>
    <x:t xml:space="preserve">仅统一日期或计量展示；原始文字仍保留。</x:t>
  </x:si>
  <x:si>
    <x:t xml:space="preserve">常规文字</x:t>
  </x:si>
  <x:si>
    <x:t xml:space="preserve">月份级日期不得补成具体日。</x:t>
  </x:si>
  <x:si>
    <x:t xml:space="preserve">计算值</x:t>
  </x:si>
  <x:si>
    <x:t xml:space="preserve">必须有calculation_id、输入来源、公式和校验状态。</x:t>
  </x:si>
  <x:si>
    <x:t xml:space="preserve">公式黑色；跨表链接绿色</x:t>
  </x:si>
  <x:si>
    <x:t xml:space="preserve">不得伪装为原文披露值。</x:t>
  </x:si>
  <x:si>
    <x:t xml:space="preserve">人工判断</x:t>
  </x:si>
  <x:si>
    <x:t xml:space="preserve">单独列示判断及依据。</x:t>
  </x:si>
  <x:si>
    <x:t xml:space="preserve">不得把未披露内容写成事实。</x:t>
  </x:si>
  <x:si>
    <x:t xml:space="preserve">待人工复核</x:t>
  </x:si>
  <x:si>
    <x:t xml:space="preserve">以黄色底纹或“待用户复核”标记。</x:t>
  </x:si>
  <x:si>
    <x:t xml:space="preserve">黄色</x:t>
  </x:si>
  <x:si>
    <x:t xml:space="preserve">不得在本阶段静默修正。</x:t>
  </x:si>
  <x:si>
    <x:t xml:space="preserve">工作表导航</x:t>
  </x:si>
  <x:si>
    <x:t xml:space="preserve">工作表</x:t>
  </x:si>
  <x:si>
    <x:t xml:space="preserve">作用</x:t>
  </x:si>
  <x:si>
    <x:t xml:space="preserve">01_股本变化时间线</x:t>
  </x:si>
  <x:si>
    <x:t xml:space="preserve">17个实际资本事件单元的主时间线。</x:t>
  </x:si>
  <x:si>
    <x:t xml:space="preserve">02_时间节点明细</x:t>
  </x:si>
  <x:si>
    <x:t xml:space="preserve">决议、协议、验资、工商登记、实际完成等日期节点。</x:t>
  </x:si>
  <x:si>
    <x:t xml:space="preserve">03_计算值登记</x:t>
  </x:si>
  <x:si>
    <x:t xml:space="preserve">原文值之外的衔接计算；正式数值勾稽留待阶段七。</x:t>
  </x:si>
  <x:si>
    <x:t xml:space="preserve">04_排除项及待复核</x:t>
  </x:si>
  <x:si>
    <x:t xml:space="preserve">父级容器、特殊权利事项、辅助非事件及CE-005差异。</x:t>
  </x:si>
  <x:si>
    <x:t xml:space="preserve">05_验收清单</x:t>
  </x:si>
  <x:si>
    <x:t xml:space="preserve">逐事件检查完整性、证据、时间、数值边界及阶段边界。</x:t>
  </x:si>
  <x:si>
    <x:t xml:space="preserve">事件识别与排序</x:t>
  </x:si>
  <x:si>
    <x:t xml:space="preserve">时间口径与先后关系</x:t>
  </x:si>
  <x:si>
    <x:t xml:space="preserve">公司形式与资本性质</x:t>
  </x:si>
  <x:si>
    <x:t xml:space="preserve">原文披露资本值（蓝色）</x:t>
  </x:si>
  <x:si>
    <x:t xml:space="preserve">计算衔接值与计算登记</x:t>
  </x:si>
  <x:si>
    <x:t xml:space="preserve">股东变化方向</x:t>
  </x:si>
  <x:si>
    <x:t xml:space="preserve">原文证据与双页码</x:t>
  </x:si>
  <x:si>
    <x:t xml:space="preserve">未披露、判断与复核</x:t>
  </x:si>
  <x:si>
    <x:t xml:space="preserve">timeline_id</x:t>
  </x:si>
  <x:si>
    <x:t xml:space="preserve">display_sequence</x:t>
  </x:si>
  <x:si>
    <x:t xml:space="preserve">timeline_group_id</x:t>
  </x:si>
  <x:si>
    <x:t xml:space="preserve">event_id</x:t>
  </x:si>
  <x:si>
    <x:t xml:space="preserve">parent_event_id</x:t>
  </x:si>
  <x:si>
    <x:t xml:space="preserve">event_level</x:t>
  </x:si>
  <x:si>
    <x:t xml:space="preserve">standard_event_name</x:t>
  </x:si>
  <x:si>
    <x:t xml:space="preserve">event_type</x:t>
  </x:si>
  <x:si>
    <x:t xml:space="preserve">original_time_label</x:t>
  </x:si>
  <x:si>
    <x:t xml:space="preserve">time_precision</x:t>
  </x:si>
  <x:si>
    <x:t xml:space="preserve">primary_display_time</x:t>
  </x:si>
  <x:si>
    <x:t xml:space="preserve">primary_time_type</x:t>
  </x:si>
  <x:si>
    <x:t xml:space="preserve">time_node_ids</x:t>
  </x:si>
  <x:si>
    <x:t xml:space="preserve">chronology_relation</x:t>
  </x:si>
  <x:si>
    <x:t xml:space="preserve">ordering_basis</x:t>
  </x:si>
  <x:si>
    <x:t xml:space="preserve">company_form_before</x:t>
  </x:si>
  <x:si>
    <x:t xml:space="preserve">company_form_after</x:t>
  </x:si>
  <x:si>
    <x:t xml:space="preserve">capital_change_nature</x:t>
  </x:si>
  <x:si>
    <x:t xml:space="preserve">registered_capital_changed</x:t>
  </x:si>
  <x:si>
    <x:t xml:space="preserve">shareholder_structure_changed</x:t>
  </x:si>
  <x:si>
    <x:t xml:space="preserve">capital_before_original</x:t>
  </x:si>
  <x:si>
    <x:t xml:space="preserve">capital_change_original</x:t>
  </x:si>
  <x:si>
    <x:t xml:space="preserve">capital_after_original</x:t>
  </x:si>
  <x:si>
    <x:t xml:space="preserve">original_unit</x:t>
  </x:si>
  <x:si>
    <x:t xml:space="preserve">capital_before_calculated</x:t>
  </x:si>
  <x:si>
    <x:t xml:space="preserve">capital_change_calculated</x:t>
  </x:si>
  <x:si>
    <x:t xml:space="preserve">capital_after_calculated</x:t>
  </x:si>
  <x:si>
    <x:t xml:space="preserve">calculation_ids</x:t>
  </x:si>
  <x:si>
    <x:t xml:space="preserve">calculation_status</x:t>
  </x:si>
  <x:si>
    <x:t xml:space="preserve">new_shareholders</x:t>
  </x:si>
  <x:si>
    <x:t xml:space="preserve">increased_shareholders</x:t>
  </x:si>
  <x:si>
    <x:t xml:space="preserve">decreased_shareholders</x:t>
  </x:si>
  <x:si>
    <x:t xml:space="preserve">exited_shareholders</x:t>
  </x:si>
  <x:si>
    <x:t xml:space="preserve">shareholder_change_summary</x:t>
  </x:si>
  <x:si>
    <x:t xml:space="preserve">evidence_ids</x:t>
  </x:si>
  <x:si>
    <x:t xml:space="preserve">value_ids</x:t>
  </x:si>
  <x:si>
    <x:t xml:space="preserve">pdf_pages</x:t>
  </x:si>
  <x:si>
    <x:t xml:space="preserve">printed_pages</x:t>
  </x:si>
  <x:si>
    <x:t xml:space="preserve">core_original_excerpt</x:t>
  </x:si>
  <x:si>
    <x:t xml:space="preserve">undisclosed_items</x:t>
  </x:si>
  <x:si>
    <x:t xml:space="preserve">manual_judgment</x:t>
  </x:si>
  <x:si>
    <x:t xml:space="preserve">needs_manual_review</x:t>
  </x:si>
  <x:si>
    <x:t xml:space="preserve">review_status</x:t>
  </x:si>
  <x:si>
    <x:t xml:space="preserve">review_note</x:t>
  </x:si>
  <x:si>
    <x:t xml:space="preserve">TL-001</x:t>
  </x:si>
  <x:si>
    <x:t xml:space="preserve">TG-001</x:t>
  </x:si>
  <x:si>
    <x:t xml:space="preserve">CE-001</x:t>
  </x:si>
  <x:si>
    <x:t xml:space="preserve">主事件</x:t>
  </x:si>
  <x:si>
    <x:t xml:space="preserve">2008年上海云汉电子有限公司设立</x:t>
  </x:si>
  <x:si>
    <x:t xml:space="preserve">公司设立</x:t>
  </x:si>
  <x:si>
    <x:t xml:space="preserve">2008年4月至5月</x:t>
  </x:si>
  <x:si>
    <x:t xml:space="preserve">多个节点</x:t>
  </x:si>
  <x:si>
    <x:t xml:space="preserve">2008-05-07</x:t>
  </x:si>
  <x:si>
    <x:t xml:space="preserve">工商设立登记完成日</x:t>
  </x:si>
  <x:si>
    <x:t xml:space="preserve">TN-001｜TN-002｜TN-003｜TN-004｜TN-005</x:t>
  </x:si>
  <x:si>
    <x:t xml:space="preserve">设立申请、验资和工商登记程序节点明确。</x:t>
  </x:si>
  <x:si>
    <x:t xml:space="preserve">以工商设立登记完成日作为主展示节点。</x:t>
  </x:si>
  <x:si>
    <x:t xml:space="preserve">尚未设立</x:t>
  </x:si>
  <x:si>
    <x:t xml:space="preserve">有限公司</x:t>
  </x:si>
  <x:si>
    <x:t xml:space="preserve">设立出资</x:t>
  </x:si>
  <x:si>
    <x:t xml:space="preserve">是</x:t>
  </x:si>
  <x:si>
    <x:t xml:space="preserve">万元</x:t>
  </x:si>
  <x:si>
    <x:t xml:space="preserve">不适用</x:t>
  </x:si>
  <x:si>
    <x:t xml:space="preserve">深圳云汉电子；刘云锋</x:t>
  </x:si>
  <x:si>
    <x:t xml:space="preserve">深圳云汉电子、刘云锋共同申请设立并成为初始股东，各认缴25万元、各持股50%。</x:t>
  </x:si>
  <x:si>
    <x:t xml:space="preserve">CE-001-E01｜CE-001-E02｜CE-001-E04｜CE-001-E05</x:t>
  </x:si>
  <x:si>
    <x:t xml:space="preserve">CE-001-V01｜CE-001-V02｜CE-001-V03｜CE-001-V04｜CE-001-V05｜CE-001-V06</x:t>
  </x:si>
  <x:si>
    <x:t xml:space="preserve">55｜56</x:t>
  </x:si>
  <x:si>
    <x:t xml:space="preserve">54｜55</x:t>
  </x:si>
  <x:si>
    <x:t xml:space="preserve">2008年4月17日，深圳市云汉电子有限公司和刘云锋共同申请设立公司前身上海云汉电子有限公司，注册资本为50万元；深圳云汉电子和刘云锋各认缴25万元、各占50%。；2008年5月7日，上海云汉电子有限公司办理完毕工商登记手续，并取得上海市工商行政管理局松江分局下发的《企业法人营业执照》，注册号为310227001377671。</x:t>
  </x:si>
  <x:si>
    <x:t xml:space="preserve">设立协议名称及签署日；两名股东各自具体缴款日期。</x:t>
  </x:si>
  <x:si>
    <x:t xml:space="preserve">2008-05-07为工商设立登记完成日；2008-05-04仅为验资截止时点，不推定为具体缴款日。</x:t>
  </x:si>
  <x:si>
    <x:t xml:space="preserve">否</x:t>
  </x:si>
  <x:si>
    <x:t xml:space="preserve">已验收通过</x:t>
  </x:si>
  <x:si>
    <x:t xml:space="preserve">阶段四事实已验收；本行仅完成时间线串联。</x:t>
  </x:si>
  <x:si>
    <x:t xml:space="preserve">TL-002</x:t>
  </x:si>
  <x:si>
    <x:t xml:space="preserve">TG-002</x:t>
  </x:si>
  <x:si>
    <x:t xml:space="preserve">CE-002-01</x:t>
  </x:si>
  <x:si>
    <x:t xml:space="preserve">CE-002</x:t>
  </x:si>
  <x:si>
    <x:t xml:space="preserve">子事件</x:t>
  </x:si>
  <x:si>
    <x:t xml:space="preserve">深圳云汉电子向曾烨转让有限公司全部持股</x:t>
  </x:si>
  <x:si>
    <x:t xml:space="preserve">股权转让</x:t>
  </x:si>
  <x:si>
    <x:t xml:space="preserve">2009年12月</x:t>
  </x:si>
  <x:si>
    <x:t xml:space="preserve">月</x:t>
  </x:si>
  <x:si>
    <x:t xml:space="preserve">结果性月份</x:t>
  </x:si>
  <x:si>
    <x:t xml:space="preserve">TN-006</x:t>
  </x:si>
  <x:si>
    <x:t xml:space="preserve">与CE-002-02同月；原文明示先转让、随后增资。</x:t>
  </x:si>
  <x:si>
    <x:t xml:space="preserve">按原文明示先后列为复合事件组第一项。</x:t>
  </x:si>
  <x:si>
    <x:t xml:space="preserve">股权转让（注册资本不变）</x:t>
  </x:si>
  <x:si>
    <x:t xml:space="preserve">CAL-001</x:t>
  </x:si>
  <x:si>
    <x:t xml:space="preserve">待阶段七校验</x:t>
  </x:si>
  <x:si>
    <x:t xml:space="preserve">曾烨</x:t>
  </x:si>
  <x:si>
    <x:t xml:space="preserve">深圳云汉电子</x:t>
  </x:si>
  <x:si>
    <x:t xml:space="preserve">深圳云汉电子将其持有的有限公司50%股权全部转让给曾烨并退出；曾烨新增进入。</x:t>
  </x:si>
  <x:si>
    <x:t xml:space="preserve">CE-001-E05｜CE-002-E02</x:t>
  </x:si>
  <x:si>
    <x:t xml:space="preserve">CE-002-V01</x:t>
  </x:si>
  <x:si>
    <x:t xml:space="preserve">56</x:t>
  </x:si>
  <x:si>
    <x:t xml:space="preserve">55</x:t>
  </x:si>
  <x:si>
    <x:t xml:space="preserve">深圳市云汉电子有限公司将其持有的有限公司50%股权转让给曾烨，曾烨、刘云锋按原持股比例增资50万元，注册资本增至100万元。</x:t>
  </x:si>
  <x:si>
    <x:t xml:space="preserve">股份转让协议名称及签署日；转让价款及支付日；工商变更日。</x:t>
  </x:si>
  <x:si>
    <x:t xml:space="preserve">“将其持有的有限公司50%股权转让”结合设立时持股50%，支持全部转让及退出判断。</x:t>
  </x:si>
  <x:si>
    <x:t xml:space="preserve">父事件CE-002不重复进入主时间线。</x:t>
  </x:si>
  <x:si>
    <x:t xml:space="preserve">TL-003</x:t>
  </x:si>
  <x:si>
    <x:t xml:space="preserve">CE-002-02</x:t>
  </x:si>
  <x:si>
    <x:t xml:space="preserve">曾烨、刘云锋按原持股比例对有限公司增资</x:t>
  </x:si>
  <x:si>
    <x:t xml:space="preserve">增资</x:t>
  </x:si>
  <x:si>
    <x:t xml:space="preserve">TN-007</x:t>
  </x:si>
  <x:si>
    <x:t xml:space="preserve">与CE-002-01同月；原文明示在股权转让后按原持股比例增资。</x:t>
  </x:si>
  <x:si>
    <x:t xml:space="preserve">按原文明示先后列为复合事件组第二项。</x:t>
  </x:si>
  <x:si>
    <x:t xml:space="preserve">股东增资</x:t>
  </x:si>
  <x:si>
    <x:t xml:space="preserve">否（主体不变）</x:t>
  </x:si>
  <x:si>
    <x:t xml:space="preserve">CAL-002</x:t>
  </x:si>
  <x:si>
    <x:t xml:space="preserve">曾烨；刘云锋</x:t>
  </x:si>
  <x:si>
    <x:t xml:space="preserve">曾烨、刘云锋按原持股比例合计增资50万元，注册资本增至100万元；不计算各自增资额及比例。</x:t>
  </x:si>
  <x:si>
    <x:t xml:space="preserve">CE-002-E01｜CE-002-E02</x:t>
  </x:si>
  <x:si>
    <x:t xml:space="preserve">CE-002-V02｜CE-002-V03</x:t>
  </x:si>
  <x:si>
    <x:t xml:space="preserve">2009年12月，有限公司第一次股权转让及增资，注册资本增至100万元。；深圳市云汉电子有限公司将其持有的有限公司50%股权转让给曾烨，曾烨、刘云锋按原持股比例增资50万元，注册资本增至100万元。</x:t>
  </x:si>
  <x:si>
    <x:t xml:space="preserve">增资协议或股东会决议日；各自增资额；缴款验资日；工商变更日；增资后持股比例。</x:t>
  </x:si>
  <x:si>
    <x:t xml:space="preserve">按原持股比例增资表明股东主体不变，但本阶段不反推两名股东的具体增资额。</x:t>
  </x:si>
  <x:si>
    <x:t xml:space="preserve">TL-004</x:t>
  </x:si>
  <x:si>
    <x:t xml:space="preserve">TG-003</x:t>
  </x:si>
  <x:si>
    <x:t xml:space="preserve">CE-003</x:t>
  </x:si>
  <x:si>
    <x:t xml:space="preserve">刘云锋向曾烨、为赛咨询分别转让有限公司股权</x:t>
  </x:si>
  <x:si>
    <x:t xml:space="preserve">2014年6月</x:t>
  </x:si>
  <x:si>
    <x:t xml:space="preserve">TN-008</x:t>
  </x:si>
  <x:si>
    <x:t xml:space="preserve">按月份位于CE-002之后、CE-004之前；月内程序时间未披露。</x:t>
  </x:si>
  <x:si>
    <x:t xml:space="preserve">按流程图月份顺序。</x:t>
  </x:si>
  <x:si>
    <x:t xml:space="preserve">CAL-003</x:t>
  </x:si>
  <x:si>
    <x:t xml:space="preserve">为赛咨询</x:t>
  </x:si>
  <x:si>
    <x:t xml:space="preserve">刘云锋</x:t>
  </x:si>
  <x:si>
    <x:t xml:space="preserve">刘云锋分别向曾烨、为赛咨询转让15.75%、6.85%股权；刘云锋不标记退出。</x:t>
  </x:si>
  <x:si>
    <x:t xml:space="preserve">CE-003-E01｜CE-003-E02</x:t>
  </x:si>
  <x:si>
    <x:t xml:space="preserve">CE-003-V01｜CE-003-V02｜CE-003-V03</x:t>
  </x:si>
  <x:si>
    <x:t xml:space="preserve">“2014年6月，有限公司第二次股权转让，注册资本100万元。”；“刘云锋将其持有的15.75%、6.85%的股权分别转让给曾烨、为赛咨询。”</x:t>
  </x:si>
  <x:si>
    <x:t xml:space="preserve">股权转让协议及签署日；转让价款及支付日；工商变更日。</x:t>
  </x:si>
  <x:si>
    <x:t xml:space="preserve">原文未使用“全部转让”，故刘云锋仅标记持股减少；为赛咨询此前未出现，标记新增。</x:t>
  </x:si>
  <x:si>
    <x:t xml:space="preserve">TL-005</x:t>
  </x:si>
  <x:si>
    <x:t xml:space="preserve">TG-004</x:t>
  </x:si>
  <x:si>
    <x:t xml:space="preserve">CE-004</x:t>
  </x:si>
  <x:si>
    <x:t xml:space="preserve">力源信息、东方富海、芜湖富海共同对有限公司增资</x:t>
  </x:si>
  <x:si>
    <x:t xml:space="preserve">2014年8月</x:t>
  </x:si>
  <x:si>
    <x:t xml:space="preserve">TN-009</x:t>
  </x:si>
  <x:si>
    <x:t xml:space="preserve">按月份位于CE-003之后、CE-005之前；月内程序时间未披露。</x:t>
  </x:si>
  <x:si>
    <x:t xml:space="preserve">增资（出资形式未在本节点披露）</x:t>
  </x:si>
  <x:si>
    <x:t xml:space="preserve">CAL-004</x:t>
  </x:si>
  <x:si>
    <x:t xml:space="preserve">力源信息；东方富海；芜湖富海</x:t>
  </x:si>
  <x:si>
    <x:t xml:space="preserve">三名主体共同增资28.205万元并新增进入，注册资本增至128.205万元。</x:t>
  </x:si>
  <x:si>
    <x:t xml:space="preserve">CE-004-E01｜CE-004-E02</x:t>
  </x:si>
  <x:si>
    <x:t xml:space="preserve">CE-004-V01｜CE-004-V02</x:t>
  </x:si>
  <x:si>
    <x:t xml:space="preserve">“2014年8月，有限公司第二次增资，注册资本增至128.205万元。”；“力源信息、东方富海及芜湖富海共同增资28.205万元。”</x:t>
  </x:si>
  <x:si>
    <x:t xml:space="preserve">各增资方分别认缴额；增资协议和决议日期；缴款验资日；工商变更日；增资后持股比例。</x:t>
  </x:si>
  <x:si>
    <x:t xml:space="preserve">三名主体此前未在已验收股东事件中出现，方向性标记为新增。</x:t>
  </x:si>
  <x:si>
    <x:t xml:space="preserve">TL-006</x:t>
  </x:si>
  <x:si>
    <x:t xml:space="preserve">TG-005</x:t>
  </x:si>
  <x:si>
    <x:t xml:space="preserve">CE-005</x:t>
  </x:si>
  <x:si>
    <x:t xml:space="preserve">力源信息、东方富海、芜湖富海再次共同增资</x:t>
  </x:si>
  <x:si>
    <x:t xml:space="preserve">2015年1月</x:t>
  </x:si>
  <x:si>
    <x:t xml:space="preserve">TN-010</x:t>
  </x:si>
  <x:si>
    <x:t xml:space="preserve">按月份位于CE-004之后、CE-006之前；月内程序时间未披露。</x:t>
  </x:si>
  <x:si>
    <x:t xml:space="preserve">CAL-005</x:t>
  </x:si>
  <x:si>
    <x:t xml:space="preserve">三名既有股东共同增资；原文披露增资额8.78714万元、注册资本增至136.9864万元。</x:t>
  </x:si>
  <x:si>
    <x:t xml:space="preserve">CE-005-E01｜CE-005-E02</x:t>
  </x:si>
  <x:si>
    <x:t xml:space="preserve">CE-005-V01｜CE-005-V02</x:t>
  </x:si>
  <x:si>
    <x:t xml:space="preserve">“2015年1月，有限公司第三次增资，注册资本增至136.9864万元。”；“力源信息、东方富海及芜湖富海共同增资8.78714万元。”</x:t>
  </x:si>
  <x:si>
    <x:t xml:space="preserve">协议、决议、缴款、验资和工商变更日期；各方增资额及增资后持股比例。</x:t>
  </x:si>
  <x:si>
    <x:t xml:space="preserve">128.205+8.78714=136.99214万元，与原文增资后注册资本136.9864万元相差0.00574万元；本阶段保留原文并列入阶段七校验。</x:t>
  </x:si>
  <x:si>
    <x:t xml:space="preserve">TL-007</x:t>
  </x:si>
  <x:si>
    <x:t xml:space="preserve">TG-006</x:t>
  </x:si>
  <x:si>
    <x:t xml:space="preserve">CE-006</x:t>
  </x:si>
  <x:si>
    <x:t xml:space="preserve">有限公司以资本公积按股东持股比例转增注册资本</x:t>
  </x:si>
  <x:si>
    <x:t xml:space="preserve">资本公积转增注册资本</x:t>
  </x:si>
  <x:si>
    <x:t xml:space="preserve">2015年3月</x:t>
  </x:si>
  <x:si>
    <x:t xml:space="preserve">TN-011</x:t>
  </x:si>
  <x:si>
    <x:t xml:space="preserve">按月份位于CE-005之后、CE-007之前；月内程序时间未披露。</x:t>
  </x:si>
  <x:si>
    <x:t xml:space="preserve">资本公积转增</x:t>
  </x:si>
  <x:si>
    <x:t xml:space="preserve">否（主体及比例不变）</x:t>
  </x:si>
  <x:si>
    <x:t xml:space="preserve">CAL-006</x:t>
  </x:si>
  <x:si>
    <x:t xml:space="preserve">各股东（按原持股比例）</x:t>
  </x:si>
  <x:si>
    <x:t xml:space="preserve">新增注册资本由各股东按持股比例以资本公积转增，注册资本增至2,000万元；不是外部现金融资。</x:t>
  </x:si>
  <x:si>
    <x:t xml:space="preserve">CE-006-E01｜CE-006-E02</x:t>
  </x:si>
  <x:si>
    <x:t xml:space="preserve">CE-006-V01</x:t>
  </x:si>
  <x:si>
    <x:t xml:space="preserve">“2015年3月，有限公司第四次增资，注册资本增至2,000万元。”；“新增注册资本由各股东按照其持股比例以资本公积转增。”</x:t>
  </x:si>
  <x:si>
    <x:t xml:space="preserve">股东会决议日；验资日；工商变更日；逐股东转增数值。</x:t>
  </x:si>
  <x:si>
    <x:t xml:space="preserve">转增前后股东主体及持股比例不变；计算的资本增加额不代表现金投入。</x:t>
  </x:si>
  <x:si>
    <x:t xml:space="preserve">TL-008</x:t>
  </x:si>
  <x:si>
    <x:t xml:space="preserve">TG-007</x:t>
  </x:si>
  <x:si>
    <x:t xml:space="preserve">CE-007</x:t>
  </x:si>
  <x:si>
    <x:t xml:space="preserve">深创投等六方共同对有限公司增资</x:t>
  </x:si>
  <x:si>
    <x:t xml:space="preserve">2015年8月</x:t>
  </x:si>
  <x:si>
    <x:t xml:space="preserve">TN-012</x:t>
  </x:si>
  <x:si>
    <x:t xml:space="preserve">按月份位于CE-006之后、CE-008整体变更基准日前后；月内程序时间未披露。</x:t>
  </x:si>
  <x:si>
    <x:t xml:space="preserve">CAL-007</x:t>
  </x:si>
  <x:si>
    <x:t xml:space="preserve">深创投；丰利财富；镇江红土；昆山红土；富海深湾</x:t>
  </x:si>
  <x:si>
    <x:t xml:space="preserve">芜湖富海</x:t>
  </x:si>
  <x:si>
    <x:t xml:space="preserve">六方共同增资158.2733万元；其中五方新增，芜湖富海为既有股东继续增资；注册资本增至2,158.2733万元。</x:t>
  </x:si>
  <x:si>
    <x:t xml:space="preserve">CE-007-E01｜CE-007-E02</x:t>
  </x:si>
  <x:si>
    <x:t xml:space="preserve">CE-007-V01｜CE-007-V02</x:t>
  </x:si>
  <x:si>
    <x:t xml:space="preserve">57</x:t>
  </x:si>
  <x:si>
    <x:t xml:space="preserve">“2015年8月，有限公司第五次增资，注册资本增至2,158.2733万元。”；“深创投、丰利财富、镇江红土、昆山红土、富海深湾、芜湖富海共同增资158.2733万元。”</x:t>
  </x:si>
  <x:si>
    <x:t xml:space="preserve">各方分别认缴额；协议、决议、缴款验资及工商变更日期；增资后持股比例。</x:t>
  </x:si>
  <x:si>
    <x:t xml:space="preserve">芜湖富海已在CE-004进入，本次标记持股增加；其他五方标记新增。</x:t>
  </x:si>
  <x:si>
    <x:t xml:space="preserve">TL-009</x:t>
  </x:si>
  <x:si>
    <x:t xml:space="preserve">TG-008</x:t>
  </x:si>
  <x:si>
    <x:t xml:space="preserve">CE-008</x:t>
  </x:si>
  <x:si>
    <x:t xml:space="preserve">上海云汉电子有限公司整体变更设立云汉芯城股份公司</x:t>
  </x:si>
  <x:si>
    <x:t xml:space="preserve">整体变更</x:t>
  </x:si>
  <x:si>
    <x:t xml:space="preserve">2015年8月31日至12月3日</x:t>
  </x:si>
  <x:si>
    <x:t xml:space="preserve">2015-12-03</x:t>
  </x:si>
  <x:si>
    <x:t xml:space="preserve">工商整体变更完成日</x:t>
  </x:si>
  <x:si>
    <x:t xml:space="preserve">TN-013｜TN-014｜TN-015｜TN-016｜TN-017｜TN-018｜TN-019</x:t>
  </x:si>
  <x:si>
    <x:t xml:space="preserve">基准日、决议、审计评估、发起人协议、创立大会、验资及工商核准节点明确。</x:t>
  </x:si>
  <x:si>
    <x:t xml:space="preserve">以工商核准并换发营业执照日作为主展示节点。</x:t>
  </x:si>
  <x:si>
    <x:t xml:space="preserve">股份公司</x:t>
  </x:si>
  <x:si>
    <x:t xml:space="preserve">经审计净资产折股整体变更</x:t>
  </x:si>
  <x:si>
    <x:t xml:space="preserve">否（发起人主体连续）</x:t>
  </x:si>
  <x:si>
    <x:t xml:space="preserve">万元（注册资本）；40,000,000股（股本）</x:t>
  </x:si>
  <x:si>
    <x:t xml:space="preserve">不计算：计量基础变化</x:t>
  </x:si>
  <x:si>
    <x:t xml:space="preserve">11名原股东以经审计净资产折为4,000万股，注册资本4,000万元；公司形式由有限公司变更为股份公司。</x:t>
  </x:si>
  <x:si>
    <x:t xml:space="preserve">CE-008-E01｜CE-008-E02｜CE-008-E03｜CE-008-E04｜CE-008-E05｜CE-008-E06｜CE-008-E07</x:t>
  </x:si>
  <x:si>
    <x:t xml:space="preserve">CE-008-V01｜CE-008-V02｜CE-008-V03｜CE-008-V04｜CE-008-V05｜CE-008-V06</x:t>
  </x:si>
  <x:si>
    <x:t xml:space="preserve">53｜54｜54—55</x:t>
  </x:si>
  <x:si>
    <x:t xml:space="preserve">52｜53｜53—54</x:t>
  </x:si>
  <x:si>
    <x:t xml:space="preserve">2015年9月1日股东会决议，以2015年8月31日为基准日整体变更。；2015年10月15日全体发起人签署发起人协议，按1.1253:1折为4,000万股。；2015年12月3日工商核准整体变更并换发股份公司营业执照。</x:t>
  </x:si>
  <x:si>
    <x:t xml:space="preserve">无影响本阶段时间线的关键缺口。</x:t>
  </x:si>
  <x:si>
    <x:t xml:space="preserve">有限公司注册资本与股份公司股本虽均以金额或股数列示，但整体变更涉及净资产折股，阶段五不直接计算前后资本差额。</x:t>
  </x:si>
  <x:si>
    <x:t xml:space="preserve">逐发起人持股快照留待阶段六。</x:t>
  </x:si>
  <x:si>
    <x:t xml:space="preserve">TL-010</x:t>
  </x:si>
  <x:si>
    <x:t xml:space="preserve">TG-009</x:t>
  </x:si>
  <x:si>
    <x:t xml:space="preserve">CE-009</x:t>
  </x:si>
  <x:si>
    <x:t xml:space="preserve">丰利财富向天健创投转让其持有的全部股份</x:t>
  </x:si>
  <x:si>
    <x:t xml:space="preserve">股份转让</x:t>
  </x:si>
  <x:si>
    <x:t xml:space="preserve">2018年4月</x:t>
  </x:si>
  <x:si>
    <x:t xml:space="preserve">日＋月</x:t>
  </x:si>
  <x:si>
    <x:t xml:space="preserve">2018-04-28</x:t>
  </x:si>
  <x:si>
    <x:t xml:space="preserve">股份转让协议日</x:t>
  </x:si>
  <x:si>
    <x:t xml:space="preserve">TN-020｜TN-021</x:t>
  </x:si>
  <x:si>
    <x:t xml:space="preserve">协议日明确；完成日仅由2018年4月转让后股东表反映。</x:t>
  </x:si>
  <x:si>
    <x:t xml:space="preserve">使用精确协议日作为主展示节点，并注明完成日未单独披露。</x:t>
  </x:si>
  <x:si>
    <x:t xml:space="preserve">股份转让（注册资本不变）</x:t>
  </x:si>
  <x:si>
    <x:t xml:space="preserve">CAL-008</x:t>
  </x:si>
  <x:si>
    <x:t xml:space="preserve">天健创投</x:t>
  </x:si>
  <x:si>
    <x:t xml:space="preserve">丰利财富</x:t>
  </x:si>
  <x:si>
    <x:t xml:space="preserve">丰利财富转让全部666,680股并退出；天健创投受让进入，转让价款1,000万元。</x:t>
  </x:si>
  <x:si>
    <x:t xml:space="preserve">CE-009-E01｜CE-009-E02</x:t>
  </x:si>
  <x:si>
    <x:t xml:space="preserve">CE-009-V01｜CE-009-V02｜CE-009-V03</x:t>
  </x:si>
  <x:si>
    <x:t xml:space="preserve">58｜58—59</x:t>
  </x:si>
  <x:si>
    <x:t xml:space="preserve">57｜57—58</x:t>
  </x:si>
  <x:si>
    <x:t xml:space="preserve">2018年4月28日，丰利财富将全部666,680股转让给天健创投，价款1,000万元。；转让后股东表列示天健创投666,680股、1.67%，不再列示丰利财富。</x:t>
  </x:si>
  <x:si>
    <x:t xml:space="preserve">转让价款支付日；工商登记日或独立完成日。</x:t>
  </x:si>
  <x:si>
    <x:t xml:space="preserve">协议使用“全部”且转让后股东表不再列示丰利财富，支持退出判断。</x:t>
  </x:si>
  <x:si>
    <x:t xml:space="preserve">TL-011</x:t>
  </x:si>
  <x:si>
    <x:t xml:space="preserve">TG-010</x:t>
  </x:si>
  <x:si>
    <x:t xml:space="preserve">CE-010-01</x:t>
  </x:si>
  <x:si>
    <x:t xml:space="preserve">CE-010</x:t>
  </x:si>
  <x:si>
    <x:t xml:space="preserve">国科瑞华等六方现金认缴新增注册资本</x:t>
  </x:si>
  <x:si>
    <x:t xml:space="preserve">2018年6月至7月</x:t>
  </x:si>
  <x:si>
    <x:t xml:space="preserve">2018-07-27</x:t>
  </x:si>
  <x:si>
    <x:t xml:space="preserve">六方增资工商登记全部完成日</x:t>
  </x:si>
  <x:si>
    <x:t xml:space="preserve">TN-022｜TN-023｜TN-024｜TN-025｜TN-026</x:t>
  </x:si>
  <x:si>
    <x:t xml:space="preserve">属于CE-010复合安排；各子事件的法律先后未由原文完整披露。</x:t>
  </x:si>
  <x:si>
    <x:t xml:space="preserve">按阶段四子事件编号排列，不将显示顺序解释为实际行为先后。</x:t>
  </x:si>
  <x:si>
    <x:t xml:space="preserve">现金增资</x:t>
  </x:si>
  <x:si>
    <x:t xml:space="preserve">CAL-009｜CAL-011｜CAL-012</x:t>
  </x:si>
  <x:si>
    <x:t xml:space="preserve">待阶段七校验；父事件组口径</x:t>
  </x:si>
  <x:si>
    <x:t xml:space="preserve">国科瑞华；CASREV FUND；中科贵银；夏东；南山富海；珠海拓域</x:t>
  </x:si>
  <x:si>
    <x:t xml:space="preserve">六方分别现金出资并认缴新增注册资本；计算合计新增注册资本515万元。第一批、最终注册资本属于父事件组口径。</x:t>
  </x:si>
  <x:si>
    <x:t xml:space="preserve">CE-010-E01｜CE-010-E03｜CE-010-E04｜CE-010-E05｜CE-010-E06</x:t>
  </x:si>
  <x:si>
    <x:t xml:space="preserve">CE-010-V01｜CE-010-V02｜CE-010-V03｜CE-010-V04｜CE-010-V05｜CE-010-V06｜CE-010-V07｜CE-010-V08｜CE-010-V09｜CE-010-V10｜CE-010-V11｜CE-010-V12｜CE-010-V29｜CE-010-V30</x:t>
  </x:si>
  <x:si>
    <x:t xml:space="preserve">59｜60｜60—61</x:t>
  </x:si>
  <x:si>
    <x:t xml:space="preserve">58｜59｜59—60</x:t>
  </x:si>
  <x:si>
    <x:t xml:space="preserve">2018年6月12日签署增资与股权转让协议，列明六方增资及四笔股份转让。；2018年6月28日完成夏东、南山富海、珠海拓域及四名激励对象的工商变更。；2018年7月27日完成国科瑞华、CASREV FUND、中科贵银增资登记。</x:t>
  </x:si>
  <x:si>
    <x:t xml:space="preserve">六方实际缴款日期；本子事件独立完成后的注册资本（原文仅披露分批及父事件组结果）。</x:t>
  </x:si>
  <x:si>
    <x:t xml:space="preserve">515万元为六项原文认缴额的计算合计，不标记为原文披露合计值；4,635万元属于CE-010父事件组最终结果。</x:t>
  </x:si>
  <x:si>
    <x:t xml:space="preserve">父事件CE-010不重复进入主时间线。</x:t>
  </x:si>
  <x:si>
    <x:t xml:space="preserve">TL-012</x:t>
  </x:si>
  <x:si>
    <x:t xml:space="preserve">CE-010-02</x:t>
  </x:si>
  <x:si>
    <x:t xml:space="preserve">李文发、秦国君、李剑峰、周雪峰股权激励增资</x:t>
  </x:si>
  <x:si>
    <x:t xml:space="preserve">股权激励增资</x:t>
  </x:si>
  <x:si>
    <x:t xml:space="preserve">2018年6月</x:t>
  </x:si>
  <x:si>
    <x:t xml:space="preserve">2018-06-28</x:t>
  </x:si>
  <x:si>
    <x:t xml:space="preserve">工商变更登记日</x:t>
  </x:si>
  <x:si>
    <x:t xml:space="preserve">TN-027｜TN-028｜TN-029</x:t>
  </x:si>
  <x:si>
    <x:t xml:space="preserve">属于CE-010复合安排；与三名外部增资方同批办理工商变更。</x:t>
  </x:si>
  <x:si>
    <x:t xml:space="preserve">股权激励增资（现金按每股1元认缴）</x:t>
  </x:si>
  <x:si>
    <x:t xml:space="preserve">CAL-010｜CAL-011｜CAL-012</x:t>
  </x:si>
  <x:si>
    <x:t xml:space="preserve">李文发；秦国君；李剑峰；周雪峰</x:t>
  </x:si>
  <x:si>
    <x:t xml:space="preserve">四名管理团队成员合计认缴新增注册资本120万元，成为直接股东；本子事件无独立变更后注册资本披露。</x:t>
  </x:si>
  <x:si>
    <x:t xml:space="preserve">CE-010-E02｜CE-010-E03｜CE-010-E05｜CE-010-E06</x:t>
  </x:si>
  <x:si>
    <x:t xml:space="preserve">CE-010-V13｜CE-010-V14｜CE-010-V15｜CE-010-V16｜CE-010-V17｜CE-010-V18｜CE-010-V19｜CE-010-V20｜CE-010-V29</x:t>
  </x:si>
  <x:si>
    <x:t xml:space="preserve">60｜60—61</x:t>
  </x:si>
  <x:si>
    <x:t xml:space="preserve">59｜59—60</x:t>
  </x:si>
  <x:si>
    <x:t xml:space="preserve">2018年6月12日股东大会同意四名管理团队成员合计认缴新增注册资本120万元。；2018年6月28日完成夏东、南山富海、珠海拓域及四名激励对象的工商变更。</x:t>
  </x:si>
  <x:si>
    <x:t xml:space="preserve">独立增资协议；实际缴款日期；本子事件独立变更后的注册资本。</x:t>
  </x:si>
  <x:si>
    <x:t xml:space="preserve">120万元为四项原文认缴额计算合计；2018-06-28的4,264.3373万元同时包含三名外部增资方，不归属于本子事件单独结果。</x:t>
  </x:si>
  <x:si>
    <x:t xml:space="preserve">TL-013</x:t>
  </x:si>
  <x:si>
    <x:t xml:space="preserve">CE-010-03</x:t>
  </x:si>
  <x:si>
    <x:t xml:space="preserve">曾烨、刘云锋向富海节能、临港投资、鸿迪投资转让股份</x:t>
  </x:si>
  <x:si>
    <x:t xml:space="preserve">日＋区间</x:t>
  </x:si>
  <x:si>
    <x:t xml:space="preserve">2018-06-12</x:t>
  </x:si>
  <x:si>
    <x:t xml:space="preserve">增资与股权转让协议日</x:t>
  </x:si>
  <x:si>
    <x:t xml:space="preserve">TN-030｜TN-031｜TN-032</x:t>
  </x:si>
  <x:si>
    <x:t xml:space="preserve">属于CE-010复合安排；股份转让相对两类增资的实际完成先后未单独披露。</x:t>
  </x:si>
  <x:si>
    <x:t xml:space="preserve">CAL-011｜CAL-012（仅父事件组参考）</x:t>
  </x:si>
  <x:si>
    <x:t xml:space="preserve">本子事件不计算具体资本衔接</x:t>
  </x:si>
  <x:si>
    <x:t xml:space="preserve">富海节能；临港投资；鸿迪投资</x:t>
  </x:si>
  <x:si>
    <x:t xml:space="preserve">曾烨、刘云锋实施四笔股份转让；两人均继续持股，三名受让方新增进入。</x:t>
  </x:si>
  <x:si>
    <x:t xml:space="preserve">CE-010-E01｜CE-010-E05</x:t>
  </x:si>
  <x:si>
    <x:t xml:space="preserve">CE-010-V21｜CE-010-V22｜CE-010-V23｜CE-010-V24｜CE-010-V25｜CE-010-V26｜CE-010-V27｜CE-010-V28</x:t>
  </x:si>
  <x:si>
    <x:t xml:space="preserve">59｜60—61</x:t>
  </x:si>
  <x:si>
    <x:t xml:space="preserve">58｜59—60</x:t>
  </x:si>
  <x:si>
    <x:t xml:space="preserve">2018年6月12日签署增资与股权转让协议，列明六方增资及四笔股份转让。；变更后股东表列示六名外部增资方、四名激励对象及三名股份受让方。</x:t>
  </x:si>
  <x:si>
    <x:t xml:space="preserve">各笔价款支付日；股份转让独立完成日；工商登记日；相对同组增资的实际先后。</x:t>
  </x:si>
  <x:si>
    <x:t xml:space="preserve">因同组增资同步发生且相对顺序未披露，不为本子事件绑定具体变更前后注册资本。</x:t>
  </x:si>
  <x:si>
    <x:t xml:space="preserve">TL-014</x:t>
  </x:si>
  <x:si>
    <x:t xml:space="preserve">TG-011</x:t>
  </x:si>
  <x:si>
    <x:t xml:space="preserve">CE-011</x:t>
  </x:si>
  <x:si>
    <x:t xml:space="preserve">为赛咨询向李文发、秦国君转让股份并配套办理退伙</x:t>
  </x:si>
  <x:si>
    <x:t xml:space="preserve">股份转让｜关联退伙安排</x:t>
  </x:si>
  <x:si>
    <x:t xml:space="preserve">2019年8月12日至13日</x:t>
  </x:si>
  <x:si>
    <x:t xml:space="preserve">2019-08-13</x:t>
  </x:si>
  <x:si>
    <x:t xml:space="preserve">TN-033｜TN-034｜TN-035</x:t>
  </x:si>
  <x:si>
    <x:t xml:space="preserve">配套退伙协议日为2019-08-12，股份转让协议日为2019-08-13。</x:t>
  </x:si>
  <x:si>
    <x:t xml:space="preserve">以直接影响发行人股份的股份转让协议日作为主展示节点。</x:t>
  </x:si>
  <x:si>
    <x:t xml:space="preserve">CAL-013</x:t>
  </x:si>
  <x:si>
    <x:t xml:space="preserve">李文发；秦国君</x:t>
  </x:si>
  <x:si>
    <x:t xml:space="preserve">为赛咨询向李文发、秦国君各转让40万股；两名受让方直接持股均增至60万股，为赛咨询仍持股。</x:t>
  </x:si>
  <x:si>
    <x:t xml:space="preserve">CE-011-E01｜CE-011-E02｜CE-011-E03</x:t>
  </x:si>
  <x:si>
    <x:t xml:space="preserve">CE-011-V01｜CE-011-V02｜CE-011-V03｜CE-011-V04｜CE-011-V05｜CE-011-V06</x:t>
  </x:si>
  <x:si>
    <x:t xml:space="preserve">61｜61—62</x:t>
  </x:si>
  <x:si>
    <x:t xml:space="preserve">2019年8月13日，为赛咨询分别向李文发、秦国君转让40万股，价款各40万元。；两人于2019年8月12日分别转出为赛咨询21.58%财产份额并退伙。；转让后为赛咨询持股1,053,360股，李文发、秦国君各持600,000股。</x:t>
  </x:si>
  <x:si>
    <x:t xml:space="preserve">股份转让价款支付日；工商登记日或独立完成日。</x:t>
  </x:si>
  <x:si>
    <x:t xml:space="preserve">李文发、秦国君退出为赛咨询不等于退出发行人；二人在本事件前已为直接股东，因此标记持股增加而非新增。</x:t>
  </x:si>
  <x:si>
    <x:t xml:space="preserve">配套退伙只作为时间节点，不另建发行人股本事件。</x:t>
  </x:si>
  <x:si>
    <x:t xml:space="preserve">TL-015</x:t>
  </x:si>
  <x:si>
    <x:t xml:space="preserve">TG-012</x:t>
  </x:si>
  <x:si>
    <x:t xml:space="preserve">CE-012</x:t>
  </x:si>
  <x:si>
    <x:t xml:space="preserve">火炬电子现金认购发行人新增股份</x:t>
  </x:si>
  <x:si>
    <x:t xml:space="preserve">2020年5月20日至28日</x:t>
  </x:si>
  <x:si>
    <x:t xml:space="preserve">2020-05-28</x:t>
  </x:si>
  <x:si>
    <x:t xml:space="preserve">市场监督管理变更备案日</x:t>
  </x:si>
  <x:si>
    <x:t xml:space="preserve">TN-036｜TN-037｜TN-038｜TN-039</x:t>
  </x:si>
  <x:si>
    <x:t xml:space="preserve">股东大会决议与增资协议同日，工商变更备案日明确；验资报告后补出具。</x:t>
  </x:si>
  <x:si>
    <x:t xml:space="preserve">以市场监督管理变更备案日作为主展示节点。</x:t>
  </x:si>
  <x:si>
    <x:t xml:space="preserve">CAL-014</x:t>
  </x:si>
  <x:si>
    <x:t xml:space="preserve">火炬电子</x:t>
  </x:si>
  <x:si>
    <x:t xml:space="preserve">火炬电子现金出资5,000万元认购1,130,488股并新增进入；注册资本由4,635万元增至4,748.0488万元。</x:t>
  </x:si>
  <x:si>
    <x:t xml:space="preserve">CE-012-E01｜CE-012-E02｜CE-012-E03｜CE-012-E04</x:t>
  </x:si>
  <x:si>
    <x:t xml:space="preserve">CE-012-V01｜CE-012-V02｜CE-012-V03｜CE-012-V04｜CE-012-V05｜CE-012-V06</x:t>
  </x:si>
  <x:si>
    <x:t xml:space="preserve">62｜62—63</x:t>
  </x:si>
  <x:si>
    <x:t xml:space="preserve">2020年5月20日股东大会决议并签署增资协议，火炬电子现金5,000万元认购113.0488万股。；2020年5月28日完成市场监督管理变更备案。</x:t>
  </x:si>
  <x:si>
    <x:t xml:space="preserve">实际缴款日期；验资报告虽于2020-12-16出具，不替代2020-05-28变更备案完成节点。</x:t>
  </x:si>
  <x:si>
    <x:t xml:space="preserve">新增股份按1股对应1元注册资本换算的113.0488万元属于计算值，与原文前后注册资本相衔接。</x:t>
  </x:si>
  <x:si>
    <x:t xml:space="preserve">不在阶段五复算每股价格或投后估值。</x:t>
  </x:si>
  <x:si>
    <x:t xml:space="preserve">TL-016</x:t>
  </x:si>
  <x:si>
    <x:t xml:space="preserve">TG-013</x:t>
  </x:si>
  <x:si>
    <x:t xml:space="preserve">CE-013-01</x:t>
  </x:si>
  <x:si>
    <x:t xml:space="preserve">CE-013</x:t>
  </x:si>
  <x:si>
    <x:t xml:space="preserve">厦门西堤、中小企业基金认购新增股份</x:t>
  </x:si>
  <x:si>
    <x:t xml:space="preserve">2020年9月15日至23日</x:t>
  </x:si>
  <x:si>
    <x:t xml:space="preserve">2020-09-23</x:t>
  </x:si>
  <x:si>
    <x:t xml:space="preserve">TN-040｜TN-041｜TN-042</x:t>
  </x:si>
  <x:si>
    <x:t xml:space="preserve">与CE-013-02同月；两类行为相对先后未披露。</x:t>
  </x:si>
  <x:si>
    <x:t xml:space="preserve">CAL-015</x:t>
  </x:si>
  <x:si>
    <x:t xml:space="preserve">厦门西堤；中小企业基金</x:t>
  </x:si>
  <x:si>
    <x:t xml:space="preserve">厦门西堤、中小企业基金分别现金出资5,000万元、2,000万元认购新增股份并新增进入。</x:t>
  </x:si>
  <x:si>
    <x:t xml:space="preserve">CE-013-E01｜CE-013-E02｜CE-013-E04｜CE-013-E05</x:t>
  </x:si>
  <x:si>
    <x:t xml:space="preserve">CE-013-V01｜CE-013-V02｜CE-013-V03｜CE-013-V04｜CE-013-V05｜CE-013-V06</x:t>
  </x:si>
  <x:si>
    <x:t xml:space="preserve">63｜63—64｜64｜64—65</x:t>
  </x:si>
  <x:si>
    <x:t xml:space="preserve">62｜62—63｜63｜63—64</x:t>
  </x:si>
  <x:si>
    <x:t xml:space="preserve">2020年9月15日股东大会同意厦门西堤、中小企业基金认购新增股份。；2020年9月23日完成工商变更登记；原文披露每股价格约51.6元。</x:t>
  </x:si>
  <x:si>
    <x:t xml:space="preserve">增资协议具体签署日；实际缴款日；与同月股份转让的实际先后。</x:t>
  </x:si>
  <x:si>
    <x:t xml:space="preserve">两笔新增股份合计换算的135.6586万元属于计算值；阶段五不复算原文每股价格和投后估值。</x:t>
  </x:si>
  <x:si>
    <x:t xml:space="preserve">父事件CE-013不重复进入主时间线。</x:t>
  </x:si>
  <x:si>
    <x:t xml:space="preserve">TL-017</x:t>
  </x:si>
  <x:si>
    <x:t xml:space="preserve">CE-013-02</x:t>
  </x:si>
  <x:si>
    <x:t xml:space="preserve">曾烨、刘云锋、李文发、秦国君实施十笔股份转让</x:t>
  </x:si>
  <x:si>
    <x:t xml:space="preserve">2020年9月</x:t>
  </x:si>
  <x:si>
    <x:t xml:space="preserve">TN-043</x:t>
  </x:si>
  <x:si>
    <x:t xml:space="preserve">与CE-013-01同月；股份转让协议具体日期及两类行为相对先后未披露。</x:t>
  </x:si>
  <x:si>
    <x:t xml:space="preserve">CAL-016</x:t>
  </x:si>
  <x:si>
    <x:t xml:space="preserve">郦韩英；福建开京；沈笑彦；衣嘉平；余满芬；崔振南；湘裕君源</x:t>
  </x:si>
  <x:si>
    <x:t xml:space="preserve">鸿迪投资</x:t>
  </x:si>
  <x:si>
    <x:t xml:space="preserve">曾烨；刘云锋；李文发；秦国君</x:t>
  </x:si>
  <x:si>
    <x:t xml:space="preserve">四名转让方向八名受让主体实施十笔股份转让，原文直接披露转让股份合计1,659,535股；四名转让方均继续持股。</x:t>
  </x:si>
  <x:si>
    <x:t xml:space="preserve">CE-013-E03｜CE-013-E05</x:t>
  </x:si>
  <x:si>
    <x:t xml:space="preserve">CE-013-V07｜CE-013-V08｜CE-013-V09｜CE-013-V10｜CE-013-V11｜CE-013-V12｜CE-013-V13｜CE-013-V14｜CE-013-V15｜CE-013-V16｜CE-013-V17｜CE-013-V18｜CE-013-V19｜CE-013-V20｜CE-013-V21｜CE-013-V22｜CE-013-V23｜CE-013-V24｜CE-013-V25｜CE-013-V26｜CE-013-V27</x:t>
  </x:si>
  <x:si>
    <x:t xml:space="preserve">64｜64—65</x:t>
  </x:si>
  <x:si>
    <x:t xml:space="preserve">63｜63—64</x:t>
  </x:si>
  <x:si>
    <x:t xml:space="preserve">原文表格列示四名转让方向八名受让主体实施十笔股份转让。；变更后股东表列示两名增资方及各股份受让方，四名转让方仍持股。</x:t>
  </x:si>
  <x:si>
    <x:t xml:space="preserve">各股份转让协议具体签署日；价款支付日；独立完成日；与同月增资的实际先后。</x:t>
  </x:si>
  <x:si>
    <x:t xml:space="preserve">鸿迪投资已在CE-010-03进入，本次标记持股增加；其余七名受让方新增。四名转让方均未全部退出。</x:t>
  </x:si>
  <x:si>
    <x:t xml:space="preserve">阶段五：时间节点明细（一项独立日期事实一行）</x:t>
  </x:si>
  <x:si>
    <x:t xml:space="preserve">日期事实与标准化口径</x:t>
  </x:si>
  <x:si>
    <x:t xml:space="preserve">原文证据及页码</x:t>
  </x:si>
  <x:si>
    <x:t xml:space="preserve">time_node_id</x:t>
  </x:si>
  <x:si>
    <x:t xml:space="preserve">node_type</x:t>
  </x:si>
  <x:si>
    <x:t xml:space="preserve">original_date_text</x:t>
  </x:si>
  <x:si>
    <x:t xml:space="preserve">normalized_date</x:t>
  </x:si>
  <x:si>
    <x:t xml:space="preserve">period_start</x:t>
  </x:si>
  <x:si>
    <x:t xml:space="preserve">period_end</x:t>
  </x:si>
  <x:si>
    <x:t xml:space="preserve">date_precision</x:t>
  </x:si>
  <x:si>
    <x:t xml:space="preserve">is_primary_display_node</x:t>
  </x:si>
  <x:si>
    <x:t xml:space="preserve">chronology_confidence</x:t>
  </x:si>
  <x:si>
    <x:t xml:space="preserve">evidence_id</x:t>
  </x:si>
  <x:si>
    <x:t xml:space="preserve">pdf_page</x:t>
  </x:si>
  <x:si>
    <x:t xml:space="preserve">printed_page</x:t>
  </x:si>
  <x:si>
    <x:t xml:space="preserve">date_note</x:t>
  </x:si>
  <x:si>
    <x:t xml:space="preserve">TN-001</x:t>
  </x:si>
  <x:si>
    <x:t xml:space="preserve">设立申请日</x:t>
  </x:si>
  <x:si>
    <x:t xml:space="preserve">2008年4月17日</x:t>
  </x:si>
  <x:si>
    <x:t xml:space="preserve">日</x:t>
  </x:si>
  <x:si>
    <x:t xml:space="preserve">明确</x:t>
  </x:si>
  <x:si>
    <x:t xml:space="preserve">CE-001-E01</x:t>
  </x:si>
  <x:si>
    <x:t xml:space="preserve">54</x:t>
  </x:si>
  <x:si>
    <x:t xml:space="preserve">TN-002</x:t>
  </x:si>
  <x:si>
    <x:t xml:space="preserve">验资截止日</x:t>
  </x:si>
  <x:si>
    <x:t xml:space="preserve">截至2008年5月4日</x:t>
  </x:si>
  <x:si>
    <x:t xml:space="preserve">CE-001-E02</x:t>
  </x:si>
  <x:si>
    <x:t xml:space="preserve">仅为验资截止时点，不推定为各股东具体缴款日。</x:t>
  </x:si>
  <x:si>
    <x:t xml:space="preserve">TN-003</x:t>
  </x:si>
  <x:si>
    <x:t xml:space="preserve">验资报告日</x:t>
  </x:si>
  <x:si>
    <x:t xml:space="preserve">2008年5月5日</x:t>
  </x:si>
  <x:si>
    <x:t xml:space="preserve">TN-004</x:t>
  </x:si>
  <x:si>
    <x:t xml:space="preserve">2008年5月7日</x:t>
  </x:si>
  <x:si>
    <x:t xml:space="preserve">CE-001-E04</x:t>
  </x:si>
  <x:si>
    <x:t xml:space="preserve">TN-005</x:t>
  </x:si>
  <x:si>
    <x:t xml:space="preserve">流程图概括月份</x:t>
  </x:si>
  <x:si>
    <x:t xml:space="preserve">2008年5月</x:t>
  </x:si>
  <x:si>
    <x:t xml:space="preserve">CE-001-E06</x:t>
  </x:si>
  <x:si>
    <x:t xml:space="preserve">月份级概括性重复披露。</x:t>
  </x:si>
  <x:si>
    <x:t xml:space="preserve">部分明确</x:t>
  </x:si>
  <x:si>
    <x:t xml:space="preserve">CE-002-E02</x:t>
  </x:si>
  <x:si>
    <x:t xml:space="preserve">原文未披露协议日、支付日及工商变更日。</x:t>
  </x:si>
  <x:si>
    <x:t xml:space="preserve">原文明示先转让、随后按原持股比例增资，但未披露月内具体日期。</x:t>
  </x:si>
  <x:si>
    <x:t xml:space="preserve">CE-003-E01</x:t>
  </x:si>
  <x:si>
    <x:t xml:space="preserve">原文仅披露至月份，未披露协议、缴款验资及工商变更的精确日期。</x:t>
  </x:si>
  <x:si>
    <x:t xml:space="preserve">CE-004-E01</x:t>
  </x:si>
  <x:si>
    <x:t xml:space="preserve">CE-005-E01</x:t>
  </x:si>
  <x:si>
    <x:t xml:space="preserve">CE-006-E01</x:t>
  </x:si>
  <x:si>
    <x:t xml:space="preserve">CE-007-E01</x:t>
  </x:si>
  <x:si>
    <x:t xml:space="preserve">TN-013</x:t>
  </x:si>
  <x:si>
    <x:t xml:space="preserve">审计评估基准日</x:t>
  </x:si>
  <x:si>
    <x:t xml:space="preserve">2015年8月31日</x:t>
  </x:si>
  <x:si>
    <x:t xml:space="preserve">CE-008-E01</x:t>
  </x:si>
  <x:si>
    <x:t xml:space="preserve">53</x:t>
  </x:si>
  <x:si>
    <x:t xml:space="preserve">52</x:t>
  </x:si>
  <x:si>
    <x:t xml:space="preserve">TN-014</x:t>
  </x:si>
  <x:si>
    <x:t xml:space="preserve">股东会决议日</x:t>
  </x:si>
  <x:si>
    <x:t xml:space="preserve">2015年9月1日</x:t>
  </x:si>
  <x:si>
    <x:t xml:space="preserve">TN-015</x:t>
  </x:si>
  <x:si>
    <x:t xml:space="preserve">审计报告日</x:t>
  </x:si>
  <x:si>
    <x:t xml:space="preserve">2015年10月13日</x:t>
  </x:si>
  <x:si>
    <x:t xml:space="preserve">CE-008-E02</x:t>
  </x:si>
  <x:si>
    <x:t xml:space="preserve">TN-016</x:t>
  </x:si>
  <x:si>
    <x:t xml:space="preserve">评估报告日</x:t>
  </x:si>
  <x:si>
    <x:t xml:space="preserve">2015年10月14日</x:t>
  </x:si>
  <x:si>
    <x:t xml:space="preserve">CE-008-E03</x:t>
  </x:si>
  <x:si>
    <x:t xml:space="preserve">TN-017</x:t>
  </x:si>
  <x:si>
    <x:t xml:space="preserve">发起人协议日</x:t>
  </x:si>
  <x:si>
    <x:t xml:space="preserve">2015年10月15日</x:t>
  </x:si>
  <x:si>
    <x:t xml:space="preserve">CE-008-E04</x:t>
  </x:si>
  <x:si>
    <x:t xml:space="preserve">TN-018</x:t>
  </x:si>
  <x:si>
    <x:t xml:space="preserve">创立大会及验资报告日</x:t>
  </x:si>
  <x:si>
    <x:t xml:space="preserve">2015年10月30日</x:t>
  </x:si>
  <x:si>
    <x:t xml:space="preserve">CE-008-E05</x:t>
  </x:si>
  <x:si>
    <x:t xml:space="preserve">TN-019</x:t>
  </x:si>
  <x:si>
    <x:t xml:space="preserve">2015年12月3日</x:t>
  </x:si>
  <x:si>
    <x:t xml:space="preserve">CE-008-E06</x:t>
  </x:si>
  <x:si>
    <x:t xml:space="preserve">TN-020</x:t>
  </x:si>
  <x:si>
    <x:t xml:space="preserve">2018年4月28日</x:t>
  </x:si>
  <x:si>
    <x:t xml:space="preserve">CE-009-E01</x:t>
  </x:si>
  <x:si>
    <x:t xml:space="preserve">58</x:t>
  </x:si>
  <x:si>
    <x:t xml:space="preserve">转让完成日及工商登记日未单独披露。</x:t>
  </x:si>
  <x:si>
    <x:t xml:space="preserve">TN-021</x:t>
  </x:si>
  <x:si>
    <x:t xml:space="preserve">转让后状态月份</x:t>
  </x:si>
  <x:si>
    <x:t xml:space="preserve">CE-009-E02</x:t>
  </x:si>
  <x:si>
    <x:t xml:space="preserve">58—59</x:t>
  </x:si>
  <x:si>
    <x:t xml:space="preserve">57—58</x:t>
  </x:si>
  <x:si>
    <x:t xml:space="preserve">TN-022</x:t>
  </x:si>
  <x:si>
    <x:t xml:space="preserve">临时股东大会决议日</x:t>
  </x:si>
  <x:si>
    <x:t xml:space="preserve">2018年6月12日</x:t>
  </x:si>
  <x:si>
    <x:t xml:space="preserve">CE-010-E01</x:t>
  </x:si>
  <x:si>
    <x:t xml:space="preserve">59</x:t>
  </x:si>
  <x:si>
    <x:t xml:space="preserve">TN-023</x:t>
  </x:si>
  <x:si>
    <x:t xml:space="preserve">TN-024</x:t>
  </x:si>
  <x:si>
    <x:t xml:space="preserve">第一批工商变更日</x:t>
  </x:si>
  <x:si>
    <x:t xml:space="preserve">2018年6月28日</x:t>
  </x:si>
  <x:si>
    <x:t xml:space="preserve">CE-010-E03</x:t>
  </x:si>
  <x:si>
    <x:t xml:space="preserve">60</x:t>
  </x:si>
  <x:si>
    <x:t xml:space="preserve">涉及夏东、南山富海、珠海拓域及四名激励对象的合并工商变更。</x:t>
  </x:si>
  <x:si>
    <x:t xml:space="preserve">TN-025</x:t>
  </x:si>
  <x:si>
    <x:t xml:space="preserve">第二批工商变更日／六方增资完成日</x:t>
  </x:si>
  <x:si>
    <x:t xml:space="preserve">2018年7月27日</x:t>
  </x:si>
  <x:si>
    <x:t xml:space="preserve">CE-010-E04</x:t>
  </x:si>
  <x:si>
    <x:t xml:space="preserve">TN-026</x:t>
  </x:si>
  <x:si>
    <x:t xml:space="preserve">后续验资报告日</x:t>
  </x:si>
  <x:si>
    <x:t xml:space="preserve">2020年12月16日</x:t>
  </x:si>
  <x:si>
    <x:t xml:space="preserve">CE-010-E06</x:t>
  </x:si>
  <x:si>
    <x:t xml:space="preserve">后续验证，不另建资本事件。</x:t>
  </x:si>
  <x:si>
    <x:t xml:space="preserve">TN-027</x:t>
  </x:si>
  <x:si>
    <x:t xml:space="preserve">CE-010-E02</x:t>
  </x:si>
  <x:si>
    <x:t xml:space="preserve">TN-028</x:t>
  </x:si>
  <x:si>
    <x:t xml:space="preserve">工商变更日</x:t>
  </x:si>
  <x:si>
    <x:t xml:space="preserve">与三名外部增资方同批办理，原文未披露本子事件独立变更后资本。</x:t>
  </x:si>
  <x:si>
    <x:t xml:space="preserve">TN-029</x:t>
  </x:si>
  <x:si>
    <x:t xml:space="preserve">TN-030</x:t>
  </x:si>
  <x:si>
    <x:t xml:space="preserve">TN-031</x:t>
  </x:si>
  <x:si>
    <x:t xml:space="preserve">股份转让完成日及工商登记日未单独披露。</x:t>
  </x:si>
  <x:si>
    <x:t xml:space="preserve">TN-032</x:t>
  </x:si>
  <x:si>
    <x:t xml:space="preserve">变更后状态区间</x:t>
  </x:si>
  <x:si>
    <x:t xml:space="preserve">日期区间</x:t>
  </x:si>
  <x:si>
    <x:t xml:space="preserve">CE-010-E05</x:t>
  </x:si>
  <x:si>
    <x:t xml:space="preserve">60—61</x:t>
  </x:si>
  <x:si>
    <x:t xml:space="preserve">59—60</x:t>
  </x:si>
  <x:si>
    <x:t xml:space="preserve">TN-033</x:t>
  </x:si>
  <x:si>
    <x:t xml:space="preserve">配套退伙协议日</x:t>
  </x:si>
  <x:si>
    <x:t xml:space="preserve">2019年8月12日</x:t>
  </x:si>
  <x:si>
    <x:t xml:space="preserve">CE-011-E02</x:t>
  </x:si>
  <x:si>
    <x:t xml:space="preserve">61</x:t>
  </x:si>
  <x:si>
    <x:t xml:space="preserve">退伙属于关联安排，不另建发行人股本事件。</x:t>
  </x:si>
  <x:si>
    <x:t xml:space="preserve">TN-034</x:t>
  </x:si>
  <x:si>
    <x:t xml:space="preserve">2019年8月13日</x:t>
  </x:si>
  <x:si>
    <x:t xml:space="preserve">CE-011-E01</x:t>
  </x:si>
  <x:si>
    <x:t xml:space="preserve">TN-035</x:t>
  </x:si>
  <x:si>
    <x:t xml:space="preserve">2019年8月</x:t>
  </x:si>
  <x:si>
    <x:t xml:space="preserve">CE-011-E03</x:t>
  </x:si>
  <x:si>
    <x:t xml:space="preserve">61—62</x:t>
  </x:si>
  <x:si>
    <x:t xml:space="preserve">TN-036</x:t>
  </x:si>
  <x:si>
    <x:t xml:space="preserve">2020年5月20日</x:t>
  </x:si>
  <x:si>
    <x:t xml:space="preserve">CE-012-E01</x:t>
  </x:si>
  <x:si>
    <x:t xml:space="preserve">62</x:t>
  </x:si>
  <x:si>
    <x:t xml:space="preserve">TN-037</x:t>
  </x:si>
  <x:si>
    <x:t xml:space="preserve">增资协议日</x:t>
  </x:si>
  <x:si>
    <x:t xml:space="preserve">TN-038</x:t>
  </x:si>
  <x:si>
    <x:t xml:space="preserve">2020年5月28日</x:t>
  </x:si>
  <x:si>
    <x:t xml:space="preserve">CE-012-E02</x:t>
  </x:si>
  <x:si>
    <x:t xml:space="preserve">TN-039</x:t>
  </x:si>
  <x:si>
    <x:t xml:space="preserve">CE-012-E03</x:t>
  </x:si>
  <x:si>
    <x:t xml:space="preserve">TN-040</x:t>
  </x:si>
  <x:si>
    <x:t xml:space="preserve">2020年9月15日</x:t>
  </x:si>
  <x:si>
    <x:t xml:space="preserve">CE-013-E01</x:t>
  </x:si>
  <x:si>
    <x:t xml:space="preserve">63</x:t>
  </x:si>
  <x:si>
    <x:t xml:space="preserve">TN-041</x:t>
  </x:si>
  <x:si>
    <x:t xml:space="preserve">2020年9月23日</x:t>
  </x:si>
  <x:si>
    <x:t xml:space="preserve">CE-013-E04</x:t>
  </x:si>
  <x:si>
    <x:t xml:space="preserve">64</x:t>
  </x:si>
  <x:si>
    <x:t xml:space="preserve">TN-042</x:t>
  </x:si>
  <x:si>
    <x:t xml:space="preserve">CE-013-E02</x:t>
  </x:si>
  <x:si>
    <x:t xml:space="preserve">63—64</x:t>
  </x:si>
  <x:si>
    <x:t xml:space="preserve">62—63</x:t>
  </x:si>
  <x:si>
    <x:t xml:space="preserve">CE-013-E03</x:t>
  </x:si>
  <x:si>
    <x:t xml:space="preserve">股份转让协议具体签署日及独立完成日未披露；与增资相对先后无法判断。</x:t>
  </x:si>
  <x:si>
    <x:t xml:space="preserve">阶段五：计算值登记（仅用于时间线衔接，正式数值校验留待阶段七）</x:t>
  </x:si>
  <x:si>
    <x:t xml:space="preserve">输入值及来源（蓝色为原文硬编码；绿色为本工作簿跨表/跨行链接）</x:t>
  </x:si>
  <x:si>
    <x:t xml:space="preserve">计算、原文比较与复核状态</x:t>
  </x:si>
  <x:si>
    <x:t xml:space="preserve">calculation_id</x:t>
  </x:si>
  <x:si>
    <x:t xml:space="preserve">calculation_purpose</x:t>
  </x:si>
  <x:si>
    <x:t xml:space="preserve">input_1_value</x:t>
  </x:si>
  <x:si>
    <x:t xml:space="preserve">input_1_source_id</x:t>
  </x:si>
  <x:si>
    <x:t xml:space="preserve">input_2_value</x:t>
  </x:si>
  <x:si>
    <x:t xml:space="preserve">input_2_source_id</x:t>
  </x:si>
  <x:si>
    <x:t xml:space="preserve">input_3_value</x:t>
  </x:si>
  <x:si>
    <x:t xml:space="preserve">input_3_source_id</x:t>
  </x:si>
  <x:si>
    <x:t xml:space="preserve">input_4_value</x:t>
  </x:si>
  <x:si>
    <x:t xml:space="preserve">input_4_source_id</x:t>
  </x:si>
  <x:si>
    <x:t xml:space="preserve">input_5_value</x:t>
  </x:si>
  <x:si>
    <x:t xml:space="preserve">input_5_source_id</x:t>
  </x:si>
  <x:si>
    <x:t xml:space="preserve">input_6_value</x:t>
  </x:si>
  <x:si>
    <x:t xml:space="preserve">input_6_source_id</x:t>
  </x:si>
  <x:si>
    <x:t xml:space="preserve">input_7_value</x:t>
  </x:si>
  <x:si>
    <x:t xml:space="preserve">input_7_source_id</x:t>
  </x:si>
  <x:si>
    <x:t xml:space="preserve">formula_note</x:t>
  </x:si>
  <x:si>
    <x:t xml:space="preserve">calculated_result</x:t>
  </x:si>
  <x:si>
    <x:t xml:space="preserve">result_unit</x:t>
  </x:si>
  <x:si>
    <x:t xml:space="preserve">comparison_original_value</x:t>
  </x:si>
  <x:si>
    <x:t xml:space="preserve">comparison_source_id</x:t>
  </x:si>
  <x:si>
    <x:t xml:space="preserve">variance</x:t>
  </x:si>
  <x:si>
    <x:t xml:space="preserve">interpretation</x:t>
  </x:si>
  <x:si>
    <x:t xml:space="preserve">股权转让前后注册资本衔接</x:t>
  </x:si>
  <x:si>
    <x:t xml:space="preserve">CE-001-V01</x:t>
  </x:si>
  <x:si>
    <x:t xml:space="preserve">事件性质：股权转让不改变注册资本</x:t>
  </x:si>
  <x:si>
    <x:t xml:space="preserve">input_1 + input_2</x:t>
  </x:si>
  <x:si>
    <x:t xml:space="preserve">仅作时间线衔接；0为事件性质形成的计算输入，不属于原文披露值。</x:t>
  </x:si>
  <x:si>
    <x:t xml:space="preserve">增资后注册资本衔接</x:t>
  </x:si>
  <x:si>
    <x:t xml:space="preserve">CE-002-V02</x:t>
  </x:si>
  <x:si>
    <x:t xml:space="preserve">CE-002-V03</x:t>
  </x:si>
  <x:si>
    <x:t xml:space="preserve">计算结果与原文增资后注册资本一致。</x:t>
  </x:si>
  <x:si>
    <x:t xml:space="preserve">CE-003-V01</x:t>
  </x:si>
  <x:si>
    <x:t xml:space="preserve">计算结果与本事件原文列示注册资本一致。</x:t>
  </x:si>
  <x:si>
    <x:t xml:space="preserve">第二次增资后注册资本衔接</x:t>
  </x:si>
  <x:si>
    <x:t xml:space="preserve">CE-004-V01</x:t>
  </x:si>
  <x:si>
    <x:t xml:space="preserve">CE-004-V02</x:t>
  </x:si>
  <x:si>
    <x:t xml:space="preserve">第三次增资后注册资本衔接</x:t>
  </x:si>
  <x:si>
    <x:t xml:space="preserve">CE-005-V01</x:t>
  </x:si>
  <x:si>
    <x:t xml:space="preserve">CE-005-V02</x:t>
  </x:si>
  <x:si>
    <x:t xml:space="preserve">资本公积转增形成的注册资本增加额</x:t>
  </x:si>
  <x:si>
    <x:t xml:space="preserve">input_2 - input_1</x:t>
  </x:si>
  <x:si>
    <x:t xml:space="preserve">计算值仅表示前后注册资本差额，不代表现金投入。</x:t>
  </x:si>
  <x:si>
    <x:t xml:space="preserve">第五次增资后注册资本衔接</x:t>
  </x:si>
  <x:si>
    <x:t xml:space="preserve">CE-007-V01</x:t>
  </x:si>
  <x:si>
    <x:t xml:space="preserve">CE-007-V02</x:t>
  </x:si>
  <x:si>
    <x:t xml:space="preserve">股份转让前后注册资本衔接</x:t>
  </x:si>
  <x:si>
    <x:t xml:space="preserve">CE-008-V06</x:t>
  </x:si>
  <x:si>
    <x:t xml:space="preserve">事件性质：股份转让不改变注册资本</x:t>
  </x:si>
  <x:si>
    <x:t xml:space="preserve">仅作时间线衔接，原文未在本事件中重复披露注册资本。</x:t>
  </x:si>
  <x:si>
    <x:t xml:space="preserve">CAL-009</x:t>
  </x:si>
  <x:si>
    <x:t xml:space="preserve">六方外部投资者认缴新增注册资本合计</x:t>
  </x:si>
  <x:si>
    <x:t xml:space="preserve">CE-010-V02</x:t>
  </x:si>
  <x:si>
    <x:t xml:space="preserve">CE-010-V04</x:t>
  </x:si>
  <x:si>
    <x:t xml:space="preserve">CE-010-V06</x:t>
  </x:si>
  <x:si>
    <x:t xml:space="preserve">CE-010-V08</x:t>
  </x:si>
  <x:si>
    <x:t xml:space="preserve">CE-010-V10</x:t>
  </x:si>
  <x:si>
    <x:t xml:space="preserve">CE-010-V12</x:t>
  </x:si>
  <x:si>
    <x:t xml:space="preserve">SUM(各输入值)</x:t>
  </x:si>
  <x:si>
    <x:t xml:space="preserve">515万元为六项原文认缴新增注册资本的计算合计，不是原文直接披露合计值。</x:t>
  </x:si>
  <x:si>
    <x:t xml:space="preserve">CAL-010</x:t>
  </x:si>
  <x:si>
    <x:t xml:space="preserve">四名管理团队成员认缴新增注册资本合计</x:t>
  </x:si>
  <x:si>
    <x:t xml:space="preserve">CE-010-V14</x:t>
  </x:si>
  <x:si>
    <x:t xml:space="preserve">CE-010-V16</x:t>
  </x:si>
  <x:si>
    <x:t xml:space="preserve">CE-010-V18</x:t>
  </x:si>
  <x:si>
    <x:t xml:space="preserve">CE-010-V20</x:t>
  </x:si>
  <x:si>
    <x:t xml:space="preserve">120万元为四项原文认缴额的计算合计；父事件正文亦使用合计120万元表述。</x:t>
  </x:si>
  <x:si>
    <x:t xml:space="preserve">CAL-011</x:t>
  </x:si>
  <x:si>
    <x:t xml:space="preserve">2018年6月28日第一批工商变更后注册资本衔接</x:t>
  </x:si>
  <x:si>
    <x:t xml:space="preserve">SUM(各输入值，含引用计算值)</x:t>
  </x:si>
  <x:si>
    <x:t xml:space="preserve">CE-010-V29</x:t>
  </x:si>
  <x:si>
    <x:t xml:space="preserve">第一批含三名外部增资方及四名激励对象；计算结果与原文第一批变更后注册资本一致。</x:t>
  </x:si>
  <x:si>
    <x:t xml:space="preserve">CAL-012</x:t>
  </x:si>
  <x:si>
    <x:t xml:space="preserve">2018年7月27日复合增资安排最终注册资本衔接</x:t>
  </x:si>
  <x:si>
    <x:t xml:space="preserve">CE-010-V30</x:t>
  </x:si>
  <x:si>
    <x:t xml:space="preserve">计算结果与原文最终变更后注册资本一致；该结果属于父事件组，不归属于单一子事件。</x:t>
  </x:si>
  <x:si>
    <x:t xml:space="preserve">仅作时间线衔接。</x:t>
  </x:si>
  <x:si>
    <x:t xml:space="preserve">火炬电子增资后注册资本衔接</x:t>
  </x:si>
  <x:si>
    <x:t xml:space="preserve">CE-012-V01</x:t>
  </x:si>
  <x:si>
    <x:t xml:space="preserve">CE-012-V04</x:t>
  </x:si>
  <x:si>
    <x:t xml:space="preserve">input_1 + input_2÷10,000</x:t>
  </x:si>
  <x:si>
    <x:t xml:space="preserve">CE-012-V02</x:t>
  </x:si>
  <x:si>
    <x:t xml:space="preserve">新增股份按1股对应1元注册资本换算为113.0488万元；计算结果与原文增资后注册资本一致。</x:t>
  </x:si>
  <x:si>
    <x:t xml:space="preserve">厦门西堤、中小企业基金增资后注册资本衔接</x:t>
  </x:si>
  <x:si>
    <x:t xml:space="preserve">CE-013-V01</x:t>
  </x:si>
  <x:si>
    <x:t xml:space="preserve">CE-013-V04</x:t>
  </x:si>
  <x:si>
    <x:t xml:space="preserve">CE-013-V06</x:t>
  </x:si>
  <x:si>
    <x:t xml:space="preserve">input_1 + (input_2+input_3)÷10,000</x:t>
  </x:si>
  <x:si>
    <x:t xml:space="preserve">CE-013-V02</x:t>
  </x:si>
  <x:si>
    <x:t xml:space="preserve">两笔新增股份合计换算为135.6586万元注册资本；结果与原文增资后注册资本一致。</x:t>
  </x:si>
  <x:si>
    <x:t xml:space="preserve">A. 不纳入股本变化主时间线的父级容器和特殊权利事项</x:t>
  </x:si>
  <x:si>
    <x:t xml:space="preserve">record_id</x:t>
  </x:si>
  <x:si>
    <x:t xml:space="preserve">record_type</x:t>
  </x:si>
  <x:si>
    <x:t xml:space="preserve">decision</x:t>
  </x:si>
  <x:si>
    <x:t xml:space="preserve">reason</x:t>
  </x:si>
  <x:si>
    <x:t xml:space="preserve">EX-001</x:t>
  </x:si>
  <x:si>
    <x:t xml:space="preserve">父级复合事件容器</x:t>
  </x:si>
  <x:si>
    <x:t xml:space="preserve">排除主时间线，使用已验收子事件</x:t>
  </x:si>
  <x:si>
    <x:t xml:space="preserve">CE-002已拆分为子事件；父事件若同时进入会造成重复计数。</x:t>
  </x:si>
  <x:si>
    <x:t xml:space="preserve">阶段四事实已验收；本阶段仅确认时间线纳入边界。</x:t>
  </x:si>
  <x:si>
    <x:t xml:space="preserve">EX-002</x:t>
  </x:si>
  <x:si>
    <x:t xml:space="preserve">CE-010已拆分为子事件；父事件若同时进入会造成重复计数。</x:t>
  </x:si>
  <x:si>
    <x:t xml:space="preserve">CE-010-E01｜CE-010-E02｜CE-010-E03｜CE-010-E04｜CE-010-E05｜CE-010-E06</x:t>
  </x:si>
  <x:si>
    <x:t xml:space="preserve">59—61</x:t>
  </x:si>
  <x:si>
    <x:t xml:space="preserve">58—60</x:t>
  </x:si>
  <x:si>
    <x:t xml:space="preserve">EX-003</x:t>
  </x:si>
  <x:si>
    <x:t xml:space="preserve">CE-013已拆分为子事件；父事件若同时进入会造成重复计数。</x:t>
  </x:si>
  <x:si>
    <x:t xml:space="preserve">CE-013-E01｜CE-013-E02｜CE-013-E03｜CE-013-E04｜CE-013-E05</x:t>
  </x:si>
  <x:si>
    <x:t xml:space="preserve">63—65</x:t>
  </x:si>
  <x:si>
    <x:t xml:space="preserve">62—64</x:t>
  </x:si>
  <x:si>
    <x:t xml:space="preserve">EX-004</x:t>
  </x:si>
  <x:si>
    <x:t xml:space="preserve">CE-014</x:t>
  </x:si>
  <x:si>
    <x:t xml:space="preserve">特殊权利父级事件</x:t>
  </x:si>
  <x:si>
    <x:t xml:space="preserve">排除股本变化主时间线</x:t>
  </x:si>
  <x:si>
    <x:t xml:space="preserve">历次融资特殊权利履行、终止及无回购义务确认不改变发行人注册资本、股份数量或股东构成。</x:t>
  </x:si>
  <x:si>
    <x:t xml:space="preserve">CE-014-E01｜CE-014-E02｜CE-014-E03｜CE-014-E04</x:t>
  </x:si>
  <x:si>
    <x:t xml:space="preserve">65—70</x:t>
  </x:si>
  <x:si>
    <x:t xml:space="preserve">64—69</x:t>
  </x:si>
  <x:si>
    <x:t xml:space="preserve">EX-005</x:t>
  </x:si>
  <x:si>
    <x:t xml:space="preserve">CE-014-A</x:t>
  </x:si>
  <x:si>
    <x:t xml:space="preserve">特殊权利轮次级事项</x:t>
  </x:si>
  <x:si>
    <x:t xml:space="preserve">属于特殊权利履行、失效或终止，不构成发行人股本变化事件。</x:t>
  </x:si>
  <x:si>
    <x:t xml:space="preserve">CE-014-A-E01｜CE-014-A-E02</x:t>
  </x:si>
  <x:si>
    <x:t xml:space="preserve">65—66</x:t>
  </x:si>
  <x:si>
    <x:t xml:space="preserve">64—65</x:t>
  </x:si>
  <x:si>
    <x:t xml:space="preserve">EX-006</x:t>
  </x:si>
  <x:si>
    <x:t xml:space="preserve">CE-014-B</x:t>
  </x:si>
  <x:si>
    <x:t xml:space="preserve">CE-014-B-E01｜CE-014-B-E02｜CE-014-B-E03｜CE-014-B-E04｜CE-014-B-E05</x:t>
  </x:si>
  <x:si>
    <x:t xml:space="preserve">66—68</x:t>
  </x:si>
  <x:si>
    <x:t xml:space="preserve">65—67</x:t>
  </x:si>
  <x:si>
    <x:t xml:space="preserve">EX-007</x:t>
  </x:si>
  <x:si>
    <x:t xml:space="preserve">CE-014-C</x:t>
  </x:si>
  <x:si>
    <x:t xml:space="preserve">CE-014-C-E01｜CE-014-C-E02｜CE-014-C-E03</x:t>
  </x:si>
  <x:si>
    <x:t xml:space="preserve">68—69</x:t>
  </x:si>
  <x:si>
    <x:t xml:space="preserve">67—68</x:t>
  </x:si>
  <x:si>
    <x:t xml:space="preserve">EX-008</x:t>
  </x:si>
  <x:si>
    <x:t xml:space="preserve">CE-014-D</x:t>
  </x:si>
  <x:si>
    <x:t xml:space="preserve">CE-014-D-E01</x:t>
  </x:si>
  <x:si>
    <x:t xml:space="preserve">69—70</x:t>
  </x:si>
  <x:si>
    <x:t xml:space="preserve">EX-009</x:t>
  </x:si>
  <x:si>
    <x:t xml:space="preserve">CE-014-DPLUS</x:t>
  </x:si>
  <x:si>
    <x:t xml:space="preserve">CE-014-DPLUS-E01</x:t>
  </x:si>
  <x:si>
    <x:t xml:space="preserve">70</x:t>
  </x:si>
  <x:si>
    <x:t xml:space="preserve">69</x:t>
  </x:si>
  <x:si>
    <x:t xml:space="preserve">B. 后续验证或复核程序，不另建资本事件</x:t>
  </x:si>
  <x:si>
    <x:t xml:space="preserve">AUX-001</x:t>
  </x:si>
  <x:si>
    <x:t xml:space="preserve">后续验资复核</x:t>
  </x:si>
  <x:si>
    <x:t xml:space="preserve">不另建事件</x:t>
  </x:si>
  <x:si>
    <x:t xml:space="preserve">2021年10月28日验资复核是对2008年设立出资的后续复核，不是新的股本变化。</x:t>
  </x:si>
  <x:si>
    <x:t xml:space="preserve">CE-001-E03</x:t>
  </x:si>
  <x:si>
    <x:t xml:space="preserve">保留为辅助证据，不进入主时间线。</x:t>
  </x:si>
  <x:si>
    <x:t xml:space="preserve">AUX-002</x:t>
  </x:si>
  <x:si>
    <x:t xml:space="preserve">CE-010｜CE-012｜CE-013</x:t>
  </x:si>
  <x:si>
    <x:t xml:space="preserve">后续验资报告</x:t>
  </x:si>
  <x:si>
    <x:t xml:space="preserve">2020年12月16日验资报告分别验证既有增资，不应以报告出具日重建新事件或替代原交易完成节点。</x:t>
  </x:si>
  <x:si>
    <x:t xml:space="preserve">CE-010-E06｜CE-012-E03｜CE-013-E02</x:t>
  </x:si>
  <x:si>
    <x:t xml:space="preserve">60｜62｜63—64</x:t>
  </x:si>
  <x:si>
    <x:t xml:space="preserve">59｜61｜62—63</x:t>
  </x:si>
  <x:si>
    <x:t xml:space="preserve">保留为履行/验证节点。</x:t>
  </x:si>
  <x:si>
    <x:t xml:space="preserve">review_item_id</x:t>
  </x:si>
  <x:si>
    <x:t xml:space="preserve">review_type</x:t>
  </x:si>
  <x:si>
    <x:t xml:space="preserve">observed_fact</x:t>
  </x:si>
  <x:si>
    <x:t xml:space="preserve">calculated_or_judgment_value</x:t>
  </x:si>
  <x:si>
    <x:t xml:space="preserve">difference_or_uncertainty</x:t>
  </x:si>
  <x:si>
    <x:t xml:space="preserve">source_ids</x:t>
  </x:si>
  <x:si>
    <x:t xml:space="preserve">recommended_action</x:t>
  </x:si>
  <x:si>
    <x:t xml:space="preserve">status</x:t>
  </x:si>
  <x:si>
    <x:t xml:space="preserve">RV-001</x:t>
  </x:si>
  <x:si>
    <x:t xml:space="preserve">数值衔接差异</x:t>
  </x:si>
  <x:si>
    <x:t xml:space="preserve">原文披露前次注册资本128.205万元、本次共同增资8.78714万元、本次增资后注册资本136.9864万元。</x:t>
  </x:si>
  <x:si>
    <x:t xml:space="preserve">128.205 + 8.78714 = 136.99214万元</x:t>
  </x:si>
  <x:si>
    <x:t xml:space="preserve">计算值较原文增资后注册资本高0.00574万元。</x:t>
  </x:si>
  <x:si>
    <x:t xml:space="preserve">CE-004-V02｜CE-005-V01｜CE-005-V02｜CAL-005</x:t>
  </x:si>
  <x:si>
    <x:t xml:space="preserve">阶段五保留全部原文值，不修正；阶段七核对是否为原文数值、精度、舍入或披露差异。</x:t>
  </x:si>
  <x:si>
    <x:t xml:space="preserve">RV-002</x:t>
  </x:si>
  <x:si>
    <x:t xml:space="preserve">CE-010-01｜CE-010-02｜CE-010-03</x:t>
  </x:si>
  <x:si>
    <x:t xml:space="preserve">复合事件内部排序</x:t>
  </x:si>
  <x:si>
    <x:t xml:space="preserve">原文披露2018年6月12日协议/决议、6月28日第一批变更、7月27日第二批变更。</x:t>
  </x:si>
  <x:si>
    <x:t xml:space="preserve">主表按已验收子事件编号展示。</x:t>
  </x:si>
  <x:si>
    <x:t xml:space="preserve">子事件展示顺序不等同于全部法律行为、认购缴款和交割的实际逐笔先后。</x:t>
  </x:si>
  <x:si>
    <x:t xml:space="preserve">CE-010-E01｜CE-010-E02｜CE-010-E03｜CE-010-E04</x:t>
  </x:si>
  <x:si>
    <x:t xml:space="preserve">保留节点明细和“展示顺序不代表事实顺序”的说明。</x:t>
  </x:si>
  <x:si>
    <x:t xml:space="preserve">RV-003</x:t>
  </x:si>
  <x:si>
    <x:t xml:space="preserve">CE-013-01｜CE-013-02</x:t>
  </x:si>
  <x:si>
    <x:t xml:space="preserve">同月事件相对顺序</x:t>
  </x:si>
  <x:si>
    <x:t xml:space="preserve">增资决议日为2020年9月15日，工商变更日为2020年9月23日；股份转让协议和交割日未披露。</x:t>
  </x:si>
  <x:si>
    <x:t xml:space="preserve">主表按子事件编号先列增资、后列转让。</x:t>
  </x:si>
  <x:si>
    <x:t xml:space="preserve">无法据现有原文确认十笔股份转让与增资之间的实际逐笔先后。</x:t>
  </x:si>
  <x:si>
    <x:t xml:space="preserve">CE-013-E01｜CE-013-E03｜CE-013-E04｜CE-013-E05</x:t>
  </x:si>
  <x:si>
    <x:t xml:space="preserve">标记为“同月顺序未披露”，不得由行号推定实际先后。</x:t>
  </x:si>
  <x:si>
    <x:t xml:space="preserve">event_scope_locked</x:t>
  </x:si>
  <x:si>
    <x:t xml:space="preserve">time_nodes_complete</x:t>
  </x:si>
  <x:si>
    <x:t xml:space="preserve">chronology_basis_clear</x:t>
  </x:si>
  <x:si>
    <x:t xml:space="preserve">parent_child_deduplicated</x:t>
  </x:si>
  <x:si>
    <x:t xml:space="preserve">capital_basis_clear</x:t>
  </x:si>
  <x:si>
    <x:t xml:space="preserve">original_vs_calculated_separated</x:t>
  </x:si>
  <x:si>
    <x:t xml:space="preserve">shareholder_direction_consistent</x:t>
  </x:si>
  <x:si>
    <x:t xml:space="preserve">evidence_traceable</x:t>
  </x:si>
  <x:si>
    <x:t xml:space="preserve">double_pages_complete</x:t>
  </x:si>
  <x:si>
    <x:t xml:space="preserve">stage_boundary_respected</x:t>
  </x:si>
  <x:si>
    <x:t xml:space="preserve">manual_review_items_listed</x:t>
  </x:si>
  <x:si>
    <x:t xml:space="preserve">overall_check_status</x:t>
  </x:si>
  <x:si>
    <x:t xml:space="preserve">reviewer</x:t>
  </x:si>
  <x:si>
    <x:t xml:space="preserve">review_date</x:t>
  </x:si>
  <x:si>
    <x:t xml:space="preserve">通过</x:t>
  </x:si>
  <x:si>
    <x:t xml:space="preserve">通过（无新增待复核事项）</x:t>
  </x:si>
  <x:si>
    <x:t xml:space="preserve">通过（CE-005差异已列入RV-001）</x:t>
  </x:si>
  <x:si>
    <x:t xml:space="preserve">通过（复合事件排序边界已列入RV-002）</x:t>
  </x:si>
  <x:si>
    <x:t xml:space="preserve">通过（同月排序边界已列入RV-003）</x:t>
  </x:si>
  <x:si>
    <x:t xml:space="preserve">验收汇总</x:t>
  </x:si>
  <x:si>
    <x:t xml:space="preserve">主时间线事件数</x:t>
  </x:si>
  <x:si>
    <x:t xml:space="preserve">验收口径</x:t>
  </x:si>
  <x:si>
    <x:t xml:space="preserve">17个实际资本事件单元；父级容器不重复计数。</x:t>
  </x:si>
  <x:si>
    <x:t xml:space="preserve">当前事项</x:t>
  </x:si>
  <x:si>
    <x:t xml:space="preserve">阶段五状态</x:t>
  </x:si>
  <x:si>
    <x:t xml:space="preserve">后续边界</x:t>
  </x:si>
  <x:si>
    <x:t xml:space="preserve">复核状态</x:t>
  </x:si>
  <x:si>
    <x:t xml:space="preserve">是否</x:t>
  </x:si>
  <x:si>
    <x:t xml:space="preserve">日期精度</x:t>
  </x:si>
  <x:si>
    <x:t xml:space="preserve">先后置信度</x:t>
  </x:si>
  <x:si>
    <x:t xml:space="preserve">验收检查</x:t>
  </x:si>
  <x:si>
    <x:t xml:space="preserve">待用户验收</x:t>
  </x:si>
  <x:si>
    <x:t xml:space="preserve">待用户复核</x:t>
  </x:si>
  <x:si>
    <x:t xml:space="preserve">年</x:t>
  </x:si>
  <x:si>
    <x:t xml:space="preserve">无法判断</x:t>
  </x:si>
  <x:si>
    <x:t xml:space="preserve">待复核</x:t>
  </x:si>
  <x:si>
    <x:t xml:space="preserve">需修改</x:t>
  </x:si>
</x:sst>
</file>

<file path=xl/styles.xml><?xml version="1.0" encoding="utf-8"?>
<x:styleSheet xmlns:x="http://schemas.openxmlformats.org/spreadsheetml/2006/main">
  <x:numFmts count="2">
    <x:numFmt numFmtId="176" formatCode="#,##0.00000;[Red]\(#,##0.00000\);\-"/>
    <x:numFmt numFmtId="177" formatCode="yyyy\-mm\-dd"/>
  </x:numFmts>
  <x:fonts count="13">
    <x:font>
      <x:sz val="11"/>
      <x:name val="Carlito"/>
    </x:font>
    <x:font>
      <x:b/>
      <x:sz val="9"/>
      <x:color rgb="FF000000"/>
      <x:name val="Carlito"/>
    </x:font>
    <x:font>
      <x:sz val="9"/>
      <x:color rgb="FF000000"/>
      <x:name val="Carlito"/>
    </x:font>
    <x:font>
      <x:b/>
      <x:sz val="16"/>
      <x:color rgb="FFFFFFFF"/>
      <x:name val="Carlito"/>
    </x:font>
    <x:font>
      <x:b/>
      <x:sz val="10"/>
      <x:color rgb="FFFFFFFF"/>
      <x:name val="Carlito"/>
    </x:font>
    <x:font>
      <x:sz val="9"/>
      <x:color rgb="FF008000"/>
      <x:name val="Carlito"/>
    </x:font>
    <x:font>
      <x:sz val="9"/>
      <x:color rgb="FF0000FF"/>
      <x:name val="Carlito"/>
    </x:font>
    <x:font>
      <x:b/>
      <x:sz val="9"/>
      <x:color rgb="FF17365D"/>
      <x:name val="Carlito"/>
    </x:font>
    <x:font>
      <x:b/>
      <x:sz val="12"/>
      <x:color rgb="FF008000"/>
      <x:name val="Carlito"/>
    </x:font>
    <x:font>
      <x:b/>
      <x:sz val="9"/>
      <x:color rgb="FF0000FF"/>
      <x:name val="Carlito"/>
    </x:font>
    <x:font>
      <x:b/>
      <x:sz val="9"/>
      <x:color rgb="FF008000"/>
      <x:name val="Carlito"/>
    </x:font>
    <x:font>
      <x:sz val="11"/>
      <x:name val="Carlito"/>
    </x:font>
    <x:font>
      <x:sz val="9"/>
      <x:name val="宋体"/>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1F4E78"/>
      </x:patternFill>
    </x:fill>
    <x:fill>
      <x:patternFill patternType="solid">
        <x:fgColor rgb="FFFFFF00"/>
      </x:patternFill>
    </x:fill>
  </x:fills>
  <x:borders count="12">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hair">
        <x:color rgb="FFD9D9D9"/>
      </x:left>
      <x:top style="hair">
        <x:color rgb="FFD9D9D9"/>
      </x:top>
    </x:border>
    <x:border>
      <x:top style="hair">
        <x:color rgb="FFD9D9D9"/>
      </x:top>
    </x:border>
    <x:border>
      <x:right style="hair">
        <x:color rgb="FFD9D9D9"/>
      </x:right>
      <x:top style="hair">
        <x:color rgb="FFD9D9D9"/>
      </x:top>
    </x:border>
    <x:border>
      <x:left style="hair">
        <x:color rgb="FFD9D9D9"/>
      </x:left>
    </x:border>
    <x:border>
      <x:right style="hair">
        <x:color rgb="FFD9D9D9"/>
      </x:right>
    </x:border>
    <x:border>
      <x:left style="hair">
        <x:color rgb="FFD9D9D9"/>
      </x:left>
      <x:bottom style="hair">
        <x:color rgb="FFD9D9D9"/>
      </x:bottom>
    </x:border>
    <x:border>
      <x:bottom style="hair">
        <x:color rgb="FFD9D9D9"/>
      </x:bottom>
    </x:border>
    <x:border>
      <x:right style="hair">
        <x:color rgb="FFD9D9D9"/>
      </x:right>
      <x:bottom style="hair">
        <x:color rgb="FFD9D9D9"/>
      </x:bottom>
    </x:border>
  </x:borders>
  <x:cellStyleXfs count="2">
    <x:xf numFmtId="0" fontId="0" fillId="0" borderId="0"/>
    <x:xf numFmtId="0" fontId="11" fillId="0" borderId="0"/>
  </x:cellStyleXfs>
  <x:cellXfs count="58">
    <x:xf numFmtId="0" fontId="0" fillId="0" borderId="0" xfId="0"/>
    <x:xf numFmtId="0" fontId="1" fillId="2" borderId="1" xfId="1" applyFont="1" applyFill="1" applyBorder="1" applyAlignment="1">
      <x:alignment horizontal="center" vertical="center" wrapText="1"/>
    </x:xf>
    <x:xf numFmtId="0" fontId="1" fillId="2" borderId="2" xfId="1" applyFont="1" applyFill="1" applyBorder="1" applyAlignment="1">
      <x:alignment horizontal="center" vertical="center" wrapText="1"/>
    </x:xf>
    <x:xf numFmtId="0" fontId="1" fillId="2" borderId="3" xfId="1" applyFont="1" applyFill="1" applyBorder="1" applyAlignment="1">
      <x:alignment horizontal="center" vertical="center" wrapText="1"/>
    </x:xf>
    <x:xf numFmtId="0" fontId="2" fillId="0" borderId="4" xfId="1" applyFont="1" applyBorder="1" applyAlignment="1">
      <x:alignment vertical="top" wrapText="1"/>
    </x:xf>
    <x:xf numFmtId="0" fontId="2" fillId="0" borderId="5" xfId="1" applyFont="1" applyBorder="1" applyAlignment="1">
      <x:alignment vertical="top" wrapText="1"/>
    </x:xf>
    <x:xf numFmtId="0" fontId="2" fillId="0" borderId="6" xfId="1" applyFont="1" applyBorder="1" applyAlignment="1">
      <x:alignment vertical="top" wrapText="1"/>
    </x:xf>
    <x:xf numFmtId="0" fontId="2" fillId="0" borderId="7" xfId="1" applyFont="1" applyBorder="1" applyAlignment="1">
      <x:alignment vertical="top" wrapText="1"/>
    </x:xf>
    <x:xf numFmtId="0" fontId="2" fillId="0" borderId="0" xfId="1" applyFont="1" applyAlignment="1">
      <x:alignment vertical="top" wrapText="1"/>
    </x:xf>
    <x:xf numFmtId="0" fontId="2" fillId="0" borderId="8" xfId="1" applyFont="1" applyBorder="1" applyAlignment="1">
      <x:alignment vertical="top" wrapText="1"/>
    </x:xf>
    <x:xf numFmtId="0" fontId="2" fillId="0" borderId="9" xfId="1" applyFont="1" applyBorder="1" applyAlignment="1">
      <x:alignment vertical="top" wrapText="1"/>
    </x:xf>
    <x:xf numFmtId="0" fontId="2" fillId="0" borderId="10" xfId="1" applyFont="1" applyBorder="1" applyAlignment="1">
      <x:alignment vertical="top" wrapText="1"/>
    </x:xf>
    <x:xf numFmtId="0" fontId="2" fillId="0" borderId="11" xfId="1" applyFont="1" applyBorder="1" applyAlignment="1">
      <x:alignment vertical="top" wrapText="1"/>
    </x:xf>
    <x:xf numFmtId="0" fontId="5" fillId="0" borderId="0" xfId="1" applyFont="1" applyAlignment="1">
      <x:alignment vertical="top" wrapText="1"/>
    </x:xf>
    <x:xf numFmtId="176" fontId="6" fillId="0" borderId="5" xfId="1" applyNumberFormat="1" applyFont="1" applyBorder="1" applyAlignment="1">
      <x:alignment vertical="top" wrapText="1"/>
    </x:xf>
    <x:xf numFmtId="176" fontId="6" fillId="0" borderId="0" xfId="1" applyNumberFormat="1" applyFont="1" applyAlignment="1">
      <x:alignment vertical="top" wrapText="1"/>
    </x:xf>
    <x:xf numFmtId="176" fontId="5" fillId="0" borderId="0" xfId="1" applyNumberFormat="1" applyFont="1" applyAlignment="1">
      <x:alignment vertical="top" wrapText="1"/>
    </x:xf>
    <x:xf numFmtId="176" fontId="6" fillId="0" borderId="10" xfId="1" applyNumberFormat="1" applyFont="1" applyBorder="1" applyAlignment="1">
      <x:alignment vertical="top" wrapText="1"/>
    </x:xf>
    <x:xf numFmtId="177" fontId="2" fillId="0" borderId="5" xfId="1" applyNumberFormat="1" applyFont="1" applyBorder="1" applyAlignment="1">
      <x:alignment vertical="top" wrapText="1"/>
    </x:xf>
    <x:xf numFmtId="177" fontId="2" fillId="0" borderId="0" xfId="1" applyNumberFormat="1" applyFont="1" applyAlignment="1">
      <x:alignment vertical="top" wrapText="1"/>
    </x:xf>
    <x:xf numFmtId="177" fontId="2" fillId="0" borderId="10" xfId="1" applyNumberFormat="1" applyFont="1" applyBorder="1" applyAlignment="1">
      <x:alignment vertical="top" wrapText="1"/>
    </x:xf>
    <x:xf numFmtId="176" fontId="5" fillId="0" borderId="5" xfId="1" applyNumberFormat="1" applyFont="1" applyBorder="1" applyAlignment="1">
      <x:alignment vertical="top" wrapText="1"/>
    </x:xf>
    <x:xf numFmtId="176" fontId="5" fillId="0" borderId="10" xfId="1" applyNumberFormat="1" applyFont="1" applyBorder="1" applyAlignment="1">
      <x:alignment vertical="top" wrapText="1"/>
    </x:xf>
    <x:xf numFmtId="0" fontId="1" fillId="0" borderId="4" xfId="1" applyFont="1" applyBorder="1" applyAlignment="1">
      <x:alignment vertical="top" wrapText="1"/>
    </x:xf>
    <x:xf numFmtId="0" fontId="1" fillId="0" borderId="7" xfId="1" applyFont="1" applyBorder="1" applyAlignment="1">
      <x:alignment vertical="top" wrapText="1"/>
    </x:xf>
    <x:xf numFmtId="0" fontId="1" fillId="0" borderId="9" xfId="1" applyFont="1" applyBorder="1" applyAlignment="1">
      <x:alignment vertical="top" wrapText="1"/>
    </x:xf>
    <x:xf numFmtId="0" fontId="5" fillId="0" borderId="5" xfId="1" applyFont="1" applyBorder="1" applyAlignment="1">
      <x:alignment vertical="top" wrapText="1"/>
    </x:xf>
    <x:xf numFmtId="0" fontId="7" fillId="0" borderId="4" xfId="1" applyFont="1" applyBorder="1" applyAlignment="1">
      <x:alignment vertical="top" wrapText="1"/>
    </x:xf>
    <x:xf numFmtId="0" fontId="7" fillId="0" borderId="7" xfId="1" applyFont="1" applyBorder="1" applyAlignment="1">
      <x:alignment vertical="top" wrapText="1"/>
    </x:xf>
    <x:xf numFmtId="0" fontId="7" fillId="0" borderId="9" xfId="1" applyFont="1" applyBorder="1" applyAlignment="1">
      <x:alignment vertical="top" wrapText="1"/>
    </x:xf>
    <x:xf numFmtId="0" fontId="8" fillId="0" borderId="5" xfId="1" applyFont="1" applyBorder="1" applyAlignment="1">
      <x:alignment horizontal="center" vertical="top" wrapText="1"/>
    </x:xf>
    <x:xf numFmtId="0" fontId="8" fillId="0" borderId="0" xfId="1" applyFont="1" applyAlignment="1">
      <x:alignment horizontal="center" vertical="top" wrapText="1"/>
    </x:xf>
    <x:xf numFmtId="0" fontId="8" fillId="0" borderId="10" xfId="1" applyFont="1" applyBorder="1" applyAlignment="1">
      <x:alignment horizontal="center" vertical="top" wrapText="1"/>
    </x:xf>
    <x:xf numFmtId="1" fontId="2" fillId="0" borderId="5" xfId="1" applyNumberFormat="1" applyFont="1" applyBorder="1" applyAlignment="1">
      <x:alignment horizontal="right" vertical="top" wrapText="1"/>
    </x:xf>
    <x:xf numFmtId="1" fontId="2" fillId="0" borderId="0" xfId="1" applyNumberFormat="1" applyFont="1" applyAlignment="1">
      <x:alignment horizontal="right" vertical="top" wrapText="1"/>
    </x:xf>
    <x:xf numFmtId="1" fontId="2" fillId="0" borderId="10" xfId="1" applyNumberFormat="1" applyFont="1" applyBorder="1" applyAlignment="1">
      <x:alignment horizontal="right" vertical="top" wrapText="1"/>
    </x:xf>
    <x:xf numFmtId="176" fontId="6" fillId="0" borderId="5" xfId="1" applyNumberFormat="1" applyFont="1" applyBorder="1" applyAlignment="1">
      <x:alignment horizontal="right" vertical="top" wrapText="1"/>
    </x:xf>
    <x:xf numFmtId="49" fontId="6" fillId="0" borderId="5" xfId="1" applyNumberFormat="1" applyFont="1" applyBorder="1" applyAlignment="1">
      <x:alignment horizontal="right" vertical="top" wrapText="1"/>
    </x:xf>
    <x:xf numFmtId="176" fontId="2" fillId="0" borderId="5" xfId="1" applyNumberFormat="1" applyFont="1" applyBorder="1" applyAlignment="1">
      <x:alignment horizontal="right" vertical="top" wrapText="1"/>
    </x:xf>
    <x:xf numFmtId="176" fontId="6" fillId="0" borderId="0" xfId="1" applyNumberFormat="1" applyFont="1" applyAlignment="1">
      <x:alignment horizontal="right" vertical="top" wrapText="1"/>
    </x:xf>
    <x:xf numFmtId="49" fontId="6" fillId="0" borderId="0" xfId="1" applyNumberFormat="1" applyFont="1" applyAlignment="1">
      <x:alignment horizontal="right" vertical="top" wrapText="1"/>
    </x:xf>
    <x:xf numFmtId="176" fontId="2" fillId="0" borderId="0" xfId="1" applyNumberFormat="1" applyFont="1" applyAlignment="1">
      <x:alignment horizontal="right" vertical="top" wrapText="1"/>
    </x:xf>
    <x:xf numFmtId="176" fontId="5" fillId="0" borderId="0" xfId="1" applyNumberFormat="1" applyFont="1" applyAlignment="1">
      <x:alignment horizontal="right" vertical="top" wrapText="1"/>
    </x:xf>
    <x:xf numFmtId="176" fontId="6" fillId="0" borderId="10" xfId="1" applyNumberFormat="1" applyFont="1" applyBorder="1" applyAlignment="1">
      <x:alignment horizontal="right" vertical="top" wrapText="1"/>
    </x:xf>
    <x:xf numFmtId="49" fontId="6" fillId="0" borderId="10" xfId="1" applyNumberFormat="1" applyFont="1" applyBorder="1" applyAlignment="1">
      <x:alignment horizontal="right" vertical="top" wrapText="1"/>
    </x:xf>
    <x:xf numFmtId="176" fontId="2" fillId="0" borderId="10" xfId="1" applyNumberFormat="1" applyFont="1" applyBorder="1" applyAlignment="1">
      <x:alignment horizontal="right" vertical="top" wrapText="1"/>
    </x:xf>
    <x:xf numFmtId="0" fontId="3" fillId="3" borderId="0" xfId="1" applyFont="1" applyFill="1" applyAlignment="1">
      <x:alignment horizontal="left" vertical="center"/>
    </x:xf>
    <x:xf numFmtId="0" fontId="4" fillId="4" borderId="0" xfId="1" applyFont="1" applyFill="1" applyAlignment="1">
      <x:alignment horizontal="left" vertical="center"/>
    </x:xf>
    <x:xf numFmtId="0" fontId="2" fillId="0" borderId="5" xfId="1" applyFont="1" applyBorder="1" applyAlignment="1">
      <x:alignment vertical="top" wrapText="1"/>
    </x:xf>
    <x:xf numFmtId="0" fontId="2" fillId="0" borderId="6" xfId="1" applyFont="1" applyBorder="1" applyAlignment="1">
      <x:alignment vertical="top" wrapText="1"/>
    </x:xf>
    <x:xf numFmtId="0" fontId="2" fillId="0" borderId="0" xfId="1" applyFont="1" applyAlignment="1">
      <x:alignment vertical="top" wrapText="1"/>
    </x:xf>
    <x:xf numFmtId="0" fontId="2" fillId="0" borderId="8" xfId="1" applyFont="1" applyBorder="1" applyAlignment="1">
      <x:alignment vertical="top" wrapText="1"/>
    </x:xf>
    <x:xf numFmtId="0" fontId="2" fillId="0" borderId="10" xfId="1" applyFont="1" applyBorder="1" applyAlignment="1">
      <x:alignment vertical="top" wrapText="1"/>
    </x:xf>
    <x:xf numFmtId="0" fontId="2" fillId="0" borderId="11" xfId="1" applyFont="1" applyBorder="1" applyAlignment="1">
      <x:alignment vertical="top" wrapText="1"/>
    </x:xf>
    <x:xf numFmtId="0" fontId="9" fillId="0" borderId="5" xfId="1" applyFont="1" applyBorder="1" applyAlignment="1">
      <x:alignment vertical="top" wrapText="1"/>
    </x:xf>
    <x:xf numFmtId="0" fontId="10" fillId="0" borderId="0" xfId="1" applyFont="1" applyAlignment="1">
      <x:alignment vertical="top" wrapText="1"/>
    </x:xf>
    <x:xf numFmtId="0" fontId="2" fillId="5" borderId="10" xfId="1" applyFont="1" applyFill="1" applyBorder="1" applyAlignment="1">
      <x:alignment vertical="top" wrapText="1"/>
    </x:xf>
    <x:xf numFmtId="0" fontId="1" fillId="2" borderId="2" xfId="1" applyFont="1" applyFill="1" applyBorder="1" applyAlignment="1">
      <x:alignment horizontal="center" vertical="center" wrapText="1"/>
    </x:xf>
  </x:cellXfs>
  <x:cellStyles count="2">
    <x:cellStyle name="Normal" xfId="1"/>
    <x:cellStyle name="常规" xfId="0"/>
  </x:cellStyles>
  <x:dxfs count="8">
    <x:dxf>
      <x:font>
        <x:b/>
        <x:color rgb="FF008000"/>
      </x:font>
      <x:fill>
        <x:patternFill>
          <x:bgColor rgb="FFE2F0D9"/>
        </x:patternFill>
      </x:fill>
    </x:dxf>
    <x:dxf>
      <x:font>
        <x:b/>
        <x:color rgb="FFC00000"/>
      </x:font>
      <x:fill>
        <x:patternFill>
          <x:bgColor rgb="FFFFFF00"/>
        </x:patternFill>
      </x:fill>
    </x:dxf>
    <x:dxf>
      <x:font>
        <x:b/>
        <x:color rgb="FFC00000"/>
      </x:font>
      <x:fill>
        <x:patternFill>
          <x:bgColor rgb="FFFFFF00"/>
        </x:patternFill>
      </x:fill>
    </x:dxf>
    <x:dxf>
      <x:font>
        <x:b/>
        <x:color rgb="FFC00000"/>
      </x:font>
      <x:fill>
        <x:patternFill>
          <x:bgColor rgb="FFFFFF00"/>
        </x:patternFill>
      </x:fill>
    </x:dxf>
    <x:dxf>
      <x:font>
        <x:b/>
        <x:color rgb="FF17365D"/>
      </x:font>
      <x:fill>
        <x:patternFill>
          <x:bgColor rgb="FFEAF3F8"/>
        </x:patternFill>
      </x:fill>
    </x:dxf>
    <x:dxf>
      <x:font>
        <x:b/>
        <x:color rgb="FF008000"/>
      </x:font>
      <x:fill>
        <x:patternFill>
          <x:bgColor rgb="FFE2F0D9"/>
        </x:patternFill>
      </x:fill>
    </x:dxf>
    <x:dxf>
      <x:font>
        <x:b/>
        <x:color rgb="FFC00000"/>
      </x:font>
      <x:fill>
        <x:patternFill>
          <x:bgColor rgb="FFFFFF00"/>
        </x:patternFill>
      </x:fill>
    </x:dxf>
    <x:dxf>
      <x:font>
        <x:b/>
        <x:color rgb="FFC00000"/>
      </x:font>
      <x:fill>
        <x:patternFill>
          <x:bgColor rgb="FFFFFF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490363b0f944a0" /><Relationship Type="http://schemas.openxmlformats.org/officeDocument/2006/relationships/theme" Target="/xl/theme/theme1.xml" Id="Re2a239b9d0cd4846" /><Relationship Type="http://schemas.openxmlformats.org/officeDocument/2006/relationships/sharedStrings" Target="/xl/sharedStrings.xml" Id="Ra05617261bbf4015" /><Relationship Type="http://schemas.openxmlformats.org/officeDocument/2006/relationships/worksheet" Target="/xl/worksheets/sheet1.xml" Id="Re0b931476277473c" /><Relationship Type="http://schemas.openxmlformats.org/officeDocument/2006/relationships/worksheet" Target="/xl/worksheets/sheet2.xml" Id="R32984f3b93f04b50" /><Relationship Type="http://schemas.openxmlformats.org/officeDocument/2006/relationships/worksheet" Target="/xl/worksheets/sheet3.xml" Id="Rd335adf5b645401c" /><Relationship Type="http://schemas.openxmlformats.org/officeDocument/2006/relationships/worksheet" Target="/xl/worksheets/sheet4.xml" Id="R5ccfe98e94db44f0" /><Relationship Type="http://schemas.openxmlformats.org/officeDocument/2006/relationships/worksheet" Target="/xl/worksheets/sheet5.xml" Id="R385a208ef47a4330" /><Relationship Type="http://schemas.openxmlformats.org/officeDocument/2006/relationships/worksheet" Target="/xl/worksheets/sheet6.xml" Id="Rf6887563234d461e" /><Relationship Type="http://schemas.openxmlformats.org/officeDocument/2006/relationships/worksheet" Target="/xl/worksheets/sheet7.xml" Id="Re737ab1e0b2747a2" /></Relationships>
</file>

<file path=xl/tables/table1.xml><?xml version="1.0" encoding="utf-8"?>
<x:table xmlns:x="http://schemas.openxmlformats.org/spreadsheetml/2006/main" id="3" name="Stage5EquityTimeline" displayName="Stage5EquityTimeline" ref="A3:AR20">
  <x:tableColumns count="44">
    <x:tableColumn id="1" name="timeline_id"/>
    <x:tableColumn id="2" name="display_sequence"/>
    <x:tableColumn id="3" name="timeline_group_id"/>
    <x:tableColumn id="4" name="event_id"/>
    <x:tableColumn id="5" name="parent_event_id"/>
    <x:tableColumn id="6" name="event_level"/>
    <x:tableColumn id="7" name="standard_event_name"/>
    <x:tableColumn id="8" name="event_type"/>
    <x:tableColumn id="9" name="original_time_label"/>
    <x:tableColumn id="10" name="time_precision"/>
    <x:tableColumn id="11" name="primary_display_time"/>
    <x:tableColumn id="12" name="primary_time_type"/>
    <x:tableColumn id="13" name="time_node_ids"/>
    <x:tableColumn id="14" name="chronology_relation"/>
    <x:tableColumn id="15" name="ordering_basis"/>
    <x:tableColumn id="16" name="company_form_before"/>
    <x:tableColumn id="17" name="company_form_after"/>
    <x:tableColumn id="18" name="capital_change_nature"/>
    <x:tableColumn id="19" name="registered_capital_changed"/>
    <x:tableColumn id="20" name="shareholder_structure_changed"/>
    <x:tableColumn id="21" name="capital_before_original"/>
    <x:tableColumn id="22" name="capital_change_original"/>
    <x:tableColumn id="23" name="capital_after_original"/>
    <x:tableColumn id="24" name="original_unit"/>
    <x:tableColumn id="25" name="capital_before_calculated"/>
    <x:tableColumn id="26" name="capital_change_calculated"/>
    <x:tableColumn id="27" name="capital_after_calculated"/>
    <x:tableColumn id="28" name="calculation_ids"/>
    <x:tableColumn id="29" name="calculation_status"/>
    <x:tableColumn id="30" name="new_shareholders"/>
    <x:tableColumn id="31" name="increased_shareholders"/>
    <x:tableColumn id="32" name="decreased_shareholders"/>
    <x:tableColumn id="33" name="exited_shareholders"/>
    <x:tableColumn id="34" name="shareholder_change_summary"/>
    <x:tableColumn id="35" name="evidence_ids"/>
    <x:tableColumn id="36" name="value_ids"/>
    <x:tableColumn id="37" name="pdf_pages"/>
    <x:tableColumn id="38" name="printed_pages"/>
    <x:tableColumn id="39" name="core_original_excerpt"/>
    <x:tableColumn id="40" name="undisclosed_items"/>
    <x:tableColumn id="41" name="manual_judgment"/>
    <x:tableColumn id="42" name="needs_manual_review"/>
    <x:tableColumn id="43" name="review_status"/>
    <x:tableColumn id="44" name="review_note"/>
  </x:tableColumns>
  <x:tableStyleInfo name="TableStyleMedium2" showRowStripes="1"/>
</x:table>
</file>

<file path=xl/tables/table2.xml><?xml version="1.0" encoding="utf-8"?>
<x:table xmlns:x="http://schemas.openxmlformats.org/spreadsheetml/2006/main" id="2" name="Stage5TimeNodes" displayName="Stage5TimeNodes" ref="A3:N46">
  <x:tableColumns count="14">
    <x:tableColumn id="1" name="time_node_id"/>
    <x:tableColumn id="2" name="event_id"/>
    <x:tableColumn id="3" name="node_type"/>
    <x:tableColumn id="4" name="original_date_text"/>
    <x:tableColumn id="5" name="normalized_date"/>
    <x:tableColumn id="6" name="period_start"/>
    <x:tableColumn id="7" name="period_end"/>
    <x:tableColumn id="8" name="date_precision"/>
    <x:tableColumn id="9" name="is_primary_display_node"/>
    <x:tableColumn id="10" name="chronology_confidence"/>
    <x:tableColumn id="11" name="evidence_id"/>
    <x:tableColumn id="12" name="pdf_page"/>
    <x:tableColumn id="13" name="printed_page"/>
    <x:tableColumn id="14" name="date_note"/>
  </x:tableColumns>
  <x:tableStyleInfo name="TableStyleMedium2" showRowStripes="1"/>
</x:table>
</file>

<file path=xl/tables/table3.xml><?xml version="1.0" encoding="utf-8"?>
<x:table xmlns:x="http://schemas.openxmlformats.org/spreadsheetml/2006/main" id="1" name="Stage5Calculations" displayName="Stage5Calculations" ref="A3:Y19">
  <x:tableColumns count="25">
    <x:tableColumn id="1" name="calculation_id"/>
    <x:tableColumn id="2" name="event_id"/>
    <x:tableColumn id="3" name="calculation_purpose"/>
    <x:tableColumn id="4" name="input_1_value"/>
    <x:tableColumn id="5" name="input_1_source_id"/>
    <x:tableColumn id="6" name="input_2_value"/>
    <x:tableColumn id="7" name="input_2_source_id"/>
    <x:tableColumn id="8" name="input_3_value"/>
    <x:tableColumn id="9" name="input_3_source_id"/>
    <x:tableColumn id="10" name="input_4_value"/>
    <x:tableColumn id="11" name="input_4_source_id"/>
    <x:tableColumn id="12" name="input_5_value"/>
    <x:tableColumn id="13" name="input_5_source_id"/>
    <x:tableColumn id="14" name="input_6_value"/>
    <x:tableColumn id="15" name="input_6_source_id"/>
    <x:tableColumn id="16" name="input_7_value"/>
    <x:tableColumn id="17" name="input_7_source_id"/>
    <x:tableColumn id="18" name="formula_note"/>
    <x:tableColumn id="19" name="calculated_result"/>
    <x:tableColumn id="20" name="result_unit"/>
    <x:tableColumn id="21" name="comparison_original_value"/>
    <x:tableColumn id="22" name="comparison_source_id"/>
    <x:tableColumn id="23" name="variance"/>
    <x:tableColumn id="24" name="calculation_status"/>
    <x:tableColumn id="25" name="interpretation"/>
  </x:tableColumns>
  <x:tableStyleInfo name="TableStyleMedium2" showRowStripes="1"/>
</x:table>
</file>

<file path=xl/tables/table4.xml><?xml version="1.0" encoding="utf-8"?>
<x:table xmlns:x="http://schemas.openxmlformats.org/spreadsheetml/2006/main" id="4" name="Stage5Acceptance" displayName="Stage5Acceptance" ref="A3:Q20">
  <x:tableColumns count="17">
    <x:tableColumn id="1" name="timeline_id"/>
    <x:tableColumn id="2" name="event_id"/>
    <x:tableColumn id="3" name="event_scope_locked"/>
    <x:tableColumn id="4" name="time_nodes_complete"/>
    <x:tableColumn id="5" name="chronology_basis_clear"/>
    <x:tableColumn id="6" name="parent_child_deduplicated"/>
    <x:tableColumn id="7" name="capital_basis_clear"/>
    <x:tableColumn id="8" name="original_vs_calculated_separated"/>
    <x:tableColumn id="9" name="shareholder_direction_consistent"/>
    <x:tableColumn id="10" name="evidence_traceable"/>
    <x:tableColumn id="11" name="double_pages_complete"/>
    <x:tableColumn id="12" name="stage_boundary_respected"/>
    <x:tableColumn id="13" name="manual_review_items_listed"/>
    <x:tableColumn id="14" name="overall_check_status"/>
    <x:tableColumn id="15" name="reviewer"/>
    <x:tableColumn id="16" name="review_date"/>
    <x:tableColumn id="17" name="review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84ed48a1884e5c" /></Relationships>
</file>

<file path=xl/worksheets/_rels/sheet3.xml.rels>&#65279;<?xml version="1.0" encoding="utf-8"?><Relationships xmlns="http://schemas.openxmlformats.org/package/2006/relationships"><Relationship Type="http://schemas.openxmlformats.org/officeDocument/2006/relationships/table" Target="/xl/tables/table2.xml" Id="R0b703e094e314034" /></Relationships>
</file>

<file path=xl/worksheets/_rels/sheet4.xml.rels>&#65279;<?xml version="1.0" encoding="utf-8"?><Relationships xmlns="http://schemas.openxmlformats.org/package/2006/relationships"><Relationship Type="http://schemas.openxmlformats.org/officeDocument/2006/relationships/table" Target="/xl/tables/table3.xml" Id="Rd3b17e629948440b" /></Relationships>
</file>

<file path=xl/worksheets/_rels/sheet6.xml.rels>&#65279;<?xml version="1.0" encoding="utf-8"?><Relationships xmlns="http://schemas.openxmlformats.org/package/2006/relationships"><Relationship Type="http://schemas.openxmlformats.org/officeDocument/2006/relationships/table" Target="/xl/tables/table4.xml" Id="R315d4eb6882d404d" /></Relationships>
</file>

<file path=xl/worksheets/sheet1.xml><?xml version="1.0" encoding="utf-8"?>
<x:worksheet xmlns:x="http://schemas.openxmlformats.org/spreadsheetml/2006/main">
  <x:sheetFormatPr defaultRowHeight="14"/>
  <x:cols>
    <x:col min="1" max="1" width="24" customWidth="1"/>
    <x:col min="2" max="5" width="20" customWidth="1"/>
    <x:col min="6" max="6" width="18" customWidth="1"/>
    <x:col min="7" max="7" width="16" customWidth="1"/>
    <x:col min="8" max="8" width="28" customWidth="1"/>
  </x:cols>
  <x:sheetData>
    <x:row r="1" ht="20" customHeight="1">
      <x:c r="A1" s="46" t="str">
        <x:v>阶段五：股本变化时间线工作簿（最终验收版）</x:v>
      </x:c>
      <x:c r="B1" s="46"/>
      <x:c r="C1" s="46"/>
      <x:c r="D1" s="46"/>
      <x:c r="E1" s="46"/>
      <x:c r="F1" s="46"/>
      <x:c r="G1" s="46"/>
      <x:c r="H1" s="46"/>
    </x:row>
    <x:row r="3">
      <x:c r="A3" s="47" t="s">
        <x:v>0</x:v>
      </x:c>
      <x:c r="B3" s="47"/>
      <x:c r="C3" s="47"/>
      <x:c r="D3" s="47"/>
      <x:c r="F3" s="47" t="s">
        <x:v>1</x:v>
      </x:c>
      <x:c r="G3" s="47"/>
      <x:c r="H3" s="47"/>
    </x:row>
    <x:row r="4" ht="20" customHeight="1">
      <x:c r="A4" s="27" t="s">
        <x:v>2</x:v>
      </x:c>
      <x:c r="B4" s="48" t="s">
        <x:v>3</x:v>
      </x:c>
      <x:c r="C4" s="48"/>
      <x:c r="D4" s="49"/>
      <x:c r="F4" s="1" t="s">
        <x:v>4</x:v>
      </x:c>
      <x:c r="G4" s="2" t="s">
        <x:v>5</x:v>
      </x:c>
      <x:c r="H4" s="3" t="s">
        <x:v>6</x:v>
      </x:c>
    </x:row>
    <x:row r="5" ht="20" customHeight="1">
      <x:c r="A5" s="28" t="s">
        <x:v>7</x:v>
      </x:c>
      <x:c r="B5" s="50" t="s">
        <x:v>8</x:v>
      </x:c>
      <x:c r="C5" s="50"/>
      <x:c r="D5" s="51"/>
      <x:c r="F5" s="4" t="s">
        <x:v>9</x:v>
      </x:c>
      <x:c r="G5" s="30" t="n">
        <x:f>COUNTA('01_股本变化时间线'!A4:A20)</x:f>
        <x:v>17</x:v>
      </x:c>
      <x:c r="H5" s="6" t="s">
        <x:v>10</x:v>
      </x:c>
    </x:row>
    <x:row r="6" ht="20" customHeight="1">
      <x:c r="A6" s="28" t="s">
        <x:v>11</x:v>
      </x:c>
      <x:c r="B6" s="50" t="s">
        <x:v>12</x:v>
      </x:c>
      <x:c r="C6" s="50"/>
      <x:c r="D6" s="51"/>
      <x:c r="F6" s="7" t="s">
        <x:v>13</x:v>
      </x:c>
      <x:c r="G6" s="31" t="n">
        <x:f>COUNTA('02_时间节点明细'!A4:A46)</x:f>
        <x:v>43</x:v>
      </x:c>
      <x:c r="H6" s="9" t="s">
        <x:v>14</x:v>
      </x:c>
    </x:row>
    <x:row r="7" ht="20" customHeight="1">
      <x:c r="A7" s="28" t="s">
        <x:v>15</x:v>
      </x:c>
      <x:c r="B7" s="50" t="s">
        <x:v>16</x:v>
      </x:c>
      <x:c r="C7" s="50"/>
      <x:c r="D7" s="51"/>
      <x:c r="F7" s="7" t="s">
        <x:v>17</x:v>
      </x:c>
      <x:c r="G7" s="31" t="n">
        <x:f>COUNTA('03_计算值登记'!A4:A19)</x:f>
        <x:v>16</x:v>
      </x:c>
      <x:c r="H7" s="9" t="s">
        <x:v>18</x:v>
      </x:c>
    </x:row>
    <x:row r="8" ht="20" customHeight="1">
      <x:c r="A8" s="28" t="s">
        <x:v>19</x:v>
      </x:c>
      <x:c r="B8" s="50" t="s">
        <x:v>20</x:v>
      </x:c>
      <x:c r="C8" s="50"/>
      <x:c r="D8" s="51"/>
      <x:c r="F8" s="7" t="s">
        <x:v>21</x:v>
      </x:c>
      <x:c r="G8" s="31">
        <x:v>9</x:v>
      </x:c>
      <x:c r="H8" s="9" t="s">
        <x:v>22</x:v>
      </x:c>
    </x:row>
    <x:row r="9" ht="20" customHeight="1">
      <x:c r="A9" s="29" t="s">
        <x:v>23</x:v>
      </x:c>
      <x:c r="B9" s="52" t="str">
        <x:v>阶段五已验收通过；CE-005数值衔接差异已按原文保留，并转入阶段七正式数值校验。</x:v>
      </x:c>
      <x:c r="C9" s="52"/>
      <x:c r="D9" s="53"/>
      <x:c r="F9" s="10" t="str">
        <x:v>阶段五待复核</x:v>
      </x:c>
      <x:c r="G9" s="32" t="n">
        <x:f>COUNTIF('01_股本变化时间线'!AP4:AP20,"是")</x:f>
        <x:v>0</x:v>
      </x:c>
      <x:c r="H9" s="12" t="str">
        <x:v>无</x:v>
      </x:c>
    </x:row>
    <x:row r="10" ht="20" customHeight="1"/>
    <x:row r="11" ht="20" customHeight="1">
      <x:c r="A11" s="47" t="s">
        <x:v>24</x:v>
      </x:c>
      <x:c r="B11" s="47"/>
      <x:c r="C11" s="47"/>
      <x:c r="D11" s="47"/>
      <x:c r="E11" s="47"/>
      <x:c r="F11" s="47"/>
      <x:c r="G11" s="47"/>
      <x:c r="H11" s="47"/>
    </x:row>
    <x:row r="12" ht="20" customHeight="1">
      <x:c r="A12" s="1" t="s">
        <x:v>25</x:v>
      </x:c>
      <x:c r="B12" s="57" t="s">
        <x:v>26</x:v>
      </x:c>
      <x:c r="C12" s="57" t="s">
        <x:v>27</x:v>
      </x:c>
      <x:c r="D12" s="57" t="s">
        <x:v>28</x:v>
      </x:c>
      <x:c r="E12" s="57"/>
      <x:c r="F12" s="57" t="s">
        <x:v>27</x:v>
      </x:c>
      <x:c r="G12" s="57"/>
      <x:c r="H12" s="3" t="s">
        <x:v>28</x:v>
      </x:c>
    </x:row>
    <x:row r="13" ht="20" customHeight="1">
      <x:c r="A13" s="4" t="s">
        <x:v>29</x:v>
      </x:c>
      <x:c r="B13" s="48" t="s">
        <x:v>30</x:v>
      </x:c>
      <x:c r="C13" s="48" t="s">
        <x:v>31</x:v>
      </x:c>
      <x:c r="D13" s="48" t="s">
        <x:v>32</x:v>
      </x:c>
      <x:c r="E13" s="48"/>
      <x:c r="F13" s="54" t="s">
        <x:v>31</x:v>
      </x:c>
      <x:c r="G13" s="54"/>
      <x:c r="H13" s="6" t="s">
        <x:v>32</x:v>
      </x:c>
    </x:row>
    <x:row r="14" ht="20" customHeight="1">
      <x:c r="A14" s="7" t="s">
        <x:v>33</x:v>
      </x:c>
      <x:c r="B14" s="50" t="s">
        <x:v>34</x:v>
      </x:c>
      <x:c r="C14" s="50" t="s">
        <x:v>35</x:v>
      </x:c>
      <x:c r="D14" s="50" t="s">
        <x:v>36</x:v>
      </x:c>
      <x:c r="E14" s="50"/>
      <x:c r="F14" s="50" t="s">
        <x:v>35</x:v>
      </x:c>
      <x:c r="G14" s="50"/>
      <x:c r="H14" s="9" t="s">
        <x:v>36</x:v>
      </x:c>
    </x:row>
    <x:row r="15" ht="20" customHeight="1">
      <x:c r="A15" s="7" t="s">
        <x:v>37</x:v>
      </x:c>
      <x:c r="B15" s="50" t="s">
        <x:v>38</x:v>
      </x:c>
      <x:c r="C15" s="50" t="s">
        <x:v>39</x:v>
      </x:c>
      <x:c r="D15" s="50" t="s">
        <x:v>40</x:v>
      </x:c>
      <x:c r="E15" s="50"/>
      <x:c r="F15" s="55" t="s">
        <x:v>39</x:v>
      </x:c>
      <x:c r="G15" s="55"/>
      <x:c r="H15" s="9" t="s">
        <x:v>40</x:v>
      </x:c>
    </x:row>
    <x:row r="16" ht="20" customHeight="1">
      <x:c r="A16" s="7" t="s">
        <x:v>41</x:v>
      </x:c>
      <x:c r="B16" s="50" t="s">
        <x:v>42</x:v>
      </x:c>
      <x:c r="C16" s="50" t="s">
        <x:v>35</x:v>
      </x:c>
      <x:c r="D16" s="50" t="s">
        <x:v>43</x:v>
      </x:c>
      <x:c r="E16" s="50"/>
      <x:c r="F16" s="50" t="s">
        <x:v>35</x:v>
      </x:c>
      <x:c r="G16" s="50"/>
      <x:c r="H16" s="9" t="s">
        <x:v>43</x:v>
      </x:c>
    </x:row>
    <x:row r="17" ht="20" customHeight="1">
      <x:c r="A17" s="10" t="s">
        <x:v>44</x:v>
      </x:c>
      <x:c r="B17" s="52" t="s">
        <x:v>45</x:v>
      </x:c>
      <x:c r="C17" s="52" t="s">
        <x:v>46</x:v>
      </x:c>
      <x:c r="D17" s="52" t="s">
        <x:v>47</x:v>
      </x:c>
      <x:c r="E17" s="52"/>
      <x:c r="F17" s="56" t="s">
        <x:v>46</x:v>
      </x:c>
      <x:c r="G17" s="56"/>
      <x:c r="H17" s="12" t="s">
        <x:v>47</x:v>
      </x:c>
    </x:row>
    <x:row r="18" ht="20" customHeight="1"/>
    <x:row r="19" ht="20" customHeight="1">
      <x:c r="A19" s="47" t="s">
        <x:v>48</x:v>
      </x:c>
      <x:c r="B19" s="47"/>
      <x:c r="C19" s="47"/>
      <x:c r="D19" s="47"/>
      <x:c r="E19" s="47"/>
      <x:c r="F19" s="47"/>
      <x:c r="G19" s="47"/>
      <x:c r="H19" s="47"/>
    </x:row>
    <x:row r="20" ht="20" customHeight="1">
      <x:c r="A20" s="1" t="s">
        <x:v>49</x:v>
      </x:c>
      <x:c r="B20" s="2" t="s">
        <x:v>50</x:v>
      </x:c>
      <x:c r="C20" s="2"/>
      <x:c r="D20" s="2"/>
      <x:c r="E20" s="2"/>
      <x:c r="F20" s="2"/>
      <x:c r="G20" s="2"/>
      <x:c r="H20" s="3"/>
    </x:row>
    <x:row r="21" ht="20" customHeight="1">
      <x:c r="A21" s="4" t="s">
        <x:v>51</x:v>
      </x:c>
      <x:c r="B21" s="48" t="s">
        <x:v>52</x:v>
      </x:c>
      <x:c r="C21" s="48"/>
      <x:c r="D21" s="48"/>
      <x:c r="E21" s="48"/>
      <x:c r="F21" s="48"/>
      <x:c r="G21" s="48"/>
      <x:c r="H21" s="49"/>
    </x:row>
    <x:row r="22" ht="20" customHeight="1">
      <x:c r="A22" s="7" t="s">
        <x:v>53</x:v>
      </x:c>
      <x:c r="B22" s="50" t="s">
        <x:v>54</x:v>
      </x:c>
      <x:c r="C22" s="50"/>
      <x:c r="D22" s="50"/>
      <x:c r="E22" s="50"/>
      <x:c r="F22" s="50"/>
      <x:c r="G22" s="50"/>
      <x:c r="H22" s="51"/>
    </x:row>
    <x:row r="23" ht="20" customHeight="1">
      <x:c r="A23" s="7" t="s">
        <x:v>55</x:v>
      </x:c>
      <x:c r="B23" s="50" t="s">
        <x:v>56</x:v>
      </x:c>
      <x:c r="C23" s="50"/>
      <x:c r="D23" s="50"/>
      <x:c r="E23" s="50"/>
      <x:c r="F23" s="50"/>
      <x:c r="G23" s="50"/>
      <x:c r="H23" s="51"/>
    </x:row>
    <x:row r="24" ht="20" customHeight="1">
      <x:c r="A24" s="7" t="s">
        <x:v>57</x:v>
      </x:c>
      <x:c r="B24" s="50" t="s">
        <x:v>58</x:v>
      </x:c>
      <x:c r="C24" s="50"/>
      <x:c r="D24" s="50"/>
      <x:c r="E24" s="50"/>
      <x:c r="F24" s="50"/>
      <x:c r="G24" s="50"/>
      <x:c r="H24" s="51"/>
    </x:row>
    <x:row r="25" ht="20" customHeight="1">
      <x:c r="A25" s="10" t="s">
        <x:v>59</x:v>
      </x:c>
      <x:c r="B25" s="52" t="s">
        <x:v>60</x:v>
      </x:c>
      <x:c r="C25" s="52"/>
      <x:c r="D25" s="52"/>
      <x:c r="E25" s="52"/>
      <x:c r="F25" s="52"/>
      <x:c r="G25" s="52"/>
      <x:c r="H25" s="53"/>
    </x:row>
  </x:sheetData>
  <x:mergeCells>
    <x:mergeCell ref="B12:E12"/>
    <x:mergeCell ref="F12:G12"/>
    <x:mergeCell ref="B21:H21"/>
    <x:mergeCell ref="B22:H22"/>
    <x:mergeCell ref="B23:H23"/>
    <x:mergeCell ref="B24:H24"/>
    <x:mergeCell ref="B25:H25"/>
    <x:mergeCell ref="B16:E16"/>
    <x:mergeCell ref="F16:G16"/>
    <x:mergeCell ref="B17:E17"/>
    <x:mergeCell ref="F17:G17"/>
    <x:mergeCell ref="A19:H19"/>
    <x:mergeCell ref="B13:E13"/>
    <x:mergeCell ref="F13:G13"/>
    <x:mergeCell ref="B14:E14"/>
    <x:mergeCell ref="F14:G14"/>
    <x:mergeCell ref="B15:E15"/>
    <x:mergeCell ref="F15:G15"/>
    <x:mergeCell ref="B7:D7"/>
    <x:mergeCell ref="B8:D8"/>
    <x:mergeCell ref="B9:D9"/>
    <x:mergeCell ref="F3:H3"/>
    <x:mergeCell ref="A11:H11"/>
    <x:mergeCell ref="A1:H1"/>
    <x:mergeCell ref="A3:D3"/>
    <x:mergeCell ref="B4:D4"/>
    <x:mergeCell ref="B5:D5"/>
    <x:mergeCell ref="B6:D6"/>
  </x:mergeCells>
  <x:pageMargins left="0.7" right="0.7" top="0.75" bottom="0.75" header="0.3" footer="0.3"/>
</x:worksheet>
</file>

<file path=xl/worksheets/sheet2.xml><?xml version="1.0" encoding="utf-8"?>
<x:worksheet xmlns:x="http://schemas.openxmlformats.org/spreadsheetml/2006/main">
  <x:sheetFormatPr defaultRowHeight="14"/>
  <x:cols>
    <x:col min="1" max="1" width="12" customWidth="1"/>
    <x:col min="2" max="2" width="10" customWidth="1"/>
    <x:col min="3" max="3" width="13" customWidth="1"/>
    <x:col min="4" max="5" width="14" customWidth="1"/>
    <x:col min="6" max="6" width="10" customWidth="1"/>
    <x:col min="7" max="7" width="34" customWidth="1"/>
    <x:col min="8" max="8" width="24" customWidth="1"/>
    <x:col min="9" max="9" width="18" customWidth="1"/>
    <x:col min="10" max="10" width="11" customWidth="1"/>
    <x:col min="11" max="11" width="18" customWidth="1"/>
    <x:col min="12" max="13" width="24" customWidth="1"/>
    <x:col min="14" max="15" width="36" customWidth="1"/>
    <x:col min="16" max="17" width="13" customWidth="1"/>
    <x:col min="18" max="18" width="26" customWidth="1"/>
    <x:col min="19" max="19" width="15" customWidth="1"/>
    <x:col min="20" max="20" width="17" customWidth="1"/>
    <x:col min="21" max="23" width="15" customWidth="1"/>
    <x:col min="24" max="26" width="16" customWidth="1"/>
    <x:col min="27" max="29" width="24" customWidth="1"/>
    <x:col min="30" max="32" width="28" customWidth="1"/>
    <x:col min="33" max="33" width="26" customWidth="1"/>
    <x:col min="34" max="34" width="42" customWidth="1"/>
    <x:col min="35" max="35" width="28" customWidth="1"/>
    <x:col min="36" max="36" width="32" customWidth="1"/>
    <x:col min="37" max="38" width="13" customWidth="1"/>
    <x:col min="39" max="39" width="58" customWidth="1"/>
    <x:col min="40" max="40" width="44" customWidth="1"/>
    <x:col min="41" max="41" width="48" customWidth="1"/>
    <x:col min="42" max="42" width="13" customWidth="1"/>
    <x:col min="43" max="43" width="15" customWidth="1"/>
    <x:col min="44" max="44" width="34" customWidth="1"/>
  </x:cols>
  <x:sheetData>
    <x:row r="1" ht="20" customHeight="1">
      <x:c r="A1" s="46" t="str">
        <x:v>阶段五：股本变化时间线（最终验收版）</x:v>
      </x:c>
      <x:c r="B1" s="46"/>
      <x:c r="C1" s="46"/>
      <x:c r="D1" s="46"/>
      <x:c r="E1" s="46"/>
      <x:c r="F1" s="46"/>
      <x:c r="G1" s="46"/>
      <x:c r="H1" s="46"/>
      <x:c r="I1" s="46"/>
      <x:c r="J1" s="46"/>
      <x:c r="K1" s="46"/>
      <x:c r="L1" s="46"/>
      <x:c r="M1" s="46"/>
      <x:c r="N1" s="46"/>
      <x:c r="O1" s="46"/>
      <x:c r="P1" s="46"/>
      <x:c r="Q1" s="46"/>
      <x:c r="R1" s="46"/>
      <x:c r="S1" s="46"/>
      <x:c r="T1" s="46"/>
      <x:c r="U1" s="46"/>
      <x:c r="V1" s="46"/>
      <x:c r="W1" s="46"/>
      <x:c r="X1" s="46"/>
      <x:c r="Y1" s="46"/>
      <x:c r="Z1" s="46"/>
      <x:c r="AA1" s="46"/>
      <x:c r="AB1" s="46"/>
      <x:c r="AC1" s="46"/>
      <x:c r="AD1" s="46"/>
      <x:c r="AE1" s="46"/>
      <x:c r="AF1" s="46"/>
      <x:c r="AG1" s="46"/>
      <x:c r="AH1" s="46"/>
      <x:c r="AI1" s="46"/>
      <x:c r="AJ1" s="46"/>
      <x:c r="AK1" s="46"/>
      <x:c r="AL1" s="46"/>
      <x:c r="AM1" s="46"/>
      <x:c r="AN1" s="46"/>
      <x:c r="AO1" s="46"/>
      <x:c r="AP1" s="46"/>
      <x:c r="AQ1" s="46"/>
      <x:c r="AR1" s="46"/>
    </x:row>
    <x:row r="2">
      <x:c r="A2" s="47" t="s">
        <x:v>61</x:v>
      </x:c>
      <x:c r="B2" s="47"/>
      <x:c r="C2" s="47"/>
      <x:c r="D2" s="47"/>
      <x:c r="E2" s="47"/>
      <x:c r="F2" s="47"/>
      <x:c r="G2" s="47"/>
      <x:c r="H2" s="47"/>
      <x:c r="I2" s="47" t="s">
        <x:v>62</x:v>
      </x:c>
      <x:c r="J2" s="47"/>
      <x:c r="K2" s="47"/>
      <x:c r="L2" s="47"/>
      <x:c r="M2" s="47"/>
      <x:c r="N2" s="47"/>
      <x:c r="O2" s="47"/>
      <x:c r="P2" s="47" t="s">
        <x:v>63</x:v>
      </x:c>
      <x:c r="Q2" s="47"/>
      <x:c r="R2" s="47"/>
      <x:c r="S2" s="47"/>
      <x:c r="T2" s="47"/>
      <x:c r="U2" s="47" t="s">
        <x:v>64</x:v>
      </x:c>
      <x:c r="V2" s="47"/>
      <x:c r="W2" s="47"/>
      <x:c r="X2" s="47" t="s">
        <x:v>65</x:v>
      </x:c>
      <x:c r="Y2" s="47"/>
      <x:c r="Z2" s="47"/>
      <x:c r="AA2" s="47"/>
      <x:c r="AB2" s="47"/>
      <x:c r="AC2" s="47"/>
      <x:c r="AD2" s="47" t="s">
        <x:v>66</x:v>
      </x:c>
      <x:c r="AE2" s="47"/>
      <x:c r="AF2" s="47"/>
      <x:c r="AG2" s="47"/>
      <x:c r="AH2" s="47"/>
      <x:c r="AI2" s="47" t="s">
        <x:v>67</x:v>
      </x:c>
      <x:c r="AJ2" s="47"/>
      <x:c r="AK2" s="47"/>
      <x:c r="AL2" s="47"/>
      <x:c r="AM2" s="47"/>
      <x:c r="AN2" s="47" t="s">
        <x:v>68</x:v>
      </x:c>
      <x:c r="AO2" s="47"/>
      <x:c r="AP2" s="47"/>
      <x:c r="AQ2" s="47"/>
      <x:c r="AR2" s="47"/>
    </x:row>
    <x:row r="3" ht="33.400001525878906" customHeight="1">
      <x:c r="A3" s="1" t="s">
        <x:v>69</x:v>
      </x:c>
      <x:c r="B3" s="2" t="s">
        <x:v>70</x:v>
      </x:c>
      <x:c r="C3" s="2" t="s">
        <x:v>71</x:v>
      </x:c>
      <x:c r="D3" s="2" t="s">
        <x:v>72</x:v>
      </x:c>
      <x:c r="E3" s="2" t="s">
        <x:v>73</x:v>
      </x:c>
      <x:c r="F3" s="2" t="s">
        <x:v>74</x:v>
      </x:c>
      <x:c r="G3" s="2" t="s">
        <x:v>75</x:v>
      </x:c>
      <x:c r="H3" s="2" t="s">
        <x:v>76</x:v>
      </x:c>
      <x:c r="I3" s="2" t="s">
        <x:v>77</x:v>
      </x:c>
      <x:c r="J3" s="2" t="s">
        <x:v>78</x:v>
      </x:c>
      <x:c r="K3" s="2" t="s">
        <x:v>79</x:v>
      </x:c>
      <x:c r="L3" s="2" t="s">
        <x:v>80</x:v>
      </x:c>
      <x:c r="M3" s="2" t="s">
        <x:v>81</x:v>
      </x:c>
      <x:c r="N3" s="2" t="s">
        <x:v>82</x:v>
      </x:c>
      <x:c r="O3" s="2" t="s">
        <x:v>83</x:v>
      </x:c>
      <x:c r="P3" s="2" t="s">
        <x:v>84</x:v>
      </x:c>
      <x:c r="Q3" s="2" t="s">
        <x:v>85</x:v>
      </x:c>
      <x:c r="R3" s="2" t="s">
        <x:v>86</x:v>
      </x:c>
      <x:c r="S3" s="2" t="s">
        <x:v>87</x:v>
      </x:c>
      <x:c r="T3" s="2" t="s">
        <x:v>88</x:v>
      </x:c>
      <x:c r="U3" s="2" t="s">
        <x:v>89</x:v>
      </x:c>
      <x:c r="V3" s="2" t="s">
        <x:v>90</x:v>
      </x:c>
      <x:c r="W3" s="2" t="s">
        <x:v>91</x:v>
      </x:c>
      <x:c r="X3" s="2" t="s">
        <x:v>92</x:v>
      </x:c>
      <x:c r="Y3" s="2" t="s">
        <x:v>93</x:v>
      </x:c>
      <x:c r="Z3" s="2" t="s">
        <x:v>94</x:v>
      </x:c>
      <x:c r="AA3" s="2" t="s">
        <x:v>95</x:v>
      </x:c>
      <x:c r="AB3" s="2" t="s">
        <x:v>96</x:v>
      </x:c>
      <x:c r="AC3" s="2" t="s">
        <x:v>97</x:v>
      </x:c>
      <x:c r="AD3" s="2" t="s">
        <x:v>98</x:v>
      </x:c>
      <x:c r="AE3" s="2" t="s">
        <x:v>99</x:v>
      </x:c>
      <x:c r="AF3" s="2" t="s">
        <x:v>100</x:v>
      </x:c>
      <x:c r="AG3" s="2" t="s">
        <x:v>101</x:v>
      </x:c>
      <x:c r="AH3" s="2" t="s">
        <x:v>102</x:v>
      </x:c>
      <x:c r="AI3" s="2" t="s">
        <x:v>103</x:v>
      </x:c>
      <x:c r="AJ3" s="2" t="s">
        <x:v>104</x:v>
      </x:c>
      <x:c r="AK3" s="2" t="s">
        <x:v>105</x:v>
      </x:c>
      <x:c r="AL3" s="2" t="s">
        <x:v>106</x:v>
      </x:c>
      <x:c r="AM3" s="2" t="s">
        <x:v>107</x:v>
      </x:c>
      <x:c r="AN3" s="2" t="s">
        <x:v>108</x:v>
      </x:c>
      <x:c r="AO3" s="2" t="s">
        <x:v>109</x:v>
      </x:c>
      <x:c r="AP3" s="2" t="s">
        <x:v>110</x:v>
      </x:c>
      <x:c r="AQ3" s="2" t="s">
        <x:v>111</x:v>
      </x:c>
      <x:c r="AR3" s="3" t="s">
        <x:v>112</x:v>
      </x:c>
    </x:row>
    <x:row r="4" ht="48" customHeight="1">
      <x:c r="A4" s="4" t="s">
        <x:v>113</x:v>
      </x:c>
      <x:c r="B4" s="33">
        <x:v>1</x:v>
      </x:c>
      <x:c r="C4" s="5" t="s">
        <x:v>114</x:v>
      </x:c>
      <x:c r="D4" s="5" t="s">
        <x:v>115</x:v>
      </x:c>
      <x:c r="E4" s="5" t="s">
        <x:v>115</x:v>
      </x:c>
      <x:c r="F4" s="5" t="s">
        <x:v>116</x:v>
      </x:c>
      <x:c r="G4" s="5" t="s">
        <x:v>117</x:v>
      </x:c>
      <x:c r="H4" s="5" t="s">
        <x:v>118</x:v>
      </x:c>
      <x:c r="I4" s="5" t="s">
        <x:v>119</x:v>
      </x:c>
      <x:c r="J4" s="5" t="s">
        <x:v>120</x:v>
      </x:c>
      <x:c r="K4" s="5" t="s">
        <x:v>121</x:v>
      </x:c>
      <x:c r="L4" s="5" t="s">
        <x:v>122</x:v>
      </x:c>
      <x:c r="M4" s="5" t="s">
        <x:v>123</x:v>
      </x:c>
      <x:c r="N4" s="5" t="s">
        <x:v>124</x:v>
      </x:c>
      <x:c r="O4" s="5" t="s">
        <x:v>125</x:v>
      </x:c>
      <x:c r="P4" s="5" t="s">
        <x:v>126</x:v>
      </x:c>
      <x:c r="Q4" s="5" t="s">
        <x:v>127</x:v>
      </x:c>
      <x:c r="R4" s="5" t="s">
        <x:v>128</x:v>
      </x:c>
      <x:c r="S4" s="5" t="s">
        <x:v>129</x:v>
      </x:c>
      <x:c r="T4" s="5" t="s">
        <x:v>129</x:v>
      </x:c>
      <x:c r="U4" s="14"/>
      <x:c r="V4" s="14">
        <x:v>50</x:v>
      </x:c>
      <x:c r="W4" s="14">
        <x:v>50</x:v>
      </x:c>
      <x:c r="X4" s="21" t="s">
        <x:v>130</x:v>
      </x:c>
      <x:c r="Y4" s="21"/>
      <x:c r="Z4" s="21"/>
      <x:c r="AA4" s="5"/>
      <x:c r="AB4" s="5"/>
      <x:c r="AC4" s="5" t="s">
        <x:v>131</x:v>
      </x:c>
      <x:c r="AD4" s="5" t="s">
        <x:v>132</x:v>
      </x:c>
      <x:c r="AE4" s="5"/>
      <x:c r="AF4" s="5"/>
      <x:c r="AG4" s="5"/>
      <x:c r="AH4" s="5" t="s">
        <x:v>133</x:v>
      </x:c>
      <x:c r="AI4" s="5" t="s">
        <x:v>134</x:v>
      </x:c>
      <x:c r="AJ4" s="5" t="s">
        <x:v>135</x:v>
      </x:c>
      <x:c r="AK4" s="5" t="s">
        <x:v>136</x:v>
      </x:c>
      <x:c r="AL4" s="5" t="s">
        <x:v>137</x:v>
      </x:c>
      <x:c r="AM4" s="5" t="s">
        <x:v>138</x:v>
      </x:c>
      <x:c r="AN4" s="5" t="s">
        <x:v>139</x:v>
      </x:c>
      <x:c r="AO4" s="5" t="s">
        <x:v>140</x:v>
      </x:c>
      <x:c r="AP4" s="5" t="s">
        <x:v>141</x:v>
      </x:c>
      <x:c r="AQ4" s="5" t="s">
        <x:v>142</x:v>
      </x:c>
      <x:c r="AR4" s="6" t="s">
        <x:v>143</x:v>
      </x:c>
    </x:row>
    <x:row r="5" ht="48" customHeight="1">
      <x:c r="A5" s="7" t="s">
        <x:v>144</x:v>
      </x:c>
      <x:c r="B5" s="34">
        <x:v>2</x:v>
      </x:c>
      <x:c r="C5" s="8" t="s">
        <x:v>145</x:v>
      </x:c>
      <x:c r="D5" s="8" t="s">
        <x:v>146</x:v>
      </x:c>
      <x:c r="E5" s="8" t="s">
        <x:v>147</x:v>
      </x:c>
      <x:c r="F5" s="8" t="s">
        <x:v>148</x:v>
      </x:c>
      <x:c r="G5" s="8" t="s">
        <x:v>149</x:v>
      </x:c>
      <x:c r="H5" s="8" t="s">
        <x:v>150</x:v>
      </x:c>
      <x:c r="I5" s="8" t="s">
        <x:v>151</x:v>
      </x:c>
      <x:c r="J5" s="8" t="s">
        <x:v>152</x:v>
      </x:c>
      <x:c r="K5" s="8" t="s">
        <x:v>151</x:v>
      </x:c>
      <x:c r="L5" s="8" t="s">
        <x:v>153</x:v>
      </x:c>
      <x:c r="M5" s="8" t="s">
        <x:v>154</x:v>
      </x:c>
      <x:c r="N5" s="8" t="s">
        <x:v>155</x:v>
      </x:c>
      <x:c r="O5" s="8" t="s">
        <x:v>156</x:v>
      </x:c>
      <x:c r="P5" s="8" t="s">
        <x:v>127</x:v>
      </x:c>
      <x:c r="Q5" s="8" t="s">
        <x:v>127</x:v>
      </x:c>
      <x:c r="R5" s="8" t="s">
        <x:v>157</x:v>
      </x:c>
      <x:c r="S5" s="8" t="s">
        <x:v>141</x:v>
      </x:c>
      <x:c r="T5" s="8" t="s">
        <x:v>129</x:v>
      </x:c>
      <x:c r="U5" s="15"/>
      <x:c r="V5" s="15"/>
      <x:c r="W5" s="15"/>
      <x:c r="X5" s="16" t="n">
        <x:f>'03_计算值登记'!D4</x:f>
        <x:v>50</x:v>
      </x:c>
      <x:c r="Y5" s="16" t="n">
        <x:f>'03_计算值登记'!F4</x:f>
        <x:v>0</x:v>
      </x:c>
      <x:c r="Z5" s="16" t="n">
        <x:f>'03_计算值登记'!S4</x:f>
        <x:v>50</x:v>
      </x:c>
      <x:c r="AA5" s="8"/>
      <x:c r="AB5" s="8" t="s">
        <x:v>158</x:v>
      </x:c>
      <x:c r="AC5" s="8" t="s">
        <x:v>159</x:v>
      </x:c>
      <x:c r="AD5" s="8" t="s">
        <x:v>160</x:v>
      </x:c>
      <x:c r="AE5" s="8"/>
      <x:c r="AF5" s="8"/>
      <x:c r="AG5" s="8" t="s">
        <x:v>161</x:v>
      </x:c>
      <x:c r="AH5" s="8" t="s">
        <x:v>162</x:v>
      </x:c>
      <x:c r="AI5" s="8" t="s">
        <x:v>163</x:v>
      </x:c>
      <x:c r="AJ5" s="8" t="s">
        <x:v>164</x:v>
      </x:c>
      <x:c r="AK5" s="8" t="s">
        <x:v>165</x:v>
      </x:c>
      <x:c r="AL5" s="8" t="s">
        <x:v>166</x:v>
      </x:c>
      <x:c r="AM5" s="8" t="s">
        <x:v>167</x:v>
      </x:c>
      <x:c r="AN5" s="8" t="s">
        <x:v>168</x:v>
      </x:c>
      <x:c r="AO5" s="8" t="s">
        <x:v>169</x:v>
      </x:c>
      <x:c r="AP5" s="8" t="s">
        <x:v>141</x:v>
      </x:c>
      <x:c r="AQ5" s="8" t="s">
        <x:v>142</x:v>
      </x:c>
      <x:c r="AR5" s="9" t="s">
        <x:v>170</x:v>
      </x:c>
    </x:row>
    <x:row r="6" ht="48" customHeight="1">
      <x:c r="A6" s="7" t="s">
        <x:v>171</x:v>
      </x:c>
      <x:c r="B6" s="34">
        <x:v>3</x:v>
      </x:c>
      <x:c r="C6" s="8" t="s">
        <x:v>145</x:v>
      </x:c>
      <x:c r="D6" s="8" t="s">
        <x:v>172</x:v>
      </x:c>
      <x:c r="E6" s="8" t="s">
        <x:v>147</x:v>
      </x:c>
      <x:c r="F6" s="8" t="s">
        <x:v>148</x:v>
      </x:c>
      <x:c r="G6" s="8" t="s">
        <x:v>173</x:v>
      </x:c>
      <x:c r="H6" s="8" t="s">
        <x:v>174</x:v>
      </x:c>
      <x:c r="I6" s="8" t="s">
        <x:v>151</x:v>
      </x:c>
      <x:c r="J6" s="8" t="s">
        <x:v>152</x:v>
      </x:c>
      <x:c r="K6" s="8" t="s">
        <x:v>151</x:v>
      </x:c>
      <x:c r="L6" s="8" t="s">
        <x:v>153</x:v>
      </x:c>
      <x:c r="M6" s="8" t="s">
        <x:v>175</x:v>
      </x:c>
      <x:c r="N6" s="8" t="s">
        <x:v>176</x:v>
      </x:c>
      <x:c r="O6" s="8" t="s">
        <x:v>177</x:v>
      </x:c>
      <x:c r="P6" s="8" t="s">
        <x:v>127</x:v>
      </x:c>
      <x:c r="Q6" s="8" t="s">
        <x:v>127</x:v>
      </x:c>
      <x:c r="R6" s="8" t="s">
        <x:v>178</x:v>
      </x:c>
      <x:c r="S6" s="8" t="s">
        <x:v>129</x:v>
      </x:c>
      <x:c r="T6" s="8" t="s">
        <x:v>179</x:v>
      </x:c>
      <x:c r="U6" s="15"/>
      <x:c r="V6" s="15">
        <x:v>50</x:v>
      </x:c>
      <x:c r="W6" s="15">
        <x:v>100</x:v>
      </x:c>
      <x:c r="X6" s="16" t="n">
        <x:f>'03_计算值登记'!D5</x:f>
        <x:v>50</x:v>
      </x:c>
      <x:c r="Y6" s="16"/>
      <x:c r="Z6" s="16" t="n">
        <x:f>'03_计算值登记'!S5</x:f>
        <x:v>100</x:v>
      </x:c>
      <x:c r="AA6" s="8"/>
      <x:c r="AB6" s="8" t="s">
        <x:v>180</x:v>
      </x:c>
      <x:c r="AC6" s="8" t="s">
        <x:v>159</x:v>
      </x:c>
      <x:c r="AD6" s="8"/>
      <x:c r="AE6" s="8" t="s">
        <x:v>181</x:v>
      </x:c>
      <x:c r="AF6" s="8"/>
      <x:c r="AG6" s="8"/>
      <x:c r="AH6" s="8" t="s">
        <x:v>182</x:v>
      </x:c>
      <x:c r="AI6" s="8" t="s">
        <x:v>183</x:v>
      </x:c>
      <x:c r="AJ6" s="8" t="s">
        <x:v>184</x:v>
      </x:c>
      <x:c r="AK6" s="8" t="s">
        <x:v>165</x:v>
      </x:c>
      <x:c r="AL6" s="8" t="s">
        <x:v>166</x:v>
      </x:c>
      <x:c r="AM6" s="8" t="s">
        <x:v>185</x:v>
      </x:c>
      <x:c r="AN6" s="8" t="s">
        <x:v>186</x:v>
      </x:c>
      <x:c r="AO6" s="8" t="s">
        <x:v>187</x:v>
      </x:c>
      <x:c r="AP6" s="8" t="s">
        <x:v>141</x:v>
      </x:c>
      <x:c r="AQ6" s="8" t="s">
        <x:v>142</x:v>
      </x:c>
      <x:c r="AR6" s="9" t="s">
        <x:v>170</x:v>
      </x:c>
    </x:row>
    <x:row r="7" ht="48" customHeight="1">
      <x:c r="A7" s="7" t="s">
        <x:v>188</x:v>
      </x:c>
      <x:c r="B7" s="34">
        <x:v>4</x:v>
      </x:c>
      <x:c r="C7" s="8" t="s">
        <x:v>189</x:v>
      </x:c>
      <x:c r="D7" s="8" t="s">
        <x:v>190</x:v>
      </x:c>
      <x:c r="E7" s="8" t="s">
        <x:v>190</x:v>
      </x:c>
      <x:c r="F7" s="8" t="s">
        <x:v>116</x:v>
      </x:c>
      <x:c r="G7" s="8" t="s">
        <x:v>191</x:v>
      </x:c>
      <x:c r="H7" s="8" t="s">
        <x:v>150</x:v>
      </x:c>
      <x:c r="I7" s="8" t="s">
        <x:v>192</x:v>
      </x:c>
      <x:c r="J7" s="8" t="s">
        <x:v>152</x:v>
      </x:c>
      <x:c r="K7" s="8" t="s">
        <x:v>192</x:v>
      </x:c>
      <x:c r="L7" s="8" t="s">
        <x:v>153</x:v>
      </x:c>
      <x:c r="M7" s="8" t="s">
        <x:v>193</x:v>
      </x:c>
      <x:c r="N7" s="8" t="s">
        <x:v>194</x:v>
      </x:c>
      <x:c r="O7" s="8" t="s">
        <x:v>195</x:v>
      </x:c>
      <x:c r="P7" s="8" t="s">
        <x:v>127</x:v>
      </x:c>
      <x:c r="Q7" s="8" t="s">
        <x:v>127</x:v>
      </x:c>
      <x:c r="R7" s="8" t="s">
        <x:v>157</x:v>
      </x:c>
      <x:c r="S7" s="8" t="s">
        <x:v>141</x:v>
      </x:c>
      <x:c r="T7" s="8" t="s">
        <x:v>129</x:v>
      </x:c>
      <x:c r="U7" s="15"/>
      <x:c r="V7" s="15"/>
      <x:c r="W7" s="15">
        <x:v>100</x:v>
      </x:c>
      <x:c r="X7" s="16" t="n">
        <x:f>'03_计算值登记'!D6</x:f>
        <x:v>100</x:v>
      </x:c>
      <x:c r="Y7" s="16" t="n">
        <x:f>'03_计算值登记'!F6</x:f>
        <x:v>0</x:v>
      </x:c>
      <x:c r="Z7" s="16" t="n">
        <x:f>'03_计算值登记'!S6</x:f>
        <x:v>100</x:v>
      </x:c>
      <x:c r="AA7" s="8"/>
      <x:c r="AB7" s="8" t="s">
        <x:v>196</x:v>
      </x:c>
      <x:c r="AC7" s="8" t="s">
        <x:v>159</x:v>
      </x:c>
      <x:c r="AD7" s="8" t="s">
        <x:v>197</x:v>
      </x:c>
      <x:c r="AE7" s="8" t="s">
        <x:v>160</x:v>
      </x:c>
      <x:c r="AF7" s="8" t="s">
        <x:v>198</x:v>
      </x:c>
      <x:c r="AG7" s="8"/>
      <x:c r="AH7" s="8" t="s">
        <x:v>199</x:v>
      </x:c>
      <x:c r="AI7" s="8" t="s">
        <x:v>200</x:v>
      </x:c>
      <x:c r="AJ7" s="8" t="s">
        <x:v>201</x:v>
      </x:c>
      <x:c r="AK7" s="8" t="s">
        <x:v>165</x:v>
      </x:c>
      <x:c r="AL7" s="8" t="s">
        <x:v>166</x:v>
      </x:c>
      <x:c r="AM7" s="8" t="s">
        <x:v>202</x:v>
      </x:c>
      <x:c r="AN7" s="8" t="s">
        <x:v>203</x:v>
      </x:c>
      <x:c r="AO7" s="8" t="s">
        <x:v>204</x:v>
      </x:c>
      <x:c r="AP7" s="8" t="s">
        <x:v>141</x:v>
      </x:c>
      <x:c r="AQ7" s="8" t="s">
        <x:v>142</x:v>
      </x:c>
      <x:c r="AR7" s="9"/>
    </x:row>
    <x:row r="8" ht="48" customHeight="1">
      <x:c r="A8" s="7" t="s">
        <x:v>205</x:v>
      </x:c>
      <x:c r="B8" s="34">
        <x:v>5</x:v>
      </x:c>
      <x:c r="C8" s="8" t="s">
        <x:v>206</x:v>
      </x:c>
      <x:c r="D8" s="8" t="s">
        <x:v>207</x:v>
      </x:c>
      <x:c r="E8" s="8" t="s">
        <x:v>207</x:v>
      </x:c>
      <x:c r="F8" s="8" t="s">
        <x:v>116</x:v>
      </x:c>
      <x:c r="G8" s="8" t="s">
        <x:v>208</x:v>
      </x:c>
      <x:c r="H8" s="8" t="s">
        <x:v>174</x:v>
      </x:c>
      <x:c r="I8" s="8" t="s">
        <x:v>209</x:v>
      </x:c>
      <x:c r="J8" s="8" t="s">
        <x:v>152</x:v>
      </x:c>
      <x:c r="K8" s="8" t="s">
        <x:v>209</x:v>
      </x:c>
      <x:c r="L8" s="8" t="s">
        <x:v>153</x:v>
      </x:c>
      <x:c r="M8" s="8" t="s">
        <x:v>210</x:v>
      </x:c>
      <x:c r="N8" s="8" t="s">
        <x:v>211</x:v>
      </x:c>
      <x:c r="O8" s="8" t="s">
        <x:v>195</x:v>
      </x:c>
      <x:c r="P8" s="8" t="s">
        <x:v>127</x:v>
      </x:c>
      <x:c r="Q8" s="8" t="s">
        <x:v>127</x:v>
      </x:c>
      <x:c r="R8" s="8" t="s">
        <x:v>212</x:v>
      </x:c>
      <x:c r="S8" s="8" t="s">
        <x:v>129</x:v>
      </x:c>
      <x:c r="T8" s="8" t="s">
        <x:v>129</x:v>
      </x:c>
      <x:c r="U8" s="15"/>
      <x:c r="V8" s="15">
        <x:v>28.204999999999998</x:v>
      </x:c>
      <x:c r="W8" s="15">
        <x:v>128.20500000000001</x:v>
      </x:c>
      <x:c r="X8" s="16" t="n">
        <x:f>'03_计算值登记'!D7</x:f>
        <x:v>100</x:v>
      </x:c>
      <x:c r="Y8" s="16"/>
      <x:c r="Z8" s="16" t="n">
        <x:f>'03_计算值登记'!S7</x:f>
        <x:v>128.205</x:v>
      </x:c>
      <x:c r="AA8" s="8"/>
      <x:c r="AB8" s="8" t="s">
        <x:v>213</x:v>
      </x:c>
      <x:c r="AC8" s="8" t="s">
        <x:v>159</x:v>
      </x:c>
      <x:c r="AD8" s="8" t="s">
        <x:v>214</x:v>
      </x:c>
      <x:c r="AE8" s="8"/>
      <x:c r="AF8" s="8"/>
      <x:c r="AG8" s="8"/>
      <x:c r="AH8" s="8" t="s">
        <x:v>215</x:v>
      </x:c>
      <x:c r="AI8" s="8" t="s">
        <x:v>216</x:v>
      </x:c>
      <x:c r="AJ8" s="8" t="s">
        <x:v>217</x:v>
      </x:c>
      <x:c r="AK8" s="8" t="s">
        <x:v>165</x:v>
      </x:c>
      <x:c r="AL8" s="8" t="s">
        <x:v>166</x:v>
      </x:c>
      <x:c r="AM8" s="8" t="s">
        <x:v>218</x:v>
      </x:c>
      <x:c r="AN8" s="8" t="s">
        <x:v>219</x:v>
      </x:c>
      <x:c r="AO8" s="8" t="s">
        <x:v>220</x:v>
      </x:c>
      <x:c r="AP8" s="8" t="s">
        <x:v>141</x:v>
      </x:c>
      <x:c r="AQ8" s="8" t="s">
        <x:v>142</x:v>
      </x:c>
      <x:c r="AR8" s="9"/>
    </x:row>
    <x:row r="9" ht="48" customHeight="1">
      <x:c r="A9" s="7" t="s">
        <x:v>221</x:v>
      </x:c>
      <x:c r="B9" s="34">
        <x:v>6</x:v>
      </x:c>
      <x:c r="C9" s="8" t="s">
        <x:v>222</x:v>
      </x:c>
      <x:c r="D9" s="8" t="s">
        <x:v>223</x:v>
      </x:c>
      <x:c r="E9" s="8" t="s">
        <x:v>223</x:v>
      </x:c>
      <x:c r="F9" s="8" t="s">
        <x:v>116</x:v>
      </x:c>
      <x:c r="G9" s="8" t="s">
        <x:v>224</x:v>
      </x:c>
      <x:c r="H9" s="8" t="s">
        <x:v>174</x:v>
      </x:c>
      <x:c r="I9" s="8" t="s">
        <x:v>225</x:v>
      </x:c>
      <x:c r="J9" s="8" t="s">
        <x:v>152</x:v>
      </x:c>
      <x:c r="K9" s="8" t="s">
        <x:v>225</x:v>
      </x:c>
      <x:c r="L9" s="8" t="s">
        <x:v>153</x:v>
      </x:c>
      <x:c r="M9" s="8" t="s">
        <x:v>226</x:v>
      </x:c>
      <x:c r="N9" s="8" t="s">
        <x:v>227</x:v>
      </x:c>
      <x:c r="O9" s="8" t="s">
        <x:v>195</x:v>
      </x:c>
      <x:c r="P9" s="8" t="s">
        <x:v>127</x:v>
      </x:c>
      <x:c r="Q9" s="8" t="s">
        <x:v>127</x:v>
      </x:c>
      <x:c r="R9" s="8" t="s">
        <x:v>212</x:v>
      </x:c>
      <x:c r="S9" s="8" t="s">
        <x:v>129</x:v>
      </x:c>
      <x:c r="T9" s="8" t="s">
        <x:v>179</x:v>
      </x:c>
      <x:c r="U9" s="15"/>
      <x:c r="V9" s="15">
        <x:v>8.7871400000000008</x:v>
      </x:c>
      <x:c r="W9" s="15">
        <x:v>136.9864</x:v>
      </x:c>
      <x:c r="X9" s="16" t="n">
        <x:f>'03_计算值登记'!D8</x:f>
        <x:v>128.205</x:v>
      </x:c>
      <x:c r="Y9" s="16"/>
      <x:c r="Z9" s="16" t="n">
        <x:f>'03_计算值登记'!S8</x:f>
        <x:v>136.99214</x:v>
      </x:c>
      <x:c r="AA9" s="8"/>
      <x:c r="AB9" s="8" t="s">
        <x:v>228</x:v>
      </x:c>
      <x:c r="AC9" s="8" t="str">
        <x:v>阶段五已验收／待阶段七校验</x:v>
      </x:c>
      <x:c r="AD9" s="8"/>
      <x:c r="AE9" s="8" t="s">
        <x:v>214</x:v>
      </x:c>
      <x:c r="AF9" s="8"/>
      <x:c r="AG9" s="8"/>
      <x:c r="AH9" s="8" t="s">
        <x:v>229</x:v>
      </x:c>
      <x:c r="AI9" s="8" t="s">
        <x:v>230</x:v>
      </x:c>
      <x:c r="AJ9" s="8" t="s">
        <x:v>231</x:v>
      </x:c>
      <x:c r="AK9" s="8" t="s">
        <x:v>165</x:v>
      </x:c>
      <x:c r="AL9" s="8" t="s">
        <x:v>166</x:v>
      </x:c>
      <x:c r="AM9" s="8" t="s">
        <x:v>232</x:v>
      </x:c>
      <x:c r="AN9" s="8" t="s">
        <x:v>233</x:v>
      </x:c>
      <x:c r="AO9" s="8" t="s">
        <x:v>234</x:v>
      </x:c>
      <x:c r="AP9" s="8" t="s">
        <x:v>141</x:v>
      </x:c>
      <x:c r="AQ9" s="8" t="s">
        <x:v>142</x:v>
      </x:c>
      <x:c r="AR9" s="9" t="str">
        <x:v>阶段五已确认保留全部原文披露值，不作静默修正；0.00574万元差异转入阶段七正式校验。</x:v>
      </x:c>
    </x:row>
    <x:row r="10" ht="48" customHeight="1">
      <x:c r="A10" s="7" t="s">
        <x:v>235</x:v>
      </x:c>
      <x:c r="B10" s="34">
        <x:v>7</x:v>
      </x:c>
      <x:c r="C10" s="8" t="s">
        <x:v>236</x:v>
      </x:c>
      <x:c r="D10" s="8" t="s">
        <x:v>237</x:v>
      </x:c>
      <x:c r="E10" s="8" t="s">
        <x:v>237</x:v>
      </x:c>
      <x:c r="F10" s="8" t="s">
        <x:v>116</x:v>
      </x:c>
      <x:c r="G10" s="8" t="s">
        <x:v>238</x:v>
      </x:c>
      <x:c r="H10" s="8" t="s">
        <x:v>239</x:v>
      </x:c>
      <x:c r="I10" s="8" t="s">
        <x:v>240</x:v>
      </x:c>
      <x:c r="J10" s="8" t="s">
        <x:v>152</x:v>
      </x:c>
      <x:c r="K10" s="8" t="s">
        <x:v>240</x:v>
      </x:c>
      <x:c r="L10" s="8" t="s">
        <x:v>153</x:v>
      </x:c>
      <x:c r="M10" s="8" t="s">
        <x:v>241</x:v>
      </x:c>
      <x:c r="N10" s="8" t="s">
        <x:v>242</x:v>
      </x:c>
      <x:c r="O10" s="8" t="s">
        <x:v>195</x:v>
      </x:c>
      <x:c r="P10" s="8" t="s">
        <x:v>127</x:v>
      </x:c>
      <x:c r="Q10" s="8" t="s">
        <x:v>127</x:v>
      </x:c>
      <x:c r="R10" s="8" t="s">
        <x:v>243</x:v>
      </x:c>
      <x:c r="S10" s="8" t="s">
        <x:v>129</x:v>
      </x:c>
      <x:c r="T10" s="8" t="s">
        <x:v>244</x:v>
      </x:c>
      <x:c r="U10" s="15"/>
      <x:c r="V10" s="15"/>
      <x:c r="W10" s="15">
        <x:v>2000</x:v>
      </x:c>
      <x:c r="X10" s="16" t="n">
        <x:f>'03_计算值登记'!D9</x:f>
        <x:v>136.9864</x:v>
      </x:c>
      <x:c r="Y10" s="16" t="n">
        <x:f>'03_计算值登记'!S9</x:f>
        <x:v>1863.0136</x:v>
      </x:c>
      <x:c r="Z10" s="16"/>
      <x:c r="AA10" s="8"/>
      <x:c r="AB10" s="8" t="s">
        <x:v>245</x:v>
      </x:c>
      <x:c r="AC10" s="8" t="s">
        <x:v>159</x:v>
      </x:c>
      <x:c r="AD10" s="8"/>
      <x:c r="AE10" s="8" t="s">
        <x:v>246</x:v>
      </x:c>
      <x:c r="AF10" s="8"/>
      <x:c r="AG10" s="8"/>
      <x:c r="AH10" s="8" t="s">
        <x:v>247</x:v>
      </x:c>
      <x:c r="AI10" s="8" t="s">
        <x:v>248</x:v>
      </x:c>
      <x:c r="AJ10" s="8" t="s">
        <x:v>249</x:v>
      </x:c>
      <x:c r="AK10" s="8" t="s">
        <x:v>165</x:v>
      </x:c>
      <x:c r="AL10" s="8" t="s">
        <x:v>166</x:v>
      </x:c>
      <x:c r="AM10" s="8" t="s">
        <x:v>250</x:v>
      </x:c>
      <x:c r="AN10" s="8" t="s">
        <x:v>251</x:v>
      </x:c>
      <x:c r="AO10" s="8" t="s">
        <x:v>252</x:v>
      </x:c>
      <x:c r="AP10" s="8" t="s">
        <x:v>141</x:v>
      </x:c>
      <x:c r="AQ10" s="8" t="s">
        <x:v>142</x:v>
      </x:c>
      <x:c r="AR10" s="9"/>
    </x:row>
    <x:row r="11" ht="48" customHeight="1">
      <x:c r="A11" s="7" t="s">
        <x:v>253</x:v>
      </x:c>
      <x:c r="B11" s="34">
        <x:v>8</x:v>
      </x:c>
      <x:c r="C11" s="8" t="s">
        <x:v>254</x:v>
      </x:c>
      <x:c r="D11" s="8" t="s">
        <x:v>255</x:v>
      </x:c>
      <x:c r="E11" s="8" t="s">
        <x:v>255</x:v>
      </x:c>
      <x:c r="F11" s="8" t="s">
        <x:v>116</x:v>
      </x:c>
      <x:c r="G11" s="8" t="s">
        <x:v>256</x:v>
      </x:c>
      <x:c r="H11" s="8" t="s">
        <x:v>174</x:v>
      </x:c>
      <x:c r="I11" s="8" t="s">
        <x:v>257</x:v>
      </x:c>
      <x:c r="J11" s="8" t="s">
        <x:v>152</x:v>
      </x:c>
      <x:c r="K11" s="8" t="s">
        <x:v>257</x:v>
      </x:c>
      <x:c r="L11" s="8" t="s">
        <x:v>153</x:v>
      </x:c>
      <x:c r="M11" s="8" t="s">
        <x:v>258</x:v>
      </x:c>
      <x:c r="N11" s="8" t="s">
        <x:v>259</x:v>
      </x:c>
      <x:c r="O11" s="8" t="s">
        <x:v>195</x:v>
      </x:c>
      <x:c r="P11" s="8" t="s">
        <x:v>127</x:v>
      </x:c>
      <x:c r="Q11" s="8" t="s">
        <x:v>127</x:v>
      </x:c>
      <x:c r="R11" s="8" t="s">
        <x:v>212</x:v>
      </x:c>
      <x:c r="S11" s="8" t="s">
        <x:v>129</x:v>
      </x:c>
      <x:c r="T11" s="8" t="s">
        <x:v>129</x:v>
      </x:c>
      <x:c r="U11" s="15"/>
      <x:c r="V11" s="15">
        <x:v>158.27330000000001</x:v>
      </x:c>
      <x:c r="W11" s="15">
        <x:v>2158.2732999999998</x:v>
      </x:c>
      <x:c r="X11" s="16" t="n">
        <x:f>'03_计算值登记'!D10</x:f>
        <x:v>2000</x:v>
      </x:c>
      <x:c r="Y11" s="16"/>
      <x:c r="Z11" s="16" t="n">
        <x:f>'03_计算值登记'!S10</x:f>
        <x:v>2158.2733</x:v>
      </x:c>
      <x:c r="AA11" s="8"/>
      <x:c r="AB11" s="8" t="s">
        <x:v>260</x:v>
      </x:c>
      <x:c r="AC11" s="8" t="s">
        <x:v>159</x:v>
      </x:c>
      <x:c r="AD11" s="8" t="s">
        <x:v>261</x:v>
      </x:c>
      <x:c r="AE11" s="8" t="s">
        <x:v>262</x:v>
      </x:c>
      <x:c r="AF11" s="8"/>
      <x:c r="AG11" s="8"/>
      <x:c r="AH11" s="8" t="s">
        <x:v>263</x:v>
      </x:c>
      <x:c r="AI11" s="8" t="s">
        <x:v>264</x:v>
      </x:c>
      <x:c r="AJ11" s="8" t="s">
        <x:v>265</x:v>
      </x:c>
      <x:c r="AK11" s="8" t="s">
        <x:v>266</x:v>
      </x:c>
      <x:c r="AL11" s="8" t="s">
        <x:v>165</x:v>
      </x:c>
      <x:c r="AM11" s="8" t="s">
        <x:v>267</x:v>
      </x:c>
      <x:c r="AN11" s="8" t="s">
        <x:v>268</x:v>
      </x:c>
      <x:c r="AO11" s="8" t="s">
        <x:v>269</x:v>
      </x:c>
      <x:c r="AP11" s="8" t="s">
        <x:v>141</x:v>
      </x:c>
      <x:c r="AQ11" s="8" t="s">
        <x:v>142</x:v>
      </x:c>
      <x:c r="AR11" s="9"/>
    </x:row>
    <x:row r="12" ht="48" customHeight="1">
      <x:c r="A12" s="7" t="s">
        <x:v>270</x:v>
      </x:c>
      <x:c r="B12" s="34">
        <x:v>9</x:v>
      </x:c>
      <x:c r="C12" s="8" t="s">
        <x:v>271</x:v>
      </x:c>
      <x:c r="D12" s="8" t="s">
        <x:v>272</x:v>
      </x:c>
      <x:c r="E12" s="8" t="s">
        <x:v>272</x:v>
      </x:c>
      <x:c r="F12" s="8" t="s">
        <x:v>116</x:v>
      </x:c>
      <x:c r="G12" s="8" t="s">
        <x:v>273</x:v>
      </x:c>
      <x:c r="H12" s="8" t="s">
        <x:v>274</x:v>
      </x:c>
      <x:c r="I12" s="8" t="s">
        <x:v>275</x:v>
      </x:c>
      <x:c r="J12" s="8" t="s">
        <x:v>120</x:v>
      </x:c>
      <x:c r="K12" s="8" t="s">
        <x:v>276</x:v>
      </x:c>
      <x:c r="L12" s="8" t="s">
        <x:v>277</x:v>
      </x:c>
      <x:c r="M12" s="8" t="s">
        <x:v>278</x:v>
      </x:c>
      <x:c r="N12" s="8" t="s">
        <x:v>279</x:v>
      </x:c>
      <x:c r="O12" s="8" t="s">
        <x:v>280</x:v>
      </x:c>
      <x:c r="P12" s="8" t="s">
        <x:v>127</x:v>
      </x:c>
      <x:c r="Q12" s="8" t="s">
        <x:v>281</x:v>
      </x:c>
      <x:c r="R12" s="8" t="s">
        <x:v>282</x:v>
      </x:c>
      <x:c r="S12" s="8" t="s">
        <x:v>129</x:v>
      </x:c>
      <x:c r="T12" s="8" t="s">
        <x:v>283</x:v>
      </x:c>
      <x:c r="U12" s="15"/>
      <x:c r="V12" s="15"/>
      <x:c r="W12" s="15">
        <x:v>4000</x:v>
      </x:c>
      <x:c r="X12" s="16" t="s">
        <x:v>284</x:v>
      </x:c>
      <x:c r="Y12" s="16"/>
      <x:c r="Z12" s="16"/>
      <x:c r="AA12" s="8"/>
      <x:c r="AB12" s="8"/>
      <x:c r="AC12" s="8" t="s">
        <x:v>285</x:v>
      </x:c>
      <x:c r="AD12" s="8"/>
      <x:c r="AE12" s="8"/>
      <x:c r="AF12" s="8"/>
      <x:c r="AG12" s="8"/>
      <x:c r="AH12" s="8" t="s">
        <x:v>286</x:v>
      </x:c>
      <x:c r="AI12" s="8" t="s">
        <x:v>287</x:v>
      </x:c>
      <x:c r="AJ12" s="8" t="s">
        <x:v>288</x:v>
      </x:c>
      <x:c r="AK12" s="8" t="s">
        <x:v>289</x:v>
      </x:c>
      <x:c r="AL12" s="8" t="s">
        <x:v>290</x:v>
      </x:c>
      <x:c r="AM12" s="8" t="s">
        <x:v>291</x:v>
      </x:c>
      <x:c r="AN12" s="8" t="s">
        <x:v>292</x:v>
      </x:c>
      <x:c r="AO12" s="8" t="s">
        <x:v>293</x:v>
      </x:c>
      <x:c r="AP12" s="8" t="s">
        <x:v>141</x:v>
      </x:c>
      <x:c r="AQ12" s="8" t="s">
        <x:v>142</x:v>
      </x:c>
      <x:c r="AR12" s="9" t="s">
        <x:v>294</x:v>
      </x:c>
    </x:row>
    <x:row r="13" ht="48" customHeight="1">
      <x:c r="A13" s="7" t="s">
        <x:v>295</x:v>
      </x:c>
      <x:c r="B13" s="34">
        <x:v>10</x:v>
      </x:c>
      <x:c r="C13" s="8" t="s">
        <x:v>296</x:v>
      </x:c>
      <x:c r="D13" s="8" t="s">
        <x:v>297</x:v>
      </x:c>
      <x:c r="E13" s="8" t="s">
        <x:v>297</x:v>
      </x:c>
      <x:c r="F13" s="8" t="s">
        <x:v>116</x:v>
      </x:c>
      <x:c r="G13" s="8" t="s">
        <x:v>298</x:v>
      </x:c>
      <x:c r="H13" s="8" t="s">
        <x:v>299</x:v>
      </x:c>
      <x:c r="I13" s="8" t="s">
        <x:v>300</x:v>
      </x:c>
      <x:c r="J13" s="8" t="s">
        <x:v>301</x:v>
      </x:c>
      <x:c r="K13" s="8" t="s">
        <x:v>302</x:v>
      </x:c>
      <x:c r="L13" s="8" t="s">
        <x:v>303</x:v>
      </x:c>
      <x:c r="M13" s="8" t="s">
        <x:v>304</x:v>
      </x:c>
      <x:c r="N13" s="8" t="s">
        <x:v>305</x:v>
      </x:c>
      <x:c r="O13" s="8" t="s">
        <x:v>306</x:v>
      </x:c>
      <x:c r="P13" s="8" t="s">
        <x:v>281</x:v>
      </x:c>
      <x:c r="Q13" s="8" t="s">
        <x:v>281</x:v>
      </x:c>
      <x:c r="R13" s="8" t="s">
        <x:v>307</x:v>
      </x:c>
      <x:c r="S13" s="8" t="s">
        <x:v>141</x:v>
      </x:c>
      <x:c r="T13" s="8" t="s">
        <x:v>129</x:v>
      </x:c>
      <x:c r="U13" s="15"/>
      <x:c r="V13" s="15"/>
      <x:c r="W13" s="15"/>
      <x:c r="X13" s="16" t="n">
        <x:f>'03_计算值登记'!D11</x:f>
        <x:v>4000</x:v>
      </x:c>
      <x:c r="Y13" s="16" t="n">
        <x:f>'03_计算值登记'!F11</x:f>
        <x:v>0</x:v>
      </x:c>
      <x:c r="Z13" s="16" t="n">
        <x:f>'03_计算值登记'!S11</x:f>
        <x:v>4000</x:v>
      </x:c>
      <x:c r="AA13" s="8"/>
      <x:c r="AB13" s="8" t="s">
        <x:v>308</x:v>
      </x:c>
      <x:c r="AC13" s="8" t="s">
        <x:v>159</x:v>
      </x:c>
      <x:c r="AD13" s="8" t="s">
        <x:v>309</x:v>
      </x:c>
      <x:c r="AE13" s="8"/>
      <x:c r="AF13" s="8"/>
      <x:c r="AG13" s="8" t="s">
        <x:v>310</x:v>
      </x:c>
      <x:c r="AH13" s="8" t="s">
        <x:v>311</x:v>
      </x:c>
      <x:c r="AI13" s="8" t="s">
        <x:v>312</x:v>
      </x:c>
      <x:c r="AJ13" s="8" t="s">
        <x:v>313</x:v>
      </x:c>
      <x:c r="AK13" s="8" t="s">
        <x:v>314</x:v>
      </x:c>
      <x:c r="AL13" s="8" t="s">
        <x:v>315</x:v>
      </x:c>
      <x:c r="AM13" s="8" t="s">
        <x:v>316</x:v>
      </x:c>
      <x:c r="AN13" s="8" t="s">
        <x:v>317</x:v>
      </x:c>
      <x:c r="AO13" s="8" t="s">
        <x:v>318</x:v>
      </x:c>
      <x:c r="AP13" s="8" t="s">
        <x:v>141</x:v>
      </x:c>
      <x:c r="AQ13" s="8" t="s">
        <x:v>142</x:v>
      </x:c>
      <x:c r="AR13" s="9"/>
    </x:row>
    <x:row r="14" ht="48" customHeight="1">
      <x:c r="A14" s="7" t="s">
        <x:v>319</x:v>
      </x:c>
      <x:c r="B14" s="34">
        <x:v>11</x:v>
      </x:c>
      <x:c r="C14" s="8" t="s">
        <x:v>320</x:v>
      </x:c>
      <x:c r="D14" s="8" t="s">
        <x:v>321</x:v>
      </x:c>
      <x:c r="E14" s="8" t="s">
        <x:v>322</x:v>
      </x:c>
      <x:c r="F14" s="8" t="s">
        <x:v>148</x:v>
      </x:c>
      <x:c r="G14" s="8" t="s">
        <x:v>323</x:v>
      </x:c>
      <x:c r="H14" s="8" t="s">
        <x:v>174</x:v>
      </x:c>
      <x:c r="I14" s="8" t="s">
        <x:v>324</x:v>
      </x:c>
      <x:c r="J14" s="8" t="s">
        <x:v>120</x:v>
      </x:c>
      <x:c r="K14" s="8" t="s">
        <x:v>325</x:v>
      </x:c>
      <x:c r="L14" s="8" t="s">
        <x:v>326</x:v>
      </x:c>
      <x:c r="M14" s="8" t="s">
        <x:v>327</x:v>
      </x:c>
      <x:c r="N14" s="8" t="s">
        <x:v>328</x:v>
      </x:c>
      <x:c r="O14" s="8" t="s">
        <x:v>329</x:v>
      </x:c>
      <x:c r="P14" s="8" t="s">
        <x:v>281</x:v>
      </x:c>
      <x:c r="Q14" s="8" t="s">
        <x:v>281</x:v>
      </x:c>
      <x:c r="R14" s="8" t="s">
        <x:v>330</x:v>
      </x:c>
      <x:c r="S14" s="8" t="s">
        <x:v>129</x:v>
      </x:c>
      <x:c r="T14" s="8" t="s">
        <x:v>129</x:v>
      </x:c>
      <x:c r="U14" s="15"/>
      <x:c r="V14" s="15"/>
      <x:c r="W14" s="15"/>
      <x:c r="X14" s="16" t="n">
        <x:f>'03_计算值登记'!D15</x:f>
        <x:v>4000</x:v>
      </x:c>
      <x:c r="Y14" s="16" t="n">
        <x:f>'03_计算值登记'!S12</x:f>
        <x:v>515</x:v>
      </x:c>
      <x:c r="Z14" s="16"/>
      <x:c r="AA14" s="8"/>
      <x:c r="AB14" s="8" t="s">
        <x:v>331</x:v>
      </x:c>
      <x:c r="AC14" s="8" t="s">
        <x:v>332</x:v>
      </x:c>
      <x:c r="AD14" s="8" t="s">
        <x:v>333</x:v>
      </x:c>
      <x:c r="AE14" s="8"/>
      <x:c r="AF14" s="8"/>
      <x:c r="AG14" s="8"/>
      <x:c r="AH14" s="8" t="s">
        <x:v>334</x:v>
      </x:c>
      <x:c r="AI14" s="8" t="s">
        <x:v>335</x:v>
      </x:c>
      <x:c r="AJ14" s="8" t="s">
        <x:v>336</x:v>
      </x:c>
      <x:c r="AK14" s="8" t="s">
        <x:v>337</x:v>
      </x:c>
      <x:c r="AL14" s="8" t="s">
        <x:v>338</x:v>
      </x:c>
      <x:c r="AM14" s="8" t="s">
        <x:v>339</x:v>
      </x:c>
      <x:c r="AN14" s="8" t="s">
        <x:v>340</x:v>
      </x:c>
      <x:c r="AO14" s="8" t="s">
        <x:v>341</x:v>
      </x:c>
      <x:c r="AP14" s="8" t="s">
        <x:v>141</x:v>
      </x:c>
      <x:c r="AQ14" s="8" t="s">
        <x:v>142</x:v>
      </x:c>
      <x:c r="AR14" s="9" t="s">
        <x:v>342</x:v>
      </x:c>
    </x:row>
    <x:row r="15" ht="48" customHeight="1">
      <x:c r="A15" s="7" t="s">
        <x:v>343</x:v>
      </x:c>
      <x:c r="B15" s="34">
        <x:v>12</x:v>
      </x:c>
      <x:c r="C15" s="8" t="s">
        <x:v>320</x:v>
      </x:c>
      <x:c r="D15" s="8" t="s">
        <x:v>344</x:v>
      </x:c>
      <x:c r="E15" s="8" t="s">
        <x:v>322</x:v>
      </x:c>
      <x:c r="F15" s="8" t="s">
        <x:v>148</x:v>
      </x:c>
      <x:c r="G15" s="8" t="s">
        <x:v>345</x:v>
      </x:c>
      <x:c r="H15" s="8" t="s">
        <x:v>346</x:v>
      </x:c>
      <x:c r="I15" s="8" t="s">
        <x:v>347</x:v>
      </x:c>
      <x:c r="J15" s="8" t="s">
        <x:v>120</x:v>
      </x:c>
      <x:c r="K15" s="8" t="s">
        <x:v>348</x:v>
      </x:c>
      <x:c r="L15" s="8" t="s">
        <x:v>349</x:v>
      </x:c>
      <x:c r="M15" s="8" t="s">
        <x:v>350</x:v>
      </x:c>
      <x:c r="N15" s="8" t="s">
        <x:v>351</x:v>
      </x:c>
      <x:c r="O15" s="8" t="s">
        <x:v>329</x:v>
      </x:c>
      <x:c r="P15" s="8" t="s">
        <x:v>281</x:v>
      </x:c>
      <x:c r="Q15" s="8" t="s">
        <x:v>281</x:v>
      </x:c>
      <x:c r="R15" s="8" t="s">
        <x:v>352</x:v>
      </x:c>
      <x:c r="S15" s="8" t="s">
        <x:v>129</x:v>
      </x:c>
      <x:c r="T15" s="8" t="s">
        <x:v>129</x:v>
      </x:c>
      <x:c r="U15" s="15"/>
      <x:c r="V15" s="15"/>
      <x:c r="W15" s="15"/>
      <x:c r="X15" s="16" t="n">
        <x:f>'03_计算值登记'!D15</x:f>
        <x:v>4000</x:v>
      </x:c>
      <x:c r="Y15" s="16" t="n">
        <x:f>'03_计算值登记'!S13</x:f>
        <x:v>120</x:v>
      </x:c>
      <x:c r="Z15" s="16"/>
      <x:c r="AA15" s="8"/>
      <x:c r="AB15" s="8" t="s">
        <x:v>353</x:v>
      </x:c>
      <x:c r="AC15" s="8" t="s">
        <x:v>332</x:v>
      </x:c>
      <x:c r="AD15" s="8" t="s">
        <x:v>354</x:v>
      </x:c>
      <x:c r="AE15" s="8"/>
      <x:c r="AF15" s="8"/>
      <x:c r="AG15" s="8"/>
      <x:c r="AH15" s="8" t="s">
        <x:v>355</x:v>
      </x:c>
      <x:c r="AI15" s="8" t="s">
        <x:v>356</x:v>
      </x:c>
      <x:c r="AJ15" s="8" t="s">
        <x:v>357</x:v>
      </x:c>
      <x:c r="AK15" s="8" t="s">
        <x:v>358</x:v>
      </x:c>
      <x:c r="AL15" s="8" t="s">
        <x:v>359</x:v>
      </x:c>
      <x:c r="AM15" s="8" t="s">
        <x:v>360</x:v>
      </x:c>
      <x:c r="AN15" s="8" t="s">
        <x:v>361</x:v>
      </x:c>
      <x:c r="AO15" s="8" t="s">
        <x:v>362</x:v>
      </x:c>
      <x:c r="AP15" s="8" t="s">
        <x:v>141</x:v>
      </x:c>
      <x:c r="AQ15" s="8" t="s">
        <x:v>142</x:v>
      </x:c>
      <x:c r="AR15" s="9" t="s">
        <x:v>342</x:v>
      </x:c>
    </x:row>
    <x:row r="16" ht="48" customHeight="1">
      <x:c r="A16" s="7" t="s">
        <x:v>363</x:v>
      </x:c>
      <x:c r="B16" s="34">
        <x:v>13</x:v>
      </x:c>
      <x:c r="C16" s="8" t="s">
        <x:v>320</x:v>
      </x:c>
      <x:c r="D16" s="8" t="s">
        <x:v>364</x:v>
      </x:c>
      <x:c r="E16" s="8" t="s">
        <x:v>322</x:v>
      </x:c>
      <x:c r="F16" s="8" t="s">
        <x:v>148</x:v>
      </x:c>
      <x:c r="G16" s="8" t="s">
        <x:v>365</x:v>
      </x:c>
      <x:c r="H16" s="8" t="s">
        <x:v>299</x:v>
      </x:c>
      <x:c r="I16" s="8" t="s">
        <x:v>324</x:v>
      </x:c>
      <x:c r="J16" s="8" t="s">
        <x:v>366</x:v>
      </x:c>
      <x:c r="K16" s="8" t="s">
        <x:v>367</x:v>
      </x:c>
      <x:c r="L16" s="8" t="s">
        <x:v>368</x:v>
      </x:c>
      <x:c r="M16" s="8" t="s">
        <x:v>369</x:v>
      </x:c>
      <x:c r="N16" s="8" t="s">
        <x:v>370</x:v>
      </x:c>
      <x:c r="O16" s="8" t="s">
        <x:v>329</x:v>
      </x:c>
      <x:c r="P16" s="8" t="s">
        <x:v>281</x:v>
      </x:c>
      <x:c r="Q16" s="8" t="s">
        <x:v>281</x:v>
      </x:c>
      <x:c r="R16" s="8" t="s">
        <x:v>307</x:v>
      </x:c>
      <x:c r="S16" s="8" t="s">
        <x:v>141</x:v>
      </x:c>
      <x:c r="T16" s="8" t="s">
        <x:v>129</x:v>
      </x:c>
      <x:c r="U16" s="15"/>
      <x:c r="V16" s="15"/>
      <x:c r="W16" s="15"/>
      <x:c r="X16" s="16" t="s">
        <x:v>131</x:v>
      </x:c>
      <x:c r="Y16" s="16"/>
      <x:c r="Z16" s="16"/>
      <x:c r="AA16" s="8"/>
      <x:c r="AB16" s="8" t="s">
        <x:v>371</x:v>
      </x:c>
      <x:c r="AC16" s="8" t="s">
        <x:v>372</x:v>
      </x:c>
      <x:c r="AD16" s="8" t="s">
        <x:v>373</x:v>
      </x:c>
      <x:c r="AE16" s="8"/>
      <x:c r="AF16" s="8" t="s">
        <x:v>181</x:v>
      </x:c>
      <x:c r="AG16" s="8"/>
      <x:c r="AH16" s="8" t="s">
        <x:v>374</x:v>
      </x:c>
      <x:c r="AI16" s="8" t="s">
        <x:v>375</x:v>
      </x:c>
      <x:c r="AJ16" s="8" t="s">
        <x:v>376</x:v>
      </x:c>
      <x:c r="AK16" s="8" t="s">
        <x:v>377</x:v>
      </x:c>
      <x:c r="AL16" s="8" t="s">
        <x:v>378</x:v>
      </x:c>
      <x:c r="AM16" s="8" t="s">
        <x:v>379</x:v>
      </x:c>
      <x:c r="AN16" s="8" t="s">
        <x:v>380</x:v>
      </x:c>
      <x:c r="AO16" s="8" t="s">
        <x:v>381</x:v>
      </x:c>
      <x:c r="AP16" s="8" t="s">
        <x:v>141</x:v>
      </x:c>
      <x:c r="AQ16" s="8" t="s">
        <x:v>142</x:v>
      </x:c>
      <x:c r="AR16" s="9" t="s">
        <x:v>342</x:v>
      </x:c>
    </x:row>
    <x:row r="17" ht="48" customHeight="1">
      <x:c r="A17" s="7" t="s">
        <x:v>382</x:v>
      </x:c>
      <x:c r="B17" s="34">
        <x:v>14</x:v>
      </x:c>
      <x:c r="C17" s="8" t="s">
        <x:v>383</x:v>
      </x:c>
      <x:c r="D17" s="8" t="s">
        <x:v>384</x:v>
      </x:c>
      <x:c r="E17" s="8" t="s">
        <x:v>384</x:v>
      </x:c>
      <x:c r="F17" s="8" t="s">
        <x:v>116</x:v>
      </x:c>
      <x:c r="G17" s="8" t="s">
        <x:v>385</x:v>
      </x:c>
      <x:c r="H17" s="8" t="s">
        <x:v>386</x:v>
      </x:c>
      <x:c r="I17" s="8" t="s">
        <x:v>387</x:v>
      </x:c>
      <x:c r="J17" s="8" t="s">
        <x:v>120</x:v>
      </x:c>
      <x:c r="K17" s="8" t="s">
        <x:v>388</x:v>
      </x:c>
      <x:c r="L17" s="8" t="s">
        <x:v>303</x:v>
      </x:c>
      <x:c r="M17" s="8" t="s">
        <x:v>389</x:v>
      </x:c>
      <x:c r="N17" s="8" t="s">
        <x:v>390</x:v>
      </x:c>
      <x:c r="O17" s="8" t="s">
        <x:v>391</x:v>
      </x:c>
      <x:c r="P17" s="8" t="s">
        <x:v>281</x:v>
      </x:c>
      <x:c r="Q17" s="8" t="s">
        <x:v>281</x:v>
      </x:c>
      <x:c r="R17" s="8" t="s">
        <x:v>307</x:v>
      </x:c>
      <x:c r="S17" s="8" t="s">
        <x:v>141</x:v>
      </x:c>
      <x:c r="T17" s="8" t="s">
        <x:v>179</x:v>
      </x:c>
      <x:c r="U17" s="15"/>
      <x:c r="V17" s="15"/>
      <x:c r="W17" s="15"/>
      <x:c r="X17" s="16" t="n">
        <x:f>'03_计算值登记'!D16</x:f>
        <x:v>4635</x:v>
      </x:c>
      <x:c r="Y17" s="16" t="n">
        <x:f>'03_计算值登记'!F16</x:f>
        <x:v>0</x:v>
      </x:c>
      <x:c r="Z17" s="16" t="n">
        <x:f>'03_计算值登记'!S16</x:f>
        <x:v>4635</x:v>
      </x:c>
      <x:c r="AA17" s="8"/>
      <x:c r="AB17" s="8" t="s">
        <x:v>392</x:v>
      </x:c>
      <x:c r="AC17" s="8" t="s">
        <x:v>159</x:v>
      </x:c>
      <x:c r="AD17" s="8"/>
      <x:c r="AE17" s="8" t="s">
        <x:v>393</x:v>
      </x:c>
      <x:c r="AF17" s="8" t="s">
        <x:v>197</x:v>
      </x:c>
      <x:c r="AG17" s="8"/>
      <x:c r="AH17" s="8" t="s">
        <x:v>394</x:v>
      </x:c>
      <x:c r="AI17" s="8" t="s">
        <x:v>395</x:v>
      </x:c>
      <x:c r="AJ17" s="8" t="s">
        <x:v>396</x:v>
      </x:c>
      <x:c r="AK17" s="8" t="s">
        <x:v>397</x:v>
      </x:c>
      <x:c r="AL17" s="8" t="s">
        <x:v>358</x:v>
      </x:c>
      <x:c r="AM17" s="8" t="s">
        <x:v>398</x:v>
      </x:c>
      <x:c r="AN17" s="8" t="s">
        <x:v>399</x:v>
      </x:c>
      <x:c r="AO17" s="8" t="s">
        <x:v>400</x:v>
      </x:c>
      <x:c r="AP17" s="8" t="s">
        <x:v>141</x:v>
      </x:c>
      <x:c r="AQ17" s="8" t="s">
        <x:v>142</x:v>
      </x:c>
      <x:c r="AR17" s="9" t="s">
        <x:v>401</x:v>
      </x:c>
    </x:row>
    <x:row r="18" ht="48" customHeight="1">
      <x:c r="A18" s="7" t="s">
        <x:v>402</x:v>
      </x:c>
      <x:c r="B18" s="34">
        <x:v>15</x:v>
      </x:c>
      <x:c r="C18" s="8" t="s">
        <x:v>403</x:v>
      </x:c>
      <x:c r="D18" s="8" t="s">
        <x:v>404</x:v>
      </x:c>
      <x:c r="E18" s="8" t="s">
        <x:v>404</x:v>
      </x:c>
      <x:c r="F18" s="8" t="s">
        <x:v>116</x:v>
      </x:c>
      <x:c r="G18" s="8" t="s">
        <x:v>405</x:v>
      </x:c>
      <x:c r="H18" s="8" t="s">
        <x:v>174</x:v>
      </x:c>
      <x:c r="I18" s="8" t="s">
        <x:v>406</x:v>
      </x:c>
      <x:c r="J18" s="8" t="s">
        <x:v>120</x:v>
      </x:c>
      <x:c r="K18" s="8" t="s">
        <x:v>407</x:v>
      </x:c>
      <x:c r="L18" s="8" t="s">
        <x:v>408</x:v>
      </x:c>
      <x:c r="M18" s="8" t="s">
        <x:v>409</x:v>
      </x:c>
      <x:c r="N18" s="8" t="s">
        <x:v>410</x:v>
      </x:c>
      <x:c r="O18" s="8" t="s">
        <x:v>411</x:v>
      </x:c>
      <x:c r="P18" s="8" t="s">
        <x:v>281</x:v>
      </x:c>
      <x:c r="Q18" s="8" t="s">
        <x:v>281</x:v>
      </x:c>
      <x:c r="R18" s="8" t="s">
        <x:v>330</x:v>
      </x:c>
      <x:c r="S18" s="8" t="s">
        <x:v>129</x:v>
      </x:c>
      <x:c r="T18" s="8" t="s">
        <x:v>129</x:v>
      </x:c>
      <x:c r="U18" s="15">
        <x:v>4635</x:v>
      </x:c>
      <x:c r="V18" s="15"/>
      <x:c r="W18" s="15">
        <x:v>4748.0487999999996</x:v>
      </x:c>
      <x:c r="X18" s="16" t="n">
        <x:f>'03_计算值登记'!D17</x:f>
        <x:v>4635</x:v>
      </x:c>
      <x:c r="Y18" s="16" t="n">
        <x:f>'03_计算值登记'!F17/10000</x:f>
        <x:v>113.0488</x:v>
      </x:c>
      <x:c r="Z18" s="16" t="n">
        <x:f>'03_计算值登记'!S17</x:f>
        <x:v>4748.0488</x:v>
      </x:c>
      <x:c r="AA18" s="8"/>
      <x:c r="AB18" s="8" t="s">
        <x:v>412</x:v>
      </x:c>
      <x:c r="AC18" s="8" t="s">
        <x:v>159</x:v>
      </x:c>
      <x:c r="AD18" s="8" t="s">
        <x:v>413</x:v>
      </x:c>
      <x:c r="AE18" s="8"/>
      <x:c r="AF18" s="8"/>
      <x:c r="AG18" s="8"/>
      <x:c r="AH18" s="8" t="s">
        <x:v>414</x:v>
      </x:c>
      <x:c r="AI18" s="8" t="s">
        <x:v>415</x:v>
      </x:c>
      <x:c r="AJ18" s="8" t="s">
        <x:v>416</x:v>
      </x:c>
      <x:c r="AK18" s="8" t="s">
        <x:v>417</x:v>
      </x:c>
      <x:c r="AL18" s="8" t="s">
        <x:v>397</x:v>
      </x:c>
      <x:c r="AM18" s="8" t="s">
        <x:v>418</x:v>
      </x:c>
      <x:c r="AN18" s="8" t="s">
        <x:v>419</x:v>
      </x:c>
      <x:c r="AO18" s="8" t="s">
        <x:v>420</x:v>
      </x:c>
      <x:c r="AP18" s="8" t="s">
        <x:v>141</x:v>
      </x:c>
      <x:c r="AQ18" s="8" t="s">
        <x:v>142</x:v>
      </x:c>
      <x:c r="AR18" s="9" t="s">
        <x:v>421</x:v>
      </x:c>
    </x:row>
    <x:row r="19" ht="48" customHeight="1">
      <x:c r="A19" s="7" t="s">
        <x:v>422</x:v>
      </x:c>
      <x:c r="B19" s="34">
        <x:v>16</x:v>
      </x:c>
      <x:c r="C19" s="8" t="s">
        <x:v>423</x:v>
      </x:c>
      <x:c r="D19" s="8" t="s">
        <x:v>424</x:v>
      </x:c>
      <x:c r="E19" s="8" t="s">
        <x:v>425</x:v>
      </x:c>
      <x:c r="F19" s="8" t="s">
        <x:v>148</x:v>
      </x:c>
      <x:c r="G19" s="8" t="s">
        <x:v>426</x:v>
      </x:c>
      <x:c r="H19" s="8" t="s">
        <x:v>174</x:v>
      </x:c>
      <x:c r="I19" s="8" t="s">
        <x:v>427</x:v>
      </x:c>
      <x:c r="J19" s="8" t="s">
        <x:v>120</x:v>
      </x:c>
      <x:c r="K19" s="8" t="s">
        <x:v>428</x:v>
      </x:c>
      <x:c r="L19" s="8" t="s">
        <x:v>349</x:v>
      </x:c>
      <x:c r="M19" s="8" t="s">
        <x:v>429</x:v>
      </x:c>
      <x:c r="N19" s="8" t="s">
        <x:v>430</x:v>
      </x:c>
      <x:c r="O19" s="8" t="s">
        <x:v>329</x:v>
      </x:c>
      <x:c r="P19" s="8" t="s">
        <x:v>281</x:v>
      </x:c>
      <x:c r="Q19" s="8" t="s">
        <x:v>281</x:v>
      </x:c>
      <x:c r="R19" s="8" t="s">
        <x:v>330</x:v>
      </x:c>
      <x:c r="S19" s="8" t="s">
        <x:v>129</x:v>
      </x:c>
      <x:c r="T19" s="8" t="s">
        <x:v>129</x:v>
      </x:c>
      <x:c r="U19" s="15">
        <x:v>4748.0487999999996</x:v>
      </x:c>
      <x:c r="V19" s="15"/>
      <x:c r="W19" s="15">
        <x:v>4883.7074000000002</x:v>
      </x:c>
      <x:c r="X19" s="16" t="n">
        <x:f>'03_计算值登记'!D18</x:f>
        <x:v>4748.0488</x:v>
      </x:c>
      <x:c r="Y19" s="16" t="n">
        <x:f>('03_计算值登记'!F18+'03_计算值登记'!H18)/10000</x:f>
        <x:v>135.6586</x:v>
      </x:c>
      <x:c r="Z19" s="16" t="n">
        <x:f>'03_计算值登记'!S18</x:f>
        <x:v>4883.7074</x:v>
      </x:c>
      <x:c r="AA19" s="8"/>
      <x:c r="AB19" s="8" t="s">
        <x:v>431</x:v>
      </x:c>
      <x:c r="AC19" s="8" t="s">
        <x:v>159</x:v>
      </x:c>
      <x:c r="AD19" s="8" t="s">
        <x:v>432</x:v>
      </x:c>
      <x:c r="AE19" s="8"/>
      <x:c r="AF19" s="8"/>
      <x:c r="AG19" s="8"/>
      <x:c r="AH19" s="8" t="s">
        <x:v>433</x:v>
      </x:c>
      <x:c r="AI19" s="8" t="s">
        <x:v>434</x:v>
      </x:c>
      <x:c r="AJ19" s="8" t="s">
        <x:v>435</x:v>
      </x:c>
      <x:c r="AK19" s="8" t="s">
        <x:v>436</x:v>
      </x:c>
      <x:c r="AL19" s="8" t="s">
        <x:v>437</x:v>
      </x:c>
      <x:c r="AM19" s="8" t="s">
        <x:v>438</x:v>
      </x:c>
      <x:c r="AN19" s="8" t="s">
        <x:v>439</x:v>
      </x:c>
      <x:c r="AO19" s="8" t="s">
        <x:v>440</x:v>
      </x:c>
      <x:c r="AP19" s="8" t="s">
        <x:v>141</x:v>
      </x:c>
      <x:c r="AQ19" s="8" t="s">
        <x:v>142</x:v>
      </x:c>
      <x:c r="AR19" s="9" t="s">
        <x:v>441</x:v>
      </x:c>
    </x:row>
    <x:row r="20" ht="48" customHeight="1">
      <x:c r="A20" s="10" t="s">
        <x:v>442</x:v>
      </x:c>
      <x:c r="B20" s="35">
        <x:v>17</x:v>
      </x:c>
      <x:c r="C20" s="11" t="s">
        <x:v>423</x:v>
      </x:c>
      <x:c r="D20" s="11" t="s">
        <x:v>443</x:v>
      </x:c>
      <x:c r="E20" s="11" t="s">
        <x:v>425</x:v>
      </x:c>
      <x:c r="F20" s="11" t="s">
        <x:v>148</x:v>
      </x:c>
      <x:c r="G20" s="11" t="s">
        <x:v>444</x:v>
      </x:c>
      <x:c r="H20" s="11" t="s">
        <x:v>299</x:v>
      </x:c>
      <x:c r="I20" s="11" t="s">
        <x:v>445</x:v>
      </x:c>
      <x:c r="J20" s="11" t="s">
        <x:v>152</x:v>
      </x:c>
      <x:c r="K20" s="11" t="s">
        <x:v>445</x:v>
      </x:c>
      <x:c r="L20" s="11" t="s">
        <x:v>153</x:v>
      </x:c>
      <x:c r="M20" s="11" t="s">
        <x:v>446</x:v>
      </x:c>
      <x:c r="N20" s="11" t="s">
        <x:v>447</x:v>
      </x:c>
      <x:c r="O20" s="11" t="s">
        <x:v>329</x:v>
      </x:c>
      <x:c r="P20" s="11" t="s">
        <x:v>281</x:v>
      </x:c>
      <x:c r="Q20" s="11" t="s">
        <x:v>281</x:v>
      </x:c>
      <x:c r="R20" s="11" t="s">
        <x:v>307</x:v>
      </x:c>
      <x:c r="S20" s="11" t="s">
        <x:v>141</x:v>
      </x:c>
      <x:c r="T20" s="11" t="s">
        <x:v>129</x:v>
      </x:c>
      <x:c r="U20" s="17"/>
      <x:c r="V20" s="17"/>
      <x:c r="W20" s="17"/>
      <x:c r="X20" s="22" t="n">
        <x:f>'03_计算值登记'!D19</x:f>
        <x:v>4883.7074</x:v>
      </x:c>
      <x:c r="Y20" s="22" t="n">
        <x:f>'03_计算值登记'!F19</x:f>
        <x:v>0</x:v>
      </x:c>
      <x:c r="Z20" s="22" t="n">
        <x:f>'03_计算值登记'!S19</x:f>
        <x:v>4883.7074</x:v>
      </x:c>
      <x:c r="AA20" s="11"/>
      <x:c r="AB20" s="11" t="s">
        <x:v>448</x:v>
      </x:c>
      <x:c r="AC20" s="11" t="s">
        <x:v>159</x:v>
      </x:c>
      <x:c r="AD20" s="11" t="s">
        <x:v>449</x:v>
      </x:c>
      <x:c r="AE20" s="11" t="s">
        <x:v>450</x:v>
      </x:c>
      <x:c r="AF20" s="11" t="s">
        <x:v>451</x:v>
      </x:c>
      <x:c r="AG20" s="11"/>
      <x:c r="AH20" s="11" t="s">
        <x:v>452</x:v>
      </x:c>
      <x:c r="AI20" s="11" t="s">
        <x:v>453</x:v>
      </x:c>
      <x:c r="AJ20" s="11" t="s">
        <x:v>454</x:v>
      </x:c>
      <x:c r="AK20" s="11" t="s">
        <x:v>455</x:v>
      </x:c>
      <x:c r="AL20" s="11" t="s">
        <x:v>456</x:v>
      </x:c>
      <x:c r="AM20" s="11" t="s">
        <x:v>457</x:v>
      </x:c>
      <x:c r="AN20" s="11" t="s">
        <x:v>458</x:v>
      </x:c>
      <x:c r="AO20" s="11" t="s">
        <x:v>459</x:v>
      </x:c>
      <x:c r="AP20" s="11" t="s">
        <x:v>141</x:v>
      </x:c>
      <x:c r="AQ20" s="11" t="s">
        <x:v>142</x:v>
      </x:c>
      <x:c r="AR20" s="12" t="s">
        <x:v>441</x:v>
      </x:c>
    </x:row>
  </x:sheetData>
  <x:mergeCells>
    <x:mergeCell ref="A1:AR1"/>
    <x:mergeCell ref="A2:H2"/>
    <x:mergeCell ref="I2:O2"/>
    <x:mergeCell ref="P2:T2"/>
    <x:mergeCell ref="U2:W2"/>
    <x:mergeCell ref="X2:AC2"/>
    <x:mergeCell ref="AD2:AH2"/>
    <x:mergeCell ref="AI2:AM2"/>
    <x:mergeCell ref="AN2:AR2"/>
  </x:mergeCells>
  <x:conditionalFormatting sqref="AP4:AP20">
    <x:cfRule type="expression" dxfId="7" priority="1">
      <x:formula>AP4="是"</x:formula>
    </x:cfRule>
  </x:conditionalFormatting>
  <x:conditionalFormatting sqref="AQ4:AQ20">
    <x:cfRule type="expression" dxfId="6" priority="2">
      <x:formula>AQ4="待用户复核"</x:formula>
    </x:cfRule>
    <x:cfRule type="expression" dxfId="5" priority="3">
      <x:formula>AQ4="已验收通过"</x:formula>
    </x:cfRule>
  </x:conditionalFormatting>
  <x:pageMargins left="0.7" right="0.7" top="0.75" bottom="0.75" header="0.3" footer="0.3"/>
  <x:tableParts count="1">
    <x:tablePart xmlns:r="http://schemas.openxmlformats.org/officeDocument/2006/relationships" r:id="Red84ed48a1884e5c"/>
  </x:tableParts>
</x:worksheet>
</file>

<file path=xl/worksheets/sheet3.xml><?xml version="1.0" encoding="utf-8"?>
<x:worksheet xmlns:x="http://schemas.openxmlformats.org/spreadsheetml/2006/main">
  <x:sheetFormatPr defaultRowHeight="14"/>
  <x:cols>
    <x:col min="1" max="1" width="13" customWidth="1"/>
    <x:col min="2" max="2" width="14" customWidth="1"/>
    <x:col min="3" max="4" width="24" customWidth="1"/>
    <x:col min="5" max="7" width="14" customWidth="1"/>
    <x:col min="8" max="8" width="12" customWidth="1"/>
    <x:col min="9" max="10" width="16" customWidth="1"/>
    <x:col min="11" max="11" width="22" customWidth="1"/>
    <x:col min="12" max="13" width="10" customWidth="1"/>
    <x:col min="14" max="14" width="45" customWidth="1"/>
  </x:cols>
  <x:sheetData>
    <x:row r="1" ht="18.649999618530273" customHeight="1">
      <x:c r="A1" s="46" t="s">
        <x:v>460</x:v>
      </x:c>
      <x:c r="B1" s="46"/>
      <x:c r="C1" s="46"/>
      <x:c r="D1" s="46"/>
      <x:c r="E1" s="46"/>
      <x:c r="F1" s="46"/>
      <x:c r="G1" s="46"/>
      <x:c r="H1" s="46"/>
      <x:c r="I1" s="46"/>
      <x:c r="J1" s="46"/>
      <x:c r="K1" s="46"/>
      <x:c r="L1" s="46"/>
      <x:c r="M1" s="46"/>
      <x:c r="N1" s="46"/>
    </x:row>
    <x:row r="2">
      <x:c r="A2" s="47" t="s">
        <x:v>461</x:v>
      </x:c>
      <x:c r="B2" s="47"/>
      <x:c r="C2" s="47"/>
      <x:c r="D2" s="47"/>
      <x:c r="E2" s="47"/>
      <x:c r="F2" s="47"/>
      <x:c r="G2" s="47"/>
      <x:c r="H2" s="47"/>
      <x:c r="I2" s="47"/>
      <x:c r="J2" s="47"/>
      <x:c r="K2" s="47" t="s">
        <x:v>462</x:v>
      </x:c>
      <x:c r="L2" s="47"/>
      <x:c r="M2" s="47"/>
      <x:c r="N2" s="47"/>
    </x:row>
    <x:row r="3" ht="28" customHeight="1">
      <x:c r="A3" s="1" t="s">
        <x:v>463</x:v>
      </x:c>
      <x:c r="B3" s="2" t="s">
        <x:v>72</x:v>
      </x:c>
      <x:c r="C3" s="2" t="s">
        <x:v>464</x:v>
      </x:c>
      <x:c r="D3" s="2" t="s">
        <x:v>465</x:v>
      </x:c>
      <x:c r="E3" s="2" t="s">
        <x:v>466</x:v>
      </x:c>
      <x:c r="F3" s="2" t="s">
        <x:v>467</x:v>
      </x:c>
      <x:c r="G3" s="2" t="s">
        <x:v>468</x:v>
      </x:c>
      <x:c r="H3" s="2" t="s">
        <x:v>469</x:v>
      </x:c>
      <x:c r="I3" s="2" t="s">
        <x:v>470</x:v>
      </x:c>
      <x:c r="J3" s="2" t="s">
        <x:v>471</x:v>
      </x:c>
      <x:c r="K3" s="2" t="s">
        <x:v>472</x:v>
      </x:c>
      <x:c r="L3" s="2" t="s">
        <x:v>473</x:v>
      </x:c>
      <x:c r="M3" s="2" t="s">
        <x:v>474</x:v>
      </x:c>
      <x:c r="N3" s="3" t="s">
        <x:v>475</x:v>
      </x:c>
    </x:row>
    <x:row r="4" ht="24" customHeight="1">
      <x:c r="A4" s="4" t="s">
        <x:v>476</x:v>
      </x:c>
      <x:c r="B4" s="5" t="s">
        <x:v>115</x:v>
      </x:c>
      <x:c r="C4" s="5" t="s">
        <x:v>477</x:v>
      </x:c>
      <x:c r="D4" s="5" t="s">
        <x:v>478</x:v>
      </x:c>
      <x:c r="E4" s="18">
        <x:v>39555</x:v>
      </x:c>
      <x:c r="F4" s="18"/>
      <x:c r="G4" s="18"/>
      <x:c r="H4" s="5" t="s">
        <x:v>479</x:v>
      </x:c>
      <x:c r="I4" s="5" t="s">
        <x:v>141</x:v>
      </x:c>
      <x:c r="J4" s="5" t="s">
        <x:v>480</x:v>
      </x:c>
      <x:c r="K4" s="5" t="s">
        <x:v>481</x:v>
      </x:c>
      <x:c r="L4" s="5" t="s">
        <x:v>166</x:v>
      </x:c>
      <x:c r="M4" s="5" t="s">
        <x:v>482</x:v>
      </x:c>
      <x:c r="N4" s="6"/>
    </x:row>
    <x:row r="5" ht="24" customHeight="1">
      <x:c r="A5" s="7" t="s">
        <x:v>483</x:v>
      </x:c>
      <x:c r="B5" s="8" t="s">
        <x:v>115</x:v>
      </x:c>
      <x:c r="C5" s="8" t="s">
        <x:v>484</x:v>
      </x:c>
      <x:c r="D5" s="8" t="s">
        <x:v>485</x:v>
      </x:c>
      <x:c r="E5" s="19">
        <x:v>39572</x:v>
      </x:c>
      <x:c r="F5" s="19"/>
      <x:c r="G5" s="19"/>
      <x:c r="H5" s="8" t="s">
        <x:v>479</x:v>
      </x:c>
      <x:c r="I5" s="8" t="s">
        <x:v>141</x:v>
      </x:c>
      <x:c r="J5" s="8" t="s">
        <x:v>480</x:v>
      </x:c>
      <x:c r="K5" s="8" t="s">
        <x:v>486</x:v>
      </x:c>
      <x:c r="L5" s="8" t="s">
        <x:v>166</x:v>
      </x:c>
      <x:c r="M5" s="8" t="s">
        <x:v>482</x:v>
      </x:c>
      <x:c r="N5" s="9" t="s">
        <x:v>487</x:v>
      </x:c>
    </x:row>
    <x:row r="6" ht="24" customHeight="1">
      <x:c r="A6" s="7" t="s">
        <x:v>488</x:v>
      </x:c>
      <x:c r="B6" s="8" t="s">
        <x:v>115</x:v>
      </x:c>
      <x:c r="C6" s="8" t="s">
        <x:v>489</x:v>
      </x:c>
      <x:c r="D6" s="8" t="s">
        <x:v>490</x:v>
      </x:c>
      <x:c r="E6" s="19">
        <x:v>39573</x:v>
      </x:c>
      <x:c r="F6" s="19"/>
      <x:c r="G6" s="19"/>
      <x:c r="H6" s="8" t="s">
        <x:v>479</x:v>
      </x:c>
      <x:c r="I6" s="8" t="s">
        <x:v>141</x:v>
      </x:c>
      <x:c r="J6" s="8" t="s">
        <x:v>480</x:v>
      </x:c>
      <x:c r="K6" s="8" t="s">
        <x:v>486</x:v>
      </x:c>
      <x:c r="L6" s="8" t="s">
        <x:v>166</x:v>
      </x:c>
      <x:c r="M6" s="8" t="s">
        <x:v>482</x:v>
      </x:c>
      <x:c r="N6" s="9"/>
    </x:row>
    <x:row r="7" ht="24" customHeight="1">
      <x:c r="A7" s="7" t="s">
        <x:v>491</x:v>
      </x:c>
      <x:c r="B7" s="8" t="s">
        <x:v>115</x:v>
      </x:c>
      <x:c r="C7" s="8" t="s">
        <x:v>122</x:v>
      </x:c>
      <x:c r="D7" s="8" t="s">
        <x:v>492</x:v>
      </x:c>
      <x:c r="E7" s="19">
        <x:v>39575</x:v>
      </x:c>
      <x:c r="F7" s="19"/>
      <x:c r="G7" s="19"/>
      <x:c r="H7" s="8" t="s">
        <x:v>479</x:v>
      </x:c>
      <x:c r="I7" s="8" t="s">
        <x:v>129</x:v>
      </x:c>
      <x:c r="J7" s="8" t="s">
        <x:v>480</x:v>
      </x:c>
      <x:c r="K7" s="8" t="s">
        <x:v>493</x:v>
      </x:c>
      <x:c r="L7" s="8" t="s">
        <x:v>166</x:v>
      </x:c>
      <x:c r="M7" s="8" t="s">
        <x:v>482</x:v>
      </x:c>
      <x:c r="N7" s="9"/>
    </x:row>
    <x:row r="8" ht="24" customHeight="1">
      <x:c r="A8" s="7" t="s">
        <x:v>494</x:v>
      </x:c>
      <x:c r="B8" s="8" t="s">
        <x:v>115</x:v>
      </x:c>
      <x:c r="C8" s="8" t="s">
        <x:v>495</x:v>
      </x:c>
      <x:c r="D8" s="8" t="s">
        <x:v>496</x:v>
      </x:c>
      <x:c r="E8" s="19"/>
      <x:c r="F8" s="19">
        <x:v>39569</x:v>
      </x:c>
      <x:c r="G8" s="19">
        <x:v>39599</x:v>
      </x:c>
      <x:c r="H8" s="8" t="s">
        <x:v>152</x:v>
      </x:c>
      <x:c r="I8" s="8" t="s">
        <x:v>141</x:v>
      </x:c>
      <x:c r="J8" s="8" t="s">
        <x:v>480</x:v>
      </x:c>
      <x:c r="K8" s="8" t="s">
        <x:v>497</x:v>
      </x:c>
      <x:c r="L8" s="8" t="s">
        <x:v>165</x:v>
      </x:c>
      <x:c r="M8" s="8" t="s">
        <x:v>166</x:v>
      </x:c>
      <x:c r="N8" s="9" t="s">
        <x:v>498</x:v>
      </x:c>
    </x:row>
    <x:row r="9" ht="24" customHeight="1">
      <x:c r="A9" s="7" t="s">
        <x:v>154</x:v>
      </x:c>
      <x:c r="B9" s="8" t="s">
        <x:v>146</x:v>
      </x:c>
      <x:c r="C9" s="8" t="s">
        <x:v>153</x:v>
      </x:c>
      <x:c r="D9" s="8" t="s">
        <x:v>151</x:v>
      </x:c>
      <x:c r="E9" s="19"/>
      <x:c r="F9" s="19">
        <x:v>40148</x:v>
      </x:c>
      <x:c r="G9" s="19">
        <x:v>40178</x:v>
      </x:c>
      <x:c r="H9" s="8" t="s">
        <x:v>152</x:v>
      </x:c>
      <x:c r="I9" s="8" t="s">
        <x:v>129</x:v>
      </x:c>
      <x:c r="J9" s="8" t="s">
        <x:v>499</x:v>
      </x:c>
      <x:c r="K9" s="8" t="s">
        <x:v>500</x:v>
      </x:c>
      <x:c r="L9" s="8" t="s">
        <x:v>165</x:v>
      </x:c>
      <x:c r="M9" s="8" t="s">
        <x:v>166</x:v>
      </x:c>
      <x:c r="N9" s="9" t="s">
        <x:v>501</x:v>
      </x:c>
    </x:row>
    <x:row r="10" ht="24" customHeight="1">
      <x:c r="A10" s="7" t="s">
        <x:v>175</x:v>
      </x:c>
      <x:c r="B10" s="8" t="s">
        <x:v>172</x:v>
      </x:c>
      <x:c r="C10" s="8" t="s">
        <x:v>153</x:v>
      </x:c>
      <x:c r="D10" s="8" t="s">
        <x:v>151</x:v>
      </x:c>
      <x:c r="E10" s="19"/>
      <x:c r="F10" s="19">
        <x:v>40148</x:v>
      </x:c>
      <x:c r="G10" s="19">
        <x:v>40178</x:v>
      </x:c>
      <x:c r="H10" s="8" t="s">
        <x:v>152</x:v>
      </x:c>
      <x:c r="I10" s="8" t="s">
        <x:v>129</x:v>
      </x:c>
      <x:c r="J10" s="8" t="s">
        <x:v>499</x:v>
      </x:c>
      <x:c r="K10" s="8" t="s">
        <x:v>500</x:v>
      </x:c>
      <x:c r="L10" s="8" t="s">
        <x:v>165</x:v>
      </x:c>
      <x:c r="M10" s="8" t="s">
        <x:v>166</x:v>
      </x:c>
      <x:c r="N10" s="9" t="s">
        <x:v>502</x:v>
      </x:c>
    </x:row>
    <x:row r="11" ht="24" customHeight="1">
      <x:c r="A11" s="7" t="s">
        <x:v>193</x:v>
      </x:c>
      <x:c r="B11" s="8" t="s">
        <x:v>190</x:v>
      </x:c>
      <x:c r="C11" s="8" t="s">
        <x:v>153</x:v>
      </x:c>
      <x:c r="D11" s="8" t="s">
        <x:v>192</x:v>
      </x:c>
      <x:c r="E11" s="19"/>
      <x:c r="F11" s="19">
        <x:v>41791</x:v>
      </x:c>
      <x:c r="G11" s="19">
        <x:v>41820</x:v>
      </x:c>
      <x:c r="H11" s="8" t="s">
        <x:v>152</x:v>
      </x:c>
      <x:c r="I11" s="8" t="s">
        <x:v>129</x:v>
      </x:c>
      <x:c r="J11" s="8" t="s">
        <x:v>499</x:v>
      </x:c>
      <x:c r="K11" s="8" t="s">
        <x:v>503</x:v>
      </x:c>
      <x:c r="L11" s="8" t="s">
        <x:v>165</x:v>
      </x:c>
      <x:c r="M11" s="8" t="s">
        <x:v>166</x:v>
      </x:c>
      <x:c r="N11" s="9" t="s">
        <x:v>504</x:v>
      </x:c>
    </x:row>
    <x:row r="12" ht="24" customHeight="1">
      <x:c r="A12" s="7" t="s">
        <x:v>210</x:v>
      </x:c>
      <x:c r="B12" s="8" t="s">
        <x:v>207</x:v>
      </x:c>
      <x:c r="C12" s="8" t="s">
        <x:v>153</x:v>
      </x:c>
      <x:c r="D12" s="8" t="s">
        <x:v>209</x:v>
      </x:c>
      <x:c r="E12" s="19"/>
      <x:c r="F12" s="19">
        <x:v>41852</x:v>
      </x:c>
      <x:c r="G12" s="19">
        <x:v>41882</x:v>
      </x:c>
      <x:c r="H12" s="8" t="s">
        <x:v>152</x:v>
      </x:c>
      <x:c r="I12" s="8" t="s">
        <x:v>129</x:v>
      </x:c>
      <x:c r="J12" s="8" t="s">
        <x:v>499</x:v>
      </x:c>
      <x:c r="K12" s="8" t="s">
        <x:v>505</x:v>
      </x:c>
      <x:c r="L12" s="8" t="s">
        <x:v>165</x:v>
      </x:c>
      <x:c r="M12" s="8" t="s">
        <x:v>166</x:v>
      </x:c>
      <x:c r="N12" s="9" t="s">
        <x:v>504</x:v>
      </x:c>
    </x:row>
    <x:row r="13" ht="24" customHeight="1">
      <x:c r="A13" s="7" t="s">
        <x:v>226</x:v>
      </x:c>
      <x:c r="B13" s="8" t="s">
        <x:v>223</x:v>
      </x:c>
      <x:c r="C13" s="8" t="s">
        <x:v>153</x:v>
      </x:c>
      <x:c r="D13" s="8" t="s">
        <x:v>225</x:v>
      </x:c>
      <x:c r="E13" s="19"/>
      <x:c r="F13" s="19">
        <x:v>42005</x:v>
      </x:c>
      <x:c r="G13" s="19">
        <x:v>42035</x:v>
      </x:c>
      <x:c r="H13" s="8" t="s">
        <x:v>152</x:v>
      </x:c>
      <x:c r="I13" s="8" t="s">
        <x:v>129</x:v>
      </x:c>
      <x:c r="J13" s="8" t="s">
        <x:v>499</x:v>
      </x:c>
      <x:c r="K13" s="8" t="s">
        <x:v>506</x:v>
      </x:c>
      <x:c r="L13" s="8" t="s">
        <x:v>165</x:v>
      </x:c>
      <x:c r="M13" s="8" t="s">
        <x:v>166</x:v>
      </x:c>
      <x:c r="N13" s="9" t="s">
        <x:v>504</x:v>
      </x:c>
    </x:row>
    <x:row r="14" ht="24" customHeight="1">
      <x:c r="A14" s="7" t="s">
        <x:v>241</x:v>
      </x:c>
      <x:c r="B14" s="8" t="s">
        <x:v>237</x:v>
      </x:c>
      <x:c r="C14" s="8" t="s">
        <x:v>153</x:v>
      </x:c>
      <x:c r="D14" s="8" t="s">
        <x:v>240</x:v>
      </x:c>
      <x:c r="E14" s="19"/>
      <x:c r="F14" s="19">
        <x:v>42064</x:v>
      </x:c>
      <x:c r="G14" s="19">
        <x:v>42094</x:v>
      </x:c>
      <x:c r="H14" s="8" t="s">
        <x:v>152</x:v>
      </x:c>
      <x:c r="I14" s="8" t="s">
        <x:v>129</x:v>
      </x:c>
      <x:c r="J14" s="8" t="s">
        <x:v>499</x:v>
      </x:c>
      <x:c r="K14" s="8" t="s">
        <x:v>507</x:v>
      </x:c>
      <x:c r="L14" s="8" t="s">
        <x:v>165</x:v>
      </x:c>
      <x:c r="M14" s="8" t="s">
        <x:v>166</x:v>
      </x:c>
      <x:c r="N14" s="9" t="s">
        <x:v>504</x:v>
      </x:c>
    </x:row>
    <x:row r="15" ht="24" customHeight="1">
      <x:c r="A15" s="7" t="s">
        <x:v>258</x:v>
      </x:c>
      <x:c r="B15" s="8" t="s">
        <x:v>255</x:v>
      </x:c>
      <x:c r="C15" s="8" t="s">
        <x:v>153</x:v>
      </x:c>
      <x:c r="D15" s="8" t="s">
        <x:v>257</x:v>
      </x:c>
      <x:c r="E15" s="19"/>
      <x:c r="F15" s="19">
        <x:v>42217</x:v>
      </x:c>
      <x:c r="G15" s="19">
        <x:v>42247</x:v>
      </x:c>
      <x:c r="H15" s="8" t="s">
        <x:v>152</x:v>
      </x:c>
      <x:c r="I15" s="8" t="s">
        <x:v>129</x:v>
      </x:c>
      <x:c r="J15" s="8" t="s">
        <x:v>499</x:v>
      </x:c>
      <x:c r="K15" s="8" t="s">
        <x:v>508</x:v>
      </x:c>
      <x:c r="L15" s="8" t="s">
        <x:v>266</x:v>
      </x:c>
      <x:c r="M15" s="8" t="s">
        <x:v>165</x:v>
      </x:c>
      <x:c r="N15" s="9" t="s">
        <x:v>504</x:v>
      </x:c>
    </x:row>
    <x:row r="16" ht="24" customHeight="1">
      <x:c r="A16" s="7" t="s">
        <x:v>509</x:v>
      </x:c>
      <x:c r="B16" s="8" t="s">
        <x:v>272</x:v>
      </x:c>
      <x:c r="C16" s="8" t="s">
        <x:v>510</x:v>
      </x:c>
      <x:c r="D16" s="8" t="s">
        <x:v>511</x:v>
      </x:c>
      <x:c r="E16" s="19">
        <x:v>42247</x:v>
      </x:c>
      <x:c r="F16" s="19"/>
      <x:c r="G16" s="19"/>
      <x:c r="H16" s="8" t="s">
        <x:v>479</x:v>
      </x:c>
      <x:c r="I16" s="8" t="s">
        <x:v>141</x:v>
      </x:c>
      <x:c r="J16" s="8" t="s">
        <x:v>480</x:v>
      </x:c>
      <x:c r="K16" s="8" t="s">
        <x:v>512</x:v>
      </x:c>
      <x:c r="L16" s="8" t="s">
        <x:v>513</x:v>
      </x:c>
      <x:c r="M16" s="8" t="s">
        <x:v>514</x:v>
      </x:c>
      <x:c r="N16" s="9"/>
    </x:row>
    <x:row r="17" ht="24" customHeight="1">
      <x:c r="A17" s="7" t="s">
        <x:v>515</x:v>
      </x:c>
      <x:c r="B17" s="8" t="s">
        <x:v>272</x:v>
      </x:c>
      <x:c r="C17" s="8" t="s">
        <x:v>516</x:v>
      </x:c>
      <x:c r="D17" s="8" t="s">
        <x:v>517</x:v>
      </x:c>
      <x:c r="E17" s="19">
        <x:v>42248</x:v>
      </x:c>
      <x:c r="F17" s="19"/>
      <x:c r="G17" s="19"/>
      <x:c r="H17" s="8" t="s">
        <x:v>479</x:v>
      </x:c>
      <x:c r="I17" s="8" t="s">
        <x:v>141</x:v>
      </x:c>
      <x:c r="J17" s="8" t="s">
        <x:v>480</x:v>
      </x:c>
      <x:c r="K17" s="8" t="s">
        <x:v>512</x:v>
      </x:c>
      <x:c r="L17" s="8" t="s">
        <x:v>513</x:v>
      </x:c>
      <x:c r="M17" s="8" t="s">
        <x:v>514</x:v>
      </x:c>
      <x:c r="N17" s="9"/>
    </x:row>
    <x:row r="18" ht="24" customHeight="1">
      <x:c r="A18" s="7" t="s">
        <x:v>518</x:v>
      </x:c>
      <x:c r="B18" s="8" t="s">
        <x:v>272</x:v>
      </x:c>
      <x:c r="C18" s="8" t="s">
        <x:v>519</x:v>
      </x:c>
      <x:c r="D18" s="8" t="s">
        <x:v>520</x:v>
      </x:c>
      <x:c r="E18" s="19">
        <x:v>42290</x:v>
      </x:c>
      <x:c r="F18" s="19"/>
      <x:c r="G18" s="19"/>
      <x:c r="H18" s="8" t="s">
        <x:v>479</x:v>
      </x:c>
      <x:c r="I18" s="8" t="s">
        <x:v>141</x:v>
      </x:c>
      <x:c r="J18" s="8" t="s">
        <x:v>480</x:v>
      </x:c>
      <x:c r="K18" s="8" t="s">
        <x:v>521</x:v>
      </x:c>
      <x:c r="L18" s="8" t="s">
        <x:v>482</x:v>
      </x:c>
      <x:c r="M18" s="8" t="s">
        <x:v>513</x:v>
      </x:c>
      <x:c r="N18" s="9"/>
    </x:row>
    <x:row r="19" ht="24" customHeight="1">
      <x:c r="A19" s="7" t="s">
        <x:v>522</x:v>
      </x:c>
      <x:c r="B19" s="8" t="s">
        <x:v>272</x:v>
      </x:c>
      <x:c r="C19" s="8" t="s">
        <x:v>523</x:v>
      </x:c>
      <x:c r="D19" s="8" t="s">
        <x:v>524</x:v>
      </x:c>
      <x:c r="E19" s="19">
        <x:v>42291</x:v>
      </x:c>
      <x:c r="F19" s="19"/>
      <x:c r="G19" s="19"/>
      <x:c r="H19" s="8" t="s">
        <x:v>479</x:v>
      </x:c>
      <x:c r="I19" s="8" t="s">
        <x:v>141</x:v>
      </x:c>
      <x:c r="J19" s="8" t="s">
        <x:v>480</x:v>
      </x:c>
      <x:c r="K19" s="8" t="s">
        <x:v>525</x:v>
      </x:c>
      <x:c r="L19" s="8" t="s">
        <x:v>482</x:v>
      </x:c>
      <x:c r="M19" s="8" t="s">
        <x:v>513</x:v>
      </x:c>
      <x:c r="N19" s="9"/>
    </x:row>
    <x:row r="20" ht="24" customHeight="1">
      <x:c r="A20" s="7" t="s">
        <x:v>526</x:v>
      </x:c>
      <x:c r="B20" s="8" t="s">
        <x:v>272</x:v>
      </x:c>
      <x:c r="C20" s="8" t="s">
        <x:v>527</x:v>
      </x:c>
      <x:c r="D20" s="8" t="s">
        <x:v>528</x:v>
      </x:c>
      <x:c r="E20" s="19">
        <x:v>42292</x:v>
      </x:c>
      <x:c r="F20" s="19"/>
      <x:c r="G20" s="19"/>
      <x:c r="H20" s="8" t="s">
        <x:v>479</x:v>
      </x:c>
      <x:c r="I20" s="8" t="s">
        <x:v>141</x:v>
      </x:c>
      <x:c r="J20" s="8" t="s">
        <x:v>480</x:v>
      </x:c>
      <x:c r="K20" s="8" t="s">
        <x:v>529</x:v>
      </x:c>
      <x:c r="L20" s="8" t="s">
        <x:v>482</x:v>
      </x:c>
      <x:c r="M20" s="8" t="s">
        <x:v>513</x:v>
      </x:c>
      <x:c r="N20" s="9"/>
    </x:row>
    <x:row r="21" ht="24" customHeight="1">
      <x:c r="A21" s="7" t="s">
        <x:v>530</x:v>
      </x:c>
      <x:c r="B21" s="8" t="s">
        <x:v>272</x:v>
      </x:c>
      <x:c r="C21" s="8" t="s">
        <x:v>531</x:v>
      </x:c>
      <x:c r="D21" s="8" t="s">
        <x:v>532</x:v>
      </x:c>
      <x:c r="E21" s="19">
        <x:v>42307</x:v>
      </x:c>
      <x:c r="F21" s="19"/>
      <x:c r="G21" s="19"/>
      <x:c r="H21" s="8" t="s">
        <x:v>479</x:v>
      </x:c>
      <x:c r="I21" s="8" t="s">
        <x:v>141</x:v>
      </x:c>
      <x:c r="J21" s="8" t="s">
        <x:v>480</x:v>
      </x:c>
      <x:c r="K21" s="8" t="s">
        <x:v>533</x:v>
      </x:c>
      <x:c r="L21" s="8" t="s">
        <x:v>482</x:v>
      </x:c>
      <x:c r="M21" s="8" t="s">
        <x:v>513</x:v>
      </x:c>
      <x:c r="N21" s="9"/>
    </x:row>
    <x:row r="22" ht="24" customHeight="1">
      <x:c r="A22" s="7" t="s">
        <x:v>534</x:v>
      </x:c>
      <x:c r="B22" s="8" t="s">
        <x:v>272</x:v>
      </x:c>
      <x:c r="C22" s="8" t="s">
        <x:v>277</x:v>
      </x:c>
      <x:c r="D22" s="8" t="s">
        <x:v>535</x:v>
      </x:c>
      <x:c r="E22" s="19">
        <x:v>42341</x:v>
      </x:c>
      <x:c r="F22" s="19"/>
      <x:c r="G22" s="19"/>
      <x:c r="H22" s="8" t="s">
        <x:v>479</x:v>
      </x:c>
      <x:c r="I22" s="8" t="s">
        <x:v>129</x:v>
      </x:c>
      <x:c r="J22" s="8" t="s">
        <x:v>480</x:v>
      </x:c>
      <x:c r="K22" s="8" t="s">
        <x:v>536</x:v>
      </x:c>
      <x:c r="L22" s="8" t="s">
        <x:v>482</x:v>
      </x:c>
      <x:c r="M22" s="8" t="s">
        <x:v>513</x:v>
      </x:c>
      <x:c r="N22" s="9"/>
    </x:row>
    <x:row r="23" ht="24" customHeight="1">
      <x:c r="A23" s="7" t="s">
        <x:v>537</x:v>
      </x:c>
      <x:c r="B23" s="8" t="s">
        <x:v>297</x:v>
      </x:c>
      <x:c r="C23" s="8" t="s">
        <x:v>303</x:v>
      </x:c>
      <x:c r="D23" s="8" t="s">
        <x:v>538</x:v>
      </x:c>
      <x:c r="E23" s="19">
        <x:v>43218</x:v>
      </x:c>
      <x:c r="F23" s="19"/>
      <x:c r="G23" s="19"/>
      <x:c r="H23" s="8" t="s">
        <x:v>479</x:v>
      </x:c>
      <x:c r="I23" s="8" t="s">
        <x:v>129</x:v>
      </x:c>
      <x:c r="J23" s="8" t="s">
        <x:v>480</x:v>
      </x:c>
      <x:c r="K23" s="8" t="s">
        <x:v>539</x:v>
      </x:c>
      <x:c r="L23" s="8" t="s">
        <x:v>540</x:v>
      </x:c>
      <x:c r="M23" s="8" t="s">
        <x:v>266</x:v>
      </x:c>
      <x:c r="N23" s="9" t="s">
        <x:v>541</x:v>
      </x:c>
    </x:row>
    <x:row r="24" ht="24" customHeight="1">
      <x:c r="A24" s="7" t="s">
        <x:v>542</x:v>
      </x:c>
      <x:c r="B24" s="8" t="s">
        <x:v>297</x:v>
      </x:c>
      <x:c r="C24" s="8" t="s">
        <x:v>543</x:v>
      </x:c>
      <x:c r="D24" s="8" t="s">
        <x:v>300</x:v>
      </x:c>
      <x:c r="E24" s="19"/>
      <x:c r="F24" s="19">
        <x:v>43191</x:v>
      </x:c>
      <x:c r="G24" s="19">
        <x:v>43220</x:v>
      </x:c>
      <x:c r="H24" s="8" t="s">
        <x:v>152</x:v>
      </x:c>
      <x:c r="I24" s="8" t="s">
        <x:v>141</x:v>
      </x:c>
      <x:c r="J24" s="8" t="s">
        <x:v>499</x:v>
      </x:c>
      <x:c r="K24" s="8" t="s">
        <x:v>544</x:v>
      </x:c>
      <x:c r="L24" s="8" t="s">
        <x:v>545</x:v>
      </x:c>
      <x:c r="M24" s="8" t="s">
        <x:v>546</x:v>
      </x:c>
      <x:c r="N24" s="9"/>
    </x:row>
    <x:row r="25" ht="24" customHeight="1">
      <x:c r="A25" s="7" t="s">
        <x:v>547</x:v>
      </x:c>
      <x:c r="B25" s="8" t="s">
        <x:v>321</x:v>
      </x:c>
      <x:c r="C25" s="8" t="s">
        <x:v>548</x:v>
      </x:c>
      <x:c r="D25" s="8" t="s">
        <x:v>549</x:v>
      </x:c>
      <x:c r="E25" s="19">
        <x:v>43263</x:v>
      </x:c>
      <x:c r="F25" s="19"/>
      <x:c r="G25" s="19"/>
      <x:c r="H25" s="8" t="s">
        <x:v>479</x:v>
      </x:c>
      <x:c r="I25" s="8" t="s">
        <x:v>141</x:v>
      </x:c>
      <x:c r="J25" s="8" t="s">
        <x:v>480</x:v>
      </x:c>
      <x:c r="K25" s="8" t="s">
        <x:v>550</x:v>
      </x:c>
      <x:c r="L25" s="8" t="s">
        <x:v>551</x:v>
      </x:c>
      <x:c r="M25" s="8" t="s">
        <x:v>540</x:v>
      </x:c>
      <x:c r="N25" s="9"/>
    </x:row>
    <x:row r="26" ht="24" customHeight="1">
      <x:c r="A26" s="7" t="s">
        <x:v>552</x:v>
      </x:c>
      <x:c r="B26" s="8" t="s">
        <x:v>321</x:v>
      </x:c>
      <x:c r="C26" s="8" t="s">
        <x:v>368</x:v>
      </x:c>
      <x:c r="D26" s="8" t="s">
        <x:v>549</x:v>
      </x:c>
      <x:c r="E26" s="19">
        <x:v>43263</x:v>
      </x:c>
      <x:c r="F26" s="19"/>
      <x:c r="G26" s="19"/>
      <x:c r="H26" s="8" t="s">
        <x:v>479</x:v>
      </x:c>
      <x:c r="I26" s="8" t="s">
        <x:v>141</x:v>
      </x:c>
      <x:c r="J26" s="8" t="s">
        <x:v>480</x:v>
      </x:c>
      <x:c r="K26" s="8" t="s">
        <x:v>550</x:v>
      </x:c>
      <x:c r="L26" s="8" t="s">
        <x:v>551</x:v>
      </x:c>
      <x:c r="M26" s="8" t="s">
        <x:v>540</x:v>
      </x:c>
      <x:c r="N26" s="9"/>
    </x:row>
    <x:row r="27" ht="24" customHeight="1">
      <x:c r="A27" s="7" t="s">
        <x:v>553</x:v>
      </x:c>
      <x:c r="B27" s="8" t="s">
        <x:v>321</x:v>
      </x:c>
      <x:c r="C27" s="8" t="s">
        <x:v>554</x:v>
      </x:c>
      <x:c r="D27" s="8" t="s">
        <x:v>555</x:v>
      </x:c>
      <x:c r="E27" s="19">
        <x:v>43279</x:v>
      </x:c>
      <x:c r="F27" s="19"/>
      <x:c r="G27" s="19"/>
      <x:c r="H27" s="8" t="s">
        <x:v>479</x:v>
      </x:c>
      <x:c r="I27" s="8" t="s">
        <x:v>141</x:v>
      </x:c>
      <x:c r="J27" s="8" t="s">
        <x:v>480</x:v>
      </x:c>
      <x:c r="K27" s="8" t="s">
        <x:v>556</x:v>
      </x:c>
      <x:c r="L27" s="8" t="s">
        <x:v>557</x:v>
      </x:c>
      <x:c r="M27" s="8" t="s">
        <x:v>551</x:v>
      </x:c>
      <x:c r="N27" s="9" t="s">
        <x:v>558</x:v>
      </x:c>
    </x:row>
    <x:row r="28" ht="24" customHeight="1">
      <x:c r="A28" s="7" t="s">
        <x:v>559</x:v>
      </x:c>
      <x:c r="B28" s="8" t="s">
        <x:v>321</x:v>
      </x:c>
      <x:c r="C28" s="8" t="s">
        <x:v>560</x:v>
      </x:c>
      <x:c r="D28" s="8" t="s">
        <x:v>561</x:v>
      </x:c>
      <x:c r="E28" s="19">
        <x:v>43308</x:v>
      </x:c>
      <x:c r="F28" s="19"/>
      <x:c r="G28" s="19"/>
      <x:c r="H28" s="8" t="s">
        <x:v>479</x:v>
      </x:c>
      <x:c r="I28" s="8" t="s">
        <x:v>129</x:v>
      </x:c>
      <x:c r="J28" s="8" t="s">
        <x:v>480</x:v>
      </x:c>
      <x:c r="K28" s="8" t="s">
        <x:v>562</x:v>
      </x:c>
      <x:c r="L28" s="8" t="s">
        <x:v>557</x:v>
      </x:c>
      <x:c r="M28" s="8" t="s">
        <x:v>551</x:v>
      </x:c>
      <x:c r="N28" s="9"/>
    </x:row>
    <x:row r="29" ht="24" customHeight="1">
      <x:c r="A29" s="7" t="s">
        <x:v>563</x:v>
      </x:c>
      <x:c r="B29" s="8" t="s">
        <x:v>321</x:v>
      </x:c>
      <x:c r="C29" s="8" t="s">
        <x:v>564</x:v>
      </x:c>
      <x:c r="D29" s="8" t="s">
        <x:v>565</x:v>
      </x:c>
      <x:c r="E29" s="19">
        <x:v>44181</x:v>
      </x:c>
      <x:c r="F29" s="19"/>
      <x:c r="G29" s="19"/>
      <x:c r="H29" s="8" t="s">
        <x:v>479</x:v>
      </x:c>
      <x:c r="I29" s="8" t="s">
        <x:v>141</x:v>
      </x:c>
      <x:c r="J29" s="8" t="s">
        <x:v>480</x:v>
      </x:c>
      <x:c r="K29" s="8" t="s">
        <x:v>566</x:v>
      </x:c>
      <x:c r="L29" s="8" t="s">
        <x:v>557</x:v>
      </x:c>
      <x:c r="M29" s="8" t="s">
        <x:v>551</x:v>
      </x:c>
      <x:c r="N29" s="9" t="s">
        <x:v>567</x:v>
      </x:c>
    </x:row>
    <x:row r="30" ht="24" customHeight="1">
      <x:c r="A30" s="7" t="s">
        <x:v>568</x:v>
      </x:c>
      <x:c r="B30" s="8" t="s">
        <x:v>344</x:v>
      </x:c>
      <x:c r="C30" s="8" t="s">
        <x:v>548</x:v>
      </x:c>
      <x:c r="D30" s="8" t="s">
        <x:v>549</x:v>
      </x:c>
      <x:c r="E30" s="19">
        <x:v>43263</x:v>
      </x:c>
      <x:c r="F30" s="19"/>
      <x:c r="G30" s="19"/>
      <x:c r="H30" s="8" t="s">
        <x:v>479</x:v>
      </x:c>
      <x:c r="I30" s="8" t="s">
        <x:v>141</x:v>
      </x:c>
      <x:c r="J30" s="8" t="s">
        <x:v>480</x:v>
      </x:c>
      <x:c r="K30" s="8" t="s">
        <x:v>569</x:v>
      </x:c>
      <x:c r="L30" s="8" t="s">
        <x:v>557</x:v>
      </x:c>
      <x:c r="M30" s="8" t="s">
        <x:v>551</x:v>
      </x:c>
      <x:c r="N30" s="9"/>
    </x:row>
    <x:row r="31" ht="24" customHeight="1">
      <x:c r="A31" s="7" t="s">
        <x:v>570</x:v>
      </x:c>
      <x:c r="B31" s="8" t="s">
        <x:v>344</x:v>
      </x:c>
      <x:c r="C31" s="8" t="s">
        <x:v>571</x:v>
      </x:c>
      <x:c r="D31" s="8" t="s">
        <x:v>555</x:v>
      </x:c>
      <x:c r="E31" s="19">
        <x:v>43279</x:v>
      </x:c>
      <x:c r="F31" s="19"/>
      <x:c r="G31" s="19"/>
      <x:c r="H31" s="8" t="s">
        <x:v>479</x:v>
      </x:c>
      <x:c r="I31" s="8" t="s">
        <x:v>129</x:v>
      </x:c>
      <x:c r="J31" s="8" t="s">
        <x:v>480</x:v>
      </x:c>
      <x:c r="K31" s="8" t="s">
        <x:v>556</x:v>
      </x:c>
      <x:c r="L31" s="8" t="s">
        <x:v>557</x:v>
      </x:c>
      <x:c r="M31" s="8" t="s">
        <x:v>551</x:v>
      </x:c>
      <x:c r="N31" s="9" t="s">
        <x:v>572</x:v>
      </x:c>
    </x:row>
    <x:row r="32" ht="24" customHeight="1">
      <x:c r="A32" s="7" t="s">
        <x:v>573</x:v>
      </x:c>
      <x:c r="B32" s="8" t="s">
        <x:v>344</x:v>
      </x:c>
      <x:c r="C32" s="8" t="s">
        <x:v>564</x:v>
      </x:c>
      <x:c r="D32" s="8" t="s">
        <x:v>565</x:v>
      </x:c>
      <x:c r="E32" s="19">
        <x:v>44181</x:v>
      </x:c>
      <x:c r="F32" s="19"/>
      <x:c r="G32" s="19"/>
      <x:c r="H32" s="8" t="s">
        <x:v>479</x:v>
      </x:c>
      <x:c r="I32" s="8" t="s">
        <x:v>141</x:v>
      </x:c>
      <x:c r="J32" s="8" t="s">
        <x:v>480</x:v>
      </x:c>
      <x:c r="K32" s="8" t="s">
        <x:v>566</x:v>
      </x:c>
      <x:c r="L32" s="8" t="s">
        <x:v>557</x:v>
      </x:c>
      <x:c r="M32" s="8" t="s">
        <x:v>551</x:v>
      </x:c>
      <x:c r="N32" s="9"/>
    </x:row>
    <x:row r="33" ht="24" customHeight="1">
      <x:c r="A33" s="7" t="s">
        <x:v>574</x:v>
      </x:c>
      <x:c r="B33" s="8" t="s">
        <x:v>364</x:v>
      </x:c>
      <x:c r="C33" s="8" t="s">
        <x:v>548</x:v>
      </x:c>
      <x:c r="D33" s="8" t="s">
        <x:v>549</x:v>
      </x:c>
      <x:c r="E33" s="19">
        <x:v>43263</x:v>
      </x:c>
      <x:c r="F33" s="19"/>
      <x:c r="G33" s="19"/>
      <x:c r="H33" s="8" t="s">
        <x:v>479</x:v>
      </x:c>
      <x:c r="I33" s="8" t="s">
        <x:v>141</x:v>
      </x:c>
      <x:c r="J33" s="8" t="s">
        <x:v>480</x:v>
      </x:c>
      <x:c r="K33" s="8" t="s">
        <x:v>550</x:v>
      </x:c>
      <x:c r="L33" s="8" t="s">
        <x:v>551</x:v>
      </x:c>
      <x:c r="M33" s="8" t="s">
        <x:v>540</x:v>
      </x:c>
      <x:c r="N33" s="9"/>
    </x:row>
    <x:row r="34" ht="24" customHeight="1">
      <x:c r="A34" s="7" t="s">
        <x:v>575</x:v>
      </x:c>
      <x:c r="B34" s="8" t="s">
        <x:v>364</x:v>
      </x:c>
      <x:c r="C34" s="8" t="s">
        <x:v>368</x:v>
      </x:c>
      <x:c r="D34" s="8" t="s">
        <x:v>549</x:v>
      </x:c>
      <x:c r="E34" s="19">
        <x:v>43263</x:v>
      </x:c>
      <x:c r="F34" s="19"/>
      <x:c r="G34" s="19"/>
      <x:c r="H34" s="8" t="s">
        <x:v>479</x:v>
      </x:c>
      <x:c r="I34" s="8" t="s">
        <x:v>129</x:v>
      </x:c>
      <x:c r="J34" s="8" t="s">
        <x:v>480</x:v>
      </x:c>
      <x:c r="K34" s="8" t="s">
        <x:v>550</x:v>
      </x:c>
      <x:c r="L34" s="8" t="s">
        <x:v>551</x:v>
      </x:c>
      <x:c r="M34" s="8" t="s">
        <x:v>540</x:v>
      </x:c>
      <x:c r="N34" s="9" t="s">
        <x:v>576</x:v>
      </x:c>
    </x:row>
    <x:row r="35" ht="24" customHeight="1">
      <x:c r="A35" s="7" t="s">
        <x:v>577</x:v>
      </x:c>
      <x:c r="B35" s="8" t="s">
        <x:v>364</x:v>
      </x:c>
      <x:c r="C35" s="8" t="s">
        <x:v>578</x:v>
      </x:c>
      <x:c r="D35" s="8" t="s">
        <x:v>324</x:v>
      </x:c>
      <x:c r="E35" s="19"/>
      <x:c r="F35" s="19">
        <x:v>43252</x:v>
      </x:c>
      <x:c r="G35" s="19">
        <x:v>43312</x:v>
      </x:c>
      <x:c r="H35" s="8" t="s">
        <x:v>579</x:v>
      </x:c>
      <x:c r="I35" s="8" t="s">
        <x:v>141</x:v>
      </x:c>
      <x:c r="J35" s="8" t="s">
        <x:v>499</x:v>
      </x:c>
      <x:c r="K35" s="8" t="s">
        <x:v>580</x:v>
      </x:c>
      <x:c r="L35" s="8" t="s">
        <x:v>581</x:v>
      </x:c>
      <x:c r="M35" s="8" t="s">
        <x:v>582</x:v>
      </x:c>
      <x:c r="N35" s="9"/>
    </x:row>
    <x:row r="36" ht="24" customHeight="1">
      <x:c r="A36" s="7" t="s">
        <x:v>583</x:v>
      </x:c>
      <x:c r="B36" s="8" t="s">
        <x:v>384</x:v>
      </x:c>
      <x:c r="C36" s="8" t="s">
        <x:v>584</x:v>
      </x:c>
      <x:c r="D36" s="8" t="s">
        <x:v>585</x:v>
      </x:c>
      <x:c r="E36" s="19">
        <x:v>43689</x:v>
      </x:c>
      <x:c r="F36" s="19"/>
      <x:c r="G36" s="19"/>
      <x:c r="H36" s="8" t="s">
        <x:v>479</x:v>
      </x:c>
      <x:c r="I36" s="8" t="s">
        <x:v>141</x:v>
      </x:c>
      <x:c r="J36" s="8" t="s">
        <x:v>480</x:v>
      </x:c>
      <x:c r="K36" s="8" t="s">
        <x:v>586</x:v>
      </x:c>
      <x:c r="L36" s="8" t="s">
        <x:v>587</x:v>
      </x:c>
      <x:c r="M36" s="8" t="s">
        <x:v>557</x:v>
      </x:c>
      <x:c r="N36" s="9" t="s">
        <x:v>588</x:v>
      </x:c>
    </x:row>
    <x:row r="37" ht="24" customHeight="1">
      <x:c r="A37" s="7" t="s">
        <x:v>589</x:v>
      </x:c>
      <x:c r="B37" s="8" t="s">
        <x:v>384</x:v>
      </x:c>
      <x:c r="C37" s="8" t="s">
        <x:v>303</x:v>
      </x:c>
      <x:c r="D37" s="8" t="s">
        <x:v>590</x:v>
      </x:c>
      <x:c r="E37" s="19">
        <x:v>43690</x:v>
      </x:c>
      <x:c r="F37" s="19"/>
      <x:c r="G37" s="19"/>
      <x:c r="H37" s="8" t="s">
        <x:v>479</x:v>
      </x:c>
      <x:c r="I37" s="8" t="s">
        <x:v>129</x:v>
      </x:c>
      <x:c r="J37" s="8" t="s">
        <x:v>480</x:v>
      </x:c>
      <x:c r="K37" s="8" t="s">
        <x:v>591</x:v>
      </x:c>
      <x:c r="L37" s="8" t="s">
        <x:v>587</x:v>
      </x:c>
      <x:c r="M37" s="8" t="s">
        <x:v>557</x:v>
      </x:c>
      <x:c r="N37" s="9"/>
    </x:row>
    <x:row r="38" ht="24" customHeight="1">
      <x:c r="A38" s="7" t="s">
        <x:v>592</x:v>
      </x:c>
      <x:c r="B38" s="8" t="s">
        <x:v>384</x:v>
      </x:c>
      <x:c r="C38" s="8" t="s">
        <x:v>543</x:v>
      </x:c>
      <x:c r="D38" s="8" t="s">
        <x:v>593</x:v>
      </x:c>
      <x:c r="E38" s="19"/>
      <x:c r="F38" s="19">
        <x:v>43678</x:v>
      </x:c>
      <x:c r="G38" s="19">
        <x:v>43708</x:v>
      </x:c>
      <x:c r="H38" s="8" t="s">
        <x:v>152</x:v>
      </x:c>
      <x:c r="I38" s="8" t="s">
        <x:v>141</x:v>
      </x:c>
      <x:c r="J38" s="8" t="s">
        <x:v>499</x:v>
      </x:c>
      <x:c r="K38" s="8" t="s">
        <x:v>594</x:v>
      </x:c>
      <x:c r="L38" s="8" t="s">
        <x:v>595</x:v>
      </x:c>
      <x:c r="M38" s="8" t="s">
        <x:v>581</x:v>
      </x:c>
      <x:c r="N38" s="9"/>
    </x:row>
    <x:row r="39" ht="24" customHeight="1">
      <x:c r="A39" s="7" t="s">
        <x:v>596</x:v>
      </x:c>
      <x:c r="B39" s="8" t="s">
        <x:v>404</x:v>
      </x:c>
      <x:c r="C39" s="8" t="s">
        <x:v>548</x:v>
      </x:c>
      <x:c r="D39" s="8" t="s">
        <x:v>597</x:v>
      </x:c>
      <x:c r="E39" s="19">
        <x:v>43971</x:v>
      </x:c>
      <x:c r="F39" s="19"/>
      <x:c r="G39" s="19"/>
      <x:c r="H39" s="8" t="s">
        <x:v>479</x:v>
      </x:c>
      <x:c r="I39" s="8" t="s">
        <x:v>141</x:v>
      </x:c>
      <x:c r="J39" s="8" t="s">
        <x:v>480</x:v>
      </x:c>
      <x:c r="K39" s="8" t="s">
        <x:v>598</x:v>
      </x:c>
      <x:c r="L39" s="8" t="s">
        <x:v>599</x:v>
      </x:c>
      <x:c r="M39" s="8" t="s">
        <x:v>587</x:v>
      </x:c>
      <x:c r="N39" s="9"/>
    </x:row>
    <x:row r="40" ht="24" customHeight="1">
      <x:c r="A40" s="7" t="s">
        <x:v>600</x:v>
      </x:c>
      <x:c r="B40" s="8" t="s">
        <x:v>404</x:v>
      </x:c>
      <x:c r="C40" s="8" t="s">
        <x:v>601</x:v>
      </x:c>
      <x:c r="D40" s="8" t="s">
        <x:v>597</x:v>
      </x:c>
      <x:c r="E40" s="19">
        <x:v>43971</x:v>
      </x:c>
      <x:c r="F40" s="19"/>
      <x:c r="G40" s="19"/>
      <x:c r="H40" s="8" t="s">
        <x:v>479</x:v>
      </x:c>
      <x:c r="I40" s="8" t="s">
        <x:v>141</x:v>
      </x:c>
      <x:c r="J40" s="8" t="s">
        <x:v>480</x:v>
      </x:c>
      <x:c r="K40" s="8" t="s">
        <x:v>598</x:v>
      </x:c>
      <x:c r="L40" s="8" t="s">
        <x:v>599</x:v>
      </x:c>
      <x:c r="M40" s="8" t="s">
        <x:v>587</x:v>
      </x:c>
      <x:c r="N40" s="9"/>
    </x:row>
    <x:row r="41" ht="24" customHeight="1">
      <x:c r="A41" s="7" t="s">
        <x:v>602</x:v>
      </x:c>
      <x:c r="B41" s="8" t="s">
        <x:v>404</x:v>
      </x:c>
      <x:c r="C41" s="8" t="s">
        <x:v>408</x:v>
      </x:c>
      <x:c r="D41" s="8" t="s">
        <x:v>603</x:v>
      </x:c>
      <x:c r="E41" s="19">
        <x:v>43979</x:v>
      </x:c>
      <x:c r="F41" s="19"/>
      <x:c r="G41" s="19"/>
      <x:c r="H41" s="8" t="s">
        <x:v>479</x:v>
      </x:c>
      <x:c r="I41" s="8" t="s">
        <x:v>129</x:v>
      </x:c>
      <x:c r="J41" s="8" t="s">
        <x:v>480</x:v>
      </x:c>
      <x:c r="K41" s="8" t="s">
        <x:v>604</x:v>
      </x:c>
      <x:c r="L41" s="8" t="s">
        <x:v>599</x:v>
      </x:c>
      <x:c r="M41" s="8" t="s">
        <x:v>587</x:v>
      </x:c>
      <x:c r="N41" s="9"/>
    </x:row>
    <x:row r="42" ht="24" customHeight="1">
      <x:c r="A42" s="7" t="s">
        <x:v>605</x:v>
      </x:c>
      <x:c r="B42" s="8" t="s">
        <x:v>404</x:v>
      </x:c>
      <x:c r="C42" s="8" t="s">
        <x:v>564</x:v>
      </x:c>
      <x:c r="D42" s="8" t="s">
        <x:v>565</x:v>
      </x:c>
      <x:c r="E42" s="19">
        <x:v>44181</x:v>
      </x:c>
      <x:c r="F42" s="19"/>
      <x:c r="G42" s="19"/>
      <x:c r="H42" s="8" t="s">
        <x:v>479</x:v>
      </x:c>
      <x:c r="I42" s="8" t="s">
        <x:v>141</x:v>
      </x:c>
      <x:c r="J42" s="8" t="s">
        <x:v>480</x:v>
      </x:c>
      <x:c r="K42" s="8" t="s">
        <x:v>606</x:v>
      </x:c>
      <x:c r="L42" s="8" t="s">
        <x:v>599</x:v>
      </x:c>
      <x:c r="M42" s="8" t="s">
        <x:v>587</x:v>
      </x:c>
      <x:c r="N42" s="9"/>
    </x:row>
    <x:row r="43" ht="24" customHeight="1">
      <x:c r="A43" s="7" t="s">
        <x:v>607</x:v>
      </x:c>
      <x:c r="B43" s="8" t="s">
        <x:v>424</x:v>
      </x:c>
      <x:c r="C43" s="8" t="s">
        <x:v>548</x:v>
      </x:c>
      <x:c r="D43" s="8" t="s">
        <x:v>608</x:v>
      </x:c>
      <x:c r="E43" s="19">
        <x:v>44089</x:v>
      </x:c>
      <x:c r="F43" s="19"/>
      <x:c r="G43" s="19"/>
      <x:c r="H43" s="8" t="s">
        <x:v>479</x:v>
      </x:c>
      <x:c r="I43" s="8" t="s">
        <x:v>141</x:v>
      </x:c>
      <x:c r="J43" s="8" t="s">
        <x:v>480</x:v>
      </x:c>
      <x:c r="K43" s="8" t="s">
        <x:v>609</x:v>
      </x:c>
      <x:c r="L43" s="8" t="s">
        <x:v>610</x:v>
      </x:c>
      <x:c r="M43" s="8" t="s">
        <x:v>599</x:v>
      </x:c>
      <x:c r="N43" s="9"/>
    </x:row>
    <x:row r="44" ht="24" customHeight="1">
      <x:c r="A44" s="7" t="s">
        <x:v>611</x:v>
      </x:c>
      <x:c r="B44" s="8" t="s">
        <x:v>424</x:v>
      </x:c>
      <x:c r="C44" s="8" t="s">
        <x:v>349</x:v>
      </x:c>
      <x:c r="D44" s="8" t="s">
        <x:v>612</x:v>
      </x:c>
      <x:c r="E44" s="19">
        <x:v>44097</x:v>
      </x:c>
      <x:c r="F44" s="19"/>
      <x:c r="G44" s="19"/>
      <x:c r="H44" s="8" t="s">
        <x:v>479</x:v>
      </x:c>
      <x:c r="I44" s="8" t="s">
        <x:v>129</x:v>
      </x:c>
      <x:c r="J44" s="8" t="s">
        <x:v>480</x:v>
      </x:c>
      <x:c r="K44" s="8" t="s">
        <x:v>613</x:v>
      </x:c>
      <x:c r="L44" s="8" t="s">
        <x:v>614</x:v>
      </x:c>
      <x:c r="M44" s="8" t="s">
        <x:v>610</x:v>
      </x:c>
      <x:c r="N44" s="9"/>
    </x:row>
    <x:row r="45" ht="24" customHeight="1">
      <x:c r="A45" s="7" t="s">
        <x:v>615</x:v>
      </x:c>
      <x:c r="B45" s="8" t="s">
        <x:v>424</x:v>
      </x:c>
      <x:c r="C45" s="8" t="s">
        <x:v>564</x:v>
      </x:c>
      <x:c r="D45" s="8" t="s">
        <x:v>565</x:v>
      </x:c>
      <x:c r="E45" s="19">
        <x:v>44181</x:v>
      </x:c>
      <x:c r="F45" s="19"/>
      <x:c r="G45" s="19"/>
      <x:c r="H45" s="8" t="s">
        <x:v>479</x:v>
      </x:c>
      <x:c r="I45" s="8" t="s">
        <x:v>141</x:v>
      </x:c>
      <x:c r="J45" s="8" t="s">
        <x:v>480</x:v>
      </x:c>
      <x:c r="K45" s="8" t="s">
        <x:v>616</x:v>
      </x:c>
      <x:c r="L45" s="8" t="s">
        <x:v>617</x:v>
      </x:c>
      <x:c r="M45" s="8" t="s">
        <x:v>618</x:v>
      </x:c>
      <x:c r="N45" s="9"/>
    </x:row>
    <x:row r="46" ht="24" customHeight="1">
      <x:c r="A46" s="10" t="s">
        <x:v>446</x:v>
      </x:c>
      <x:c r="B46" s="11" t="s">
        <x:v>443</x:v>
      </x:c>
      <x:c r="C46" s="11" t="s">
        <x:v>153</x:v>
      </x:c>
      <x:c r="D46" s="11" t="s">
        <x:v>445</x:v>
      </x:c>
      <x:c r="E46" s="20"/>
      <x:c r="F46" s="20">
        <x:v>44075</x:v>
      </x:c>
      <x:c r="G46" s="20">
        <x:v>44104</x:v>
      </x:c>
      <x:c r="H46" s="11" t="s">
        <x:v>152</x:v>
      </x:c>
      <x:c r="I46" s="11" t="s">
        <x:v>129</x:v>
      </x:c>
      <x:c r="J46" s="11" t="s">
        <x:v>499</x:v>
      </x:c>
      <x:c r="K46" s="11" t="s">
        <x:v>619</x:v>
      </x:c>
      <x:c r="L46" s="11" t="s">
        <x:v>614</x:v>
      </x:c>
      <x:c r="M46" s="11" t="s">
        <x:v>610</x:v>
      </x:c>
      <x:c r="N46" s="12" t="s">
        <x:v>620</x:v>
      </x:c>
    </x:row>
  </x:sheetData>
  <x:mergeCells>
    <x:mergeCell ref="A1:N1"/>
    <x:mergeCell ref="A2:J2"/>
    <x:mergeCell ref="K2:N2"/>
  </x:mergeCells>
  <x:conditionalFormatting sqref="I4:I46">
    <x:cfRule type="expression" dxfId="4" priority="1">
      <x:formula>I4="是"</x:formula>
    </x:cfRule>
  </x:conditionalFormatting>
  <x:pageMargins left="0.7" right="0.7" top="0.75" bottom="0.75" header="0.3" footer="0.3"/>
  <x:tableParts count="1">
    <x:tablePart xmlns:r="http://schemas.openxmlformats.org/officeDocument/2006/relationships" r:id="R0b703e094e314034"/>
  </x:tableParts>
</x:worksheet>
</file>

<file path=xl/worksheets/sheet4.xml><?xml version="1.0" encoding="utf-8"?>
<x:worksheet xmlns:x="http://schemas.openxmlformats.org/spreadsheetml/2006/main">
  <x:sheetFormatPr defaultRowHeight="14"/>
  <x:cols>
    <x:col min="1" max="2" width="14" customWidth="1"/>
    <x:col min="3" max="3" width="34" customWidth="1"/>
    <x:col min="4" max="4" width="14" customWidth="1"/>
    <x:col min="5" max="5" width="22" customWidth="1"/>
    <x:col min="6" max="6" width="14" customWidth="1"/>
    <x:col min="7" max="7" width="22" customWidth="1"/>
    <x:col min="8" max="8" width="14" customWidth="1"/>
    <x:col min="9" max="9" width="22" customWidth="1"/>
    <x:col min="10" max="10" width="14" customWidth="1"/>
    <x:col min="11" max="11" width="22" customWidth="1"/>
    <x:col min="12" max="12" width="14" customWidth="1"/>
    <x:col min="13" max="13" width="22" customWidth="1"/>
    <x:col min="14" max="14" width="14" customWidth="1"/>
    <x:col min="15" max="15" width="22" customWidth="1"/>
    <x:col min="16" max="16" width="14" customWidth="1"/>
    <x:col min="17" max="17" width="22" customWidth="1"/>
    <x:col min="18" max="18" width="25" customWidth="1"/>
    <x:col min="19" max="19" width="16" customWidth="1"/>
    <x:col min="20" max="20" width="12" customWidth="1"/>
    <x:col min="21" max="21" width="18" customWidth="1"/>
    <x:col min="22" max="22" width="22" customWidth="1"/>
    <x:col min="23" max="23" width="14" customWidth="1"/>
    <x:col min="24" max="24" width="25" customWidth="1"/>
    <x:col min="25" max="25" width="45" customWidth="1"/>
  </x:cols>
  <x:sheetData>
    <x:row r="1" ht="18.649999618530273" customHeight="1">
      <x:c r="A1" s="46" t="s">
        <x:v>621</x:v>
      </x:c>
      <x:c r="B1" s="46"/>
      <x:c r="C1" s="46"/>
      <x:c r="D1" s="46"/>
      <x:c r="E1" s="46"/>
      <x:c r="F1" s="46"/>
      <x:c r="G1" s="46"/>
      <x:c r="H1" s="46"/>
      <x:c r="I1" s="46"/>
      <x:c r="J1" s="46"/>
      <x:c r="K1" s="46"/>
      <x:c r="L1" s="46"/>
      <x:c r="M1" s="46"/>
      <x:c r="N1" s="46"/>
      <x:c r="O1" s="46"/>
      <x:c r="P1" s="46"/>
      <x:c r="Q1" s="46"/>
      <x:c r="R1" s="46"/>
      <x:c r="S1" s="46"/>
      <x:c r="T1" s="46"/>
      <x:c r="U1" s="46"/>
      <x:c r="V1" s="46"/>
      <x:c r="W1" s="46"/>
      <x:c r="X1" s="46"/>
      <x:c r="Y1" s="46"/>
    </x:row>
    <x:row r="2">
      <x:c r="A2" s="47" t="s">
        <x:v>622</x:v>
      </x:c>
      <x:c r="B2" s="47"/>
      <x:c r="C2" s="47"/>
      <x:c r="D2" s="47"/>
      <x:c r="E2" s="47"/>
      <x:c r="F2" s="47"/>
      <x:c r="G2" s="47"/>
      <x:c r="H2" s="47"/>
      <x:c r="I2" s="47"/>
      <x:c r="J2" s="47"/>
      <x:c r="K2" s="47"/>
      <x:c r="L2" s="47"/>
      <x:c r="M2" s="47"/>
      <x:c r="N2" s="47"/>
      <x:c r="O2" s="47"/>
      <x:c r="P2" s="47"/>
      <x:c r="Q2" s="47"/>
      <x:c r="R2" s="47" t="s">
        <x:v>623</x:v>
      </x:c>
      <x:c r="S2" s="47"/>
      <x:c r="T2" s="47"/>
      <x:c r="U2" s="47"/>
      <x:c r="V2" s="47"/>
      <x:c r="W2" s="47"/>
      <x:c r="X2" s="47"/>
      <x:c r="Y2" s="47"/>
    </x:row>
    <x:row r="3" ht="28" customHeight="1">
      <x:c r="A3" s="1" t="s">
        <x:v>624</x:v>
      </x:c>
      <x:c r="B3" s="2" t="s">
        <x:v>72</x:v>
      </x:c>
      <x:c r="C3" s="2" t="s">
        <x:v>625</x:v>
      </x:c>
      <x:c r="D3" s="2" t="s">
        <x:v>626</x:v>
      </x:c>
      <x:c r="E3" s="2" t="s">
        <x:v>627</x:v>
      </x:c>
      <x:c r="F3" s="2" t="s">
        <x:v>628</x:v>
      </x:c>
      <x:c r="G3" s="2" t="s">
        <x:v>629</x:v>
      </x:c>
      <x:c r="H3" s="2" t="s">
        <x:v>630</x:v>
      </x:c>
      <x:c r="I3" s="2" t="s">
        <x:v>631</x:v>
      </x:c>
      <x:c r="J3" s="2" t="s">
        <x:v>632</x:v>
      </x:c>
      <x:c r="K3" s="2" t="s">
        <x:v>633</x:v>
      </x:c>
      <x:c r="L3" s="2" t="s">
        <x:v>634</x:v>
      </x:c>
      <x:c r="M3" s="2" t="s">
        <x:v>635</x:v>
      </x:c>
      <x:c r="N3" s="2" t="s">
        <x:v>636</x:v>
      </x:c>
      <x:c r="O3" s="2" t="s">
        <x:v>637</x:v>
      </x:c>
      <x:c r="P3" s="2" t="s">
        <x:v>638</x:v>
      </x:c>
      <x:c r="Q3" s="2" t="s">
        <x:v>639</x:v>
      </x:c>
      <x:c r="R3" s="2" t="s">
        <x:v>640</x:v>
      </x:c>
      <x:c r="S3" s="2" t="s">
        <x:v>641</x:v>
      </x:c>
      <x:c r="T3" s="2" t="s">
        <x:v>642</x:v>
      </x:c>
      <x:c r="U3" s="2" t="s">
        <x:v>643</x:v>
      </x:c>
      <x:c r="V3" s="2" t="s">
        <x:v>644</x:v>
      </x:c>
      <x:c r="W3" s="2" t="s">
        <x:v>645</x:v>
      </x:c>
      <x:c r="X3" s="2" t="s">
        <x:v>97</x:v>
      </x:c>
      <x:c r="Y3" s="3" t="s">
        <x:v>646</x:v>
      </x:c>
    </x:row>
    <x:row r="4" ht="30.649999618530273" customHeight="1">
      <x:c r="A4" s="4" t="s">
        <x:v>158</x:v>
      </x:c>
      <x:c r="B4" s="5" t="s">
        <x:v>146</x:v>
      </x:c>
      <x:c r="C4" s="5" t="s">
        <x:v>647</x:v>
      </x:c>
      <x:c r="D4" s="36">
        <x:v>50</x:v>
      </x:c>
      <x:c r="E4" s="37" t="s">
        <x:v>648</x:v>
      </x:c>
      <x:c r="F4" s="36">
        <x:v>0</x:v>
      </x:c>
      <x:c r="G4" s="37" t="s">
        <x:v>649</x:v>
      </x:c>
      <x:c r="H4" s="36"/>
      <x:c r="I4" s="37"/>
      <x:c r="J4" s="36"/>
      <x:c r="K4" s="37"/>
      <x:c r="L4" s="36"/>
      <x:c r="M4" s="37"/>
      <x:c r="N4" s="36"/>
      <x:c r="O4" s="37"/>
      <x:c r="P4" s="36"/>
      <x:c r="Q4" s="37"/>
      <x:c r="R4" s="38" t="s">
        <x:v>650</x:v>
      </x:c>
      <x:c r="S4" s="38" t="n">
        <x:f>ROUND(D4+F4,5)</x:f>
        <x:v>50</x:v>
      </x:c>
      <x:c r="T4" s="38" t="s">
        <x:v>130</x:v>
      </x:c>
      <x:c r="U4" s="36"/>
      <x:c r="V4" s="37"/>
      <x:c r="W4" s="38"/>
      <x:c r="X4" s="5" t="s">
        <x:v>159</x:v>
      </x:c>
      <x:c r="Y4" s="6" t="s">
        <x:v>651</x:v>
      </x:c>
    </x:row>
    <x:row r="5" ht="30.649999618530273" customHeight="1">
      <x:c r="A5" s="7" t="s">
        <x:v>180</x:v>
      </x:c>
      <x:c r="B5" s="8" t="s">
        <x:v>172</x:v>
      </x:c>
      <x:c r="C5" s="8" t="s">
        <x:v>652</x:v>
      </x:c>
      <x:c r="D5" s="39">
        <x:v>50</x:v>
      </x:c>
      <x:c r="E5" s="40" t="s">
        <x:v>648</x:v>
      </x:c>
      <x:c r="F5" s="39">
        <x:v>50</x:v>
      </x:c>
      <x:c r="G5" s="40" t="s">
        <x:v>653</x:v>
      </x:c>
      <x:c r="H5" s="39"/>
      <x:c r="I5" s="40"/>
      <x:c r="J5" s="39"/>
      <x:c r="K5" s="40"/>
      <x:c r="L5" s="39"/>
      <x:c r="M5" s="40"/>
      <x:c r="N5" s="39"/>
      <x:c r="O5" s="40"/>
      <x:c r="P5" s="39"/>
      <x:c r="Q5" s="40"/>
      <x:c r="R5" s="41" t="s">
        <x:v>650</x:v>
      </x:c>
      <x:c r="S5" s="41" t="n">
        <x:f>ROUND(D5+F5,5)</x:f>
        <x:v>100</x:v>
      </x:c>
      <x:c r="T5" s="41" t="s">
        <x:v>130</x:v>
      </x:c>
      <x:c r="U5" s="39">
        <x:v>100</x:v>
      </x:c>
      <x:c r="V5" s="40" t="s">
        <x:v>654</x:v>
      </x:c>
      <x:c r="W5" s="41" t="n">
        <x:f>ROUND(S5-U5,5)</x:f>
        <x:v>0</x:v>
      </x:c>
      <x:c r="X5" s="8" t="s">
        <x:v>159</x:v>
      </x:c>
      <x:c r="Y5" s="9" t="s">
        <x:v>655</x:v>
      </x:c>
    </x:row>
    <x:row r="6" ht="30.649999618530273" customHeight="1">
      <x:c r="A6" s="7" t="s">
        <x:v>196</x:v>
      </x:c>
      <x:c r="B6" s="8" t="s">
        <x:v>190</x:v>
      </x:c>
      <x:c r="C6" s="8" t="s">
        <x:v>647</x:v>
      </x:c>
      <x:c r="D6" s="39">
        <x:v>100</x:v>
      </x:c>
      <x:c r="E6" s="40" t="s">
        <x:v>654</x:v>
      </x:c>
      <x:c r="F6" s="39">
        <x:v>0</x:v>
      </x:c>
      <x:c r="G6" s="40" t="s">
        <x:v>649</x:v>
      </x:c>
      <x:c r="H6" s="39"/>
      <x:c r="I6" s="40"/>
      <x:c r="J6" s="39"/>
      <x:c r="K6" s="40"/>
      <x:c r="L6" s="39"/>
      <x:c r="M6" s="40"/>
      <x:c r="N6" s="39"/>
      <x:c r="O6" s="40"/>
      <x:c r="P6" s="39"/>
      <x:c r="Q6" s="40"/>
      <x:c r="R6" s="41" t="s">
        <x:v>650</x:v>
      </x:c>
      <x:c r="S6" s="41" t="n">
        <x:f>ROUND(D6+F6,5)</x:f>
        <x:v>100</x:v>
      </x:c>
      <x:c r="T6" s="41" t="s">
        <x:v>130</x:v>
      </x:c>
      <x:c r="U6" s="39">
        <x:v>100</x:v>
      </x:c>
      <x:c r="V6" s="40" t="s">
        <x:v>656</x:v>
      </x:c>
      <x:c r="W6" s="41" t="n">
        <x:f>ROUND(S6-U6,5)</x:f>
        <x:v>0</x:v>
      </x:c>
      <x:c r="X6" s="8" t="s">
        <x:v>159</x:v>
      </x:c>
      <x:c r="Y6" s="9" t="s">
        <x:v>657</x:v>
      </x:c>
    </x:row>
    <x:row r="7" ht="30.649999618530273" customHeight="1">
      <x:c r="A7" s="7" t="s">
        <x:v>213</x:v>
      </x:c>
      <x:c r="B7" s="8" t="s">
        <x:v>207</x:v>
      </x:c>
      <x:c r="C7" s="8" t="s">
        <x:v>658</x:v>
      </x:c>
      <x:c r="D7" s="39">
        <x:v>100</x:v>
      </x:c>
      <x:c r="E7" s="40" t="s">
        <x:v>656</x:v>
      </x:c>
      <x:c r="F7" s="39">
        <x:v>28.204999999999998</x:v>
      </x:c>
      <x:c r="G7" s="40" t="s">
        <x:v>659</x:v>
      </x:c>
      <x:c r="H7" s="39"/>
      <x:c r="I7" s="40"/>
      <x:c r="J7" s="39"/>
      <x:c r="K7" s="40"/>
      <x:c r="L7" s="39"/>
      <x:c r="M7" s="40"/>
      <x:c r="N7" s="39"/>
      <x:c r="O7" s="40"/>
      <x:c r="P7" s="39"/>
      <x:c r="Q7" s="40"/>
      <x:c r="R7" s="41" t="s">
        <x:v>650</x:v>
      </x:c>
      <x:c r="S7" s="41" t="n">
        <x:f>ROUND(D7+F7,5)</x:f>
        <x:v>128.205</x:v>
      </x:c>
      <x:c r="T7" s="41" t="s">
        <x:v>130</x:v>
      </x:c>
      <x:c r="U7" s="39">
        <x:v>128.20500000000001</x:v>
      </x:c>
      <x:c r="V7" s="40" t="s">
        <x:v>660</x:v>
      </x:c>
      <x:c r="W7" s="41" t="n">
        <x:f>ROUND(S7-U7,5)</x:f>
        <x:v>0</x:v>
      </x:c>
      <x:c r="X7" s="8" t="s">
        <x:v>159</x:v>
      </x:c>
      <x:c r="Y7" s="9" t="s">
        <x:v>655</x:v>
      </x:c>
    </x:row>
    <x:row r="8" ht="30.649999618530273" customHeight="1">
      <x:c r="A8" s="7" t="s">
        <x:v>228</x:v>
      </x:c>
      <x:c r="B8" s="8" t="s">
        <x:v>223</x:v>
      </x:c>
      <x:c r="C8" s="8" t="s">
        <x:v>661</x:v>
      </x:c>
      <x:c r="D8" s="39">
        <x:v>128.20500000000001</x:v>
      </x:c>
      <x:c r="E8" s="40" t="s">
        <x:v>660</x:v>
      </x:c>
      <x:c r="F8" s="39">
        <x:v>8.7871400000000008</x:v>
      </x:c>
      <x:c r="G8" s="40" t="s">
        <x:v>662</x:v>
      </x:c>
      <x:c r="H8" s="39"/>
      <x:c r="I8" s="40"/>
      <x:c r="J8" s="39"/>
      <x:c r="K8" s="40"/>
      <x:c r="L8" s="39"/>
      <x:c r="M8" s="40"/>
      <x:c r="N8" s="39"/>
      <x:c r="O8" s="40"/>
      <x:c r="P8" s="39"/>
      <x:c r="Q8" s="40"/>
      <x:c r="R8" s="41" t="s">
        <x:v>650</x:v>
      </x:c>
      <x:c r="S8" s="41" t="n">
        <x:f>ROUND(D8+F8,5)</x:f>
        <x:v>136.99214</x:v>
      </x:c>
      <x:c r="T8" s="41" t="s">
        <x:v>130</x:v>
      </x:c>
      <x:c r="U8" s="39">
        <x:v>136.9864</x:v>
      </x:c>
      <x:c r="V8" s="40" t="s">
        <x:v>663</x:v>
      </x:c>
      <x:c r="W8" s="41" t="n">
        <x:f>ROUND(S8-U8,5)</x:f>
        <x:v>0.00574</x:v>
      </x:c>
      <x:c r="X8" s="8" t="str">
        <x:v>阶段五已验收／待阶段七校验</x:v>
      </x:c>
      <x:c r="Y8" s="9" t="str">
        <x:v>阶段五已验收其处理规则：保留原文披露值且不修正；0.00574万元差异继续留待阶段七正式校验。</x:v>
      </x:c>
    </x:row>
    <x:row r="9" ht="30.649999618530273" customHeight="1">
      <x:c r="A9" s="7" t="s">
        <x:v>245</x:v>
      </x:c>
      <x:c r="B9" s="8" t="s">
        <x:v>237</x:v>
      </x:c>
      <x:c r="C9" s="8" t="s">
        <x:v>664</x:v>
      </x:c>
      <x:c r="D9" s="39">
        <x:v>136.9864</x:v>
      </x:c>
      <x:c r="E9" s="40" t="s">
        <x:v>663</x:v>
      </x:c>
      <x:c r="F9" s="39">
        <x:v>2000</x:v>
      </x:c>
      <x:c r="G9" s="40" t="s">
        <x:v>249</x:v>
      </x:c>
      <x:c r="H9" s="39"/>
      <x:c r="I9" s="40"/>
      <x:c r="J9" s="39"/>
      <x:c r="K9" s="40"/>
      <x:c r="L9" s="39"/>
      <x:c r="M9" s="40"/>
      <x:c r="N9" s="39"/>
      <x:c r="O9" s="40"/>
      <x:c r="P9" s="39"/>
      <x:c r="Q9" s="40"/>
      <x:c r="R9" s="41" t="s">
        <x:v>665</x:v>
      </x:c>
      <x:c r="S9" s="41" t="n">
        <x:f>ROUND(F9-D9,5)</x:f>
        <x:v>1863.0136</x:v>
      </x:c>
      <x:c r="T9" s="41" t="s">
        <x:v>130</x:v>
      </x:c>
      <x:c r="U9" s="39"/>
      <x:c r="V9" s="40"/>
      <x:c r="W9" s="41"/>
      <x:c r="X9" s="8" t="s">
        <x:v>159</x:v>
      </x:c>
      <x:c r="Y9" s="9" t="s">
        <x:v>666</x:v>
      </x:c>
    </x:row>
    <x:row r="10" ht="30.649999618530273" customHeight="1">
      <x:c r="A10" s="7" t="s">
        <x:v>260</x:v>
      </x:c>
      <x:c r="B10" s="8" t="s">
        <x:v>255</x:v>
      </x:c>
      <x:c r="C10" s="8" t="s">
        <x:v>667</x:v>
      </x:c>
      <x:c r="D10" s="39">
        <x:v>2000</x:v>
      </x:c>
      <x:c r="E10" s="40" t="s">
        <x:v>249</x:v>
      </x:c>
      <x:c r="F10" s="39">
        <x:v>158.27330000000001</x:v>
      </x:c>
      <x:c r="G10" s="40" t="s">
        <x:v>668</x:v>
      </x:c>
      <x:c r="H10" s="39"/>
      <x:c r="I10" s="40"/>
      <x:c r="J10" s="39"/>
      <x:c r="K10" s="40"/>
      <x:c r="L10" s="39"/>
      <x:c r="M10" s="40"/>
      <x:c r="N10" s="39"/>
      <x:c r="O10" s="40"/>
      <x:c r="P10" s="39"/>
      <x:c r="Q10" s="40"/>
      <x:c r="R10" s="41" t="s">
        <x:v>650</x:v>
      </x:c>
      <x:c r="S10" s="41" t="n">
        <x:f>ROUND(D10+F10,5)</x:f>
        <x:v>2158.2733</x:v>
      </x:c>
      <x:c r="T10" s="41" t="s">
        <x:v>130</x:v>
      </x:c>
      <x:c r="U10" s="39">
        <x:v>2158.2732999999998</x:v>
      </x:c>
      <x:c r="V10" s="40" t="s">
        <x:v>669</x:v>
      </x:c>
      <x:c r="W10" s="41" t="n">
        <x:f>ROUND(S10-U10,5)</x:f>
        <x:v>0</x:v>
      </x:c>
      <x:c r="X10" s="8" t="s">
        <x:v>159</x:v>
      </x:c>
      <x:c r="Y10" s="9" t="s">
        <x:v>655</x:v>
      </x:c>
    </x:row>
    <x:row r="11" ht="30.649999618530273" customHeight="1">
      <x:c r="A11" s="7" t="s">
        <x:v>308</x:v>
      </x:c>
      <x:c r="B11" s="8" t="s">
        <x:v>297</x:v>
      </x:c>
      <x:c r="C11" s="8" t="s">
        <x:v>670</x:v>
      </x:c>
      <x:c r="D11" s="39">
        <x:v>4000</x:v>
      </x:c>
      <x:c r="E11" s="40" t="s">
        <x:v>671</x:v>
      </x:c>
      <x:c r="F11" s="39">
        <x:v>0</x:v>
      </x:c>
      <x:c r="G11" s="40" t="s">
        <x:v>672</x:v>
      </x:c>
      <x:c r="H11" s="39"/>
      <x:c r="I11" s="40"/>
      <x:c r="J11" s="39"/>
      <x:c r="K11" s="40"/>
      <x:c r="L11" s="39"/>
      <x:c r="M11" s="40"/>
      <x:c r="N11" s="39"/>
      <x:c r="O11" s="40"/>
      <x:c r="P11" s="39"/>
      <x:c r="Q11" s="40"/>
      <x:c r="R11" s="41" t="s">
        <x:v>650</x:v>
      </x:c>
      <x:c r="S11" s="41" t="n">
        <x:f>ROUND(D11+F11,5)</x:f>
        <x:v>4000</x:v>
      </x:c>
      <x:c r="T11" s="41" t="s">
        <x:v>130</x:v>
      </x:c>
      <x:c r="U11" s="39"/>
      <x:c r="V11" s="40"/>
      <x:c r="W11" s="41"/>
      <x:c r="X11" s="8" t="s">
        <x:v>159</x:v>
      </x:c>
      <x:c r="Y11" s="9" t="s">
        <x:v>673</x:v>
      </x:c>
    </x:row>
    <x:row r="12" ht="30.649999618530273" customHeight="1">
      <x:c r="A12" s="7" t="s">
        <x:v>674</x:v>
      </x:c>
      <x:c r="B12" s="8" t="s">
        <x:v>321</x:v>
      </x:c>
      <x:c r="C12" s="8" t="s">
        <x:v>675</x:v>
      </x:c>
      <x:c r="D12" s="39">
        <x:v>254.4787</x:v>
      </x:c>
      <x:c r="E12" s="40" t="s">
        <x:v>676</x:v>
      </x:c>
      <x:c r="F12" s="39">
        <x:v>61.8</x:v>
      </x:c>
      <x:c r="G12" s="40" t="s">
        <x:v>677</x:v>
      </x:c>
      <x:c r="H12" s="39">
        <x:v>54.384</x:v>
      </x:c>
      <x:c r="I12" s="40" t="s">
        <x:v>678</x:v>
      </x:c>
      <x:c r="J12" s="39">
        <x:v>7.0039999999999996</x:v>
      </x:c>
      <x:c r="K12" s="40" t="s">
        <x:v>679</x:v>
      </x:c>
      <x:c r="L12" s="39">
        <x:v>103</x:v>
      </x:c>
      <x:c r="M12" s="40" t="s">
        <x:v>680</x:v>
      </x:c>
      <x:c r="N12" s="39">
        <x:v>34.333300000000001</x:v>
      </x:c>
      <x:c r="O12" s="40" t="s">
        <x:v>681</x:v>
      </x:c>
      <x:c r="P12" s="39"/>
      <x:c r="Q12" s="40"/>
      <x:c r="R12" s="41" t="s">
        <x:v>682</x:v>
      </x:c>
      <x:c r="S12" s="41" t="n">
        <x:f>ROUND(SUM(D12,F12,H12,J12,L12,N12),5)</x:f>
        <x:v>515</x:v>
      </x:c>
      <x:c r="T12" s="41" t="s">
        <x:v>130</x:v>
      </x:c>
      <x:c r="U12" s="39"/>
      <x:c r="V12" s="40"/>
      <x:c r="W12" s="41"/>
      <x:c r="X12" s="8" t="s">
        <x:v>159</x:v>
      </x:c>
      <x:c r="Y12" s="9" t="s">
        <x:v>683</x:v>
      </x:c>
    </x:row>
    <x:row r="13" ht="30.649999618530273" customHeight="1">
      <x:c r="A13" s="7" t="s">
        <x:v>684</x:v>
      </x:c>
      <x:c r="B13" s="8" t="s">
        <x:v>344</x:v>
      </x:c>
      <x:c r="C13" s="8" t="s">
        <x:v>685</x:v>
      </x:c>
      <x:c r="D13" s="39">
        <x:v>20</x:v>
      </x:c>
      <x:c r="E13" s="40" t="s">
        <x:v>686</x:v>
      </x:c>
      <x:c r="F13" s="39">
        <x:v>20</x:v>
      </x:c>
      <x:c r="G13" s="40" t="s">
        <x:v>687</x:v>
      </x:c>
      <x:c r="H13" s="39">
        <x:v>20</x:v>
      </x:c>
      <x:c r="I13" s="40" t="s">
        <x:v>688</x:v>
      </x:c>
      <x:c r="J13" s="39">
        <x:v>60</x:v>
      </x:c>
      <x:c r="K13" s="40" t="s">
        <x:v>689</x:v>
      </x:c>
      <x:c r="L13" s="39"/>
      <x:c r="M13" s="40"/>
      <x:c r="N13" s="39"/>
      <x:c r="O13" s="40"/>
      <x:c r="P13" s="39"/>
      <x:c r="Q13" s="40"/>
      <x:c r="R13" s="41" t="s">
        <x:v>682</x:v>
      </x:c>
      <x:c r="S13" s="41" t="n">
        <x:f>ROUND(SUM(D13,F13,H13,J13),5)</x:f>
        <x:v>120</x:v>
      </x:c>
      <x:c r="T13" s="41" t="s">
        <x:v>130</x:v>
      </x:c>
      <x:c r="U13" s="39"/>
      <x:c r="V13" s="40"/>
      <x:c r="W13" s="41"/>
      <x:c r="X13" s="8" t="s">
        <x:v>159</x:v>
      </x:c>
      <x:c r="Y13" s="9" t="s">
        <x:v>690</x:v>
      </x:c>
    </x:row>
    <x:row r="14" ht="30.649999618530273" customHeight="1">
      <x:c r="A14" s="7" t="s">
        <x:v>691</x:v>
      </x:c>
      <x:c r="B14" s="8" t="s">
        <x:v>322</x:v>
      </x:c>
      <x:c r="C14" s="8" t="s">
        <x:v>692</x:v>
      </x:c>
      <x:c r="D14" s="39">
        <x:v>4000</x:v>
      </x:c>
      <x:c r="E14" s="40" t="s">
        <x:v>671</x:v>
      </x:c>
      <x:c r="F14" s="39">
        <x:v>7.0039999999999996</x:v>
      </x:c>
      <x:c r="G14" s="40" t="s">
        <x:v>679</x:v>
      </x:c>
      <x:c r="H14" s="39">
        <x:v>103</x:v>
      </x:c>
      <x:c r="I14" s="40" t="s">
        <x:v>680</x:v>
      </x:c>
      <x:c r="J14" s="39">
        <x:v>34.333300000000001</x:v>
      </x:c>
      <x:c r="K14" s="40" t="s">
        <x:v>681</x:v>
      </x:c>
      <x:c r="L14" s="42" t="n">
        <x:f>S13</x:f>
        <x:v>120</x:v>
      </x:c>
      <x:c r="M14" s="40" t="s">
        <x:v>684</x:v>
      </x:c>
      <x:c r="N14" s="39"/>
      <x:c r="O14" s="40"/>
      <x:c r="P14" s="39"/>
      <x:c r="Q14" s="40"/>
      <x:c r="R14" s="41" t="s">
        <x:v>693</x:v>
      </x:c>
      <x:c r="S14" s="41" t="n">
        <x:f>ROUND(SUM(D14,F14,H14,J14,L14),5)</x:f>
        <x:v>4264.3373</x:v>
      </x:c>
      <x:c r="T14" s="41" t="s">
        <x:v>130</x:v>
      </x:c>
      <x:c r="U14" s="39">
        <x:v>4264.3373000000001</x:v>
      </x:c>
      <x:c r="V14" s="40" t="s">
        <x:v>694</x:v>
      </x:c>
      <x:c r="W14" s="41" t="n">
        <x:f>ROUND(S14-U14,5)</x:f>
        <x:v>0</x:v>
      </x:c>
      <x:c r="X14" s="8" t="s">
        <x:v>159</x:v>
      </x:c>
      <x:c r="Y14" s="9" t="s">
        <x:v>695</x:v>
      </x:c>
    </x:row>
    <x:row r="15" ht="30.649999618530273" customHeight="1">
      <x:c r="A15" s="7" t="s">
        <x:v>696</x:v>
      </x:c>
      <x:c r="B15" s="8" t="s">
        <x:v>322</x:v>
      </x:c>
      <x:c r="C15" s="8" t="s">
        <x:v>697</x:v>
      </x:c>
      <x:c r="D15" s="39">
        <x:v>4000</x:v>
      </x:c>
      <x:c r="E15" s="40" t="s">
        <x:v>671</x:v>
      </x:c>
      <x:c r="F15" s="42" t="n">
        <x:f>S12</x:f>
        <x:v>515</x:v>
      </x:c>
      <x:c r="G15" s="40" t="s">
        <x:v>674</x:v>
      </x:c>
      <x:c r="H15" s="42" t="n">
        <x:f>S13</x:f>
        <x:v>120</x:v>
      </x:c>
      <x:c r="I15" s="40" t="s">
        <x:v>684</x:v>
      </x:c>
      <x:c r="J15" s="39"/>
      <x:c r="K15" s="40"/>
      <x:c r="L15" s="39"/>
      <x:c r="M15" s="40"/>
      <x:c r="N15" s="39"/>
      <x:c r="O15" s="40"/>
      <x:c r="P15" s="39"/>
      <x:c r="Q15" s="40"/>
      <x:c r="R15" s="41" t="s">
        <x:v>693</x:v>
      </x:c>
      <x:c r="S15" s="41" t="n">
        <x:f>ROUND(SUM(D15,F15,H15),5)</x:f>
        <x:v>4635</x:v>
      </x:c>
      <x:c r="T15" s="41" t="s">
        <x:v>130</x:v>
      </x:c>
      <x:c r="U15" s="39">
        <x:v>4635</x:v>
      </x:c>
      <x:c r="V15" s="40" t="s">
        <x:v>698</x:v>
      </x:c>
      <x:c r="W15" s="41" t="n">
        <x:f>ROUND(S15-U15,5)</x:f>
        <x:v>0</x:v>
      </x:c>
      <x:c r="X15" s="8" t="s">
        <x:v>159</x:v>
      </x:c>
      <x:c r="Y15" s="9" t="s">
        <x:v>699</x:v>
      </x:c>
    </x:row>
    <x:row r="16" ht="30.649999618530273" customHeight="1">
      <x:c r="A16" s="7" t="s">
        <x:v>392</x:v>
      </x:c>
      <x:c r="B16" s="8" t="s">
        <x:v>384</x:v>
      </x:c>
      <x:c r="C16" s="8" t="s">
        <x:v>670</x:v>
      </x:c>
      <x:c r="D16" s="39">
        <x:v>4635</x:v>
      </x:c>
      <x:c r="E16" s="40" t="s">
        <x:v>698</x:v>
      </x:c>
      <x:c r="F16" s="39">
        <x:v>0</x:v>
      </x:c>
      <x:c r="G16" s="40" t="s">
        <x:v>672</x:v>
      </x:c>
      <x:c r="H16" s="39"/>
      <x:c r="I16" s="40"/>
      <x:c r="J16" s="39"/>
      <x:c r="K16" s="40"/>
      <x:c r="L16" s="39"/>
      <x:c r="M16" s="40"/>
      <x:c r="N16" s="39"/>
      <x:c r="O16" s="40"/>
      <x:c r="P16" s="39"/>
      <x:c r="Q16" s="40"/>
      <x:c r="R16" s="41" t="s">
        <x:v>650</x:v>
      </x:c>
      <x:c r="S16" s="41" t="n">
        <x:f>ROUND(D16+F16,5)</x:f>
        <x:v>4635</x:v>
      </x:c>
      <x:c r="T16" s="41" t="s">
        <x:v>130</x:v>
      </x:c>
      <x:c r="U16" s="39"/>
      <x:c r="V16" s="40"/>
      <x:c r="W16" s="41"/>
      <x:c r="X16" s="8" t="s">
        <x:v>159</x:v>
      </x:c>
      <x:c r="Y16" s="9" t="s">
        <x:v>700</x:v>
      </x:c>
    </x:row>
    <x:row r="17" ht="30.649999618530273" customHeight="1">
      <x:c r="A17" s="7" t="s">
        <x:v>412</x:v>
      </x:c>
      <x:c r="B17" s="8" t="s">
        <x:v>404</x:v>
      </x:c>
      <x:c r="C17" s="8" t="s">
        <x:v>701</x:v>
      </x:c>
      <x:c r="D17" s="39">
        <x:v>4635</x:v>
      </x:c>
      <x:c r="E17" s="40" t="s">
        <x:v>702</x:v>
      </x:c>
      <x:c r="F17" s="39">
        <x:v>1130488</x:v>
      </x:c>
      <x:c r="G17" s="40" t="s">
        <x:v>703</x:v>
      </x:c>
      <x:c r="H17" s="39"/>
      <x:c r="I17" s="40"/>
      <x:c r="J17" s="39"/>
      <x:c r="K17" s="40"/>
      <x:c r="L17" s="39"/>
      <x:c r="M17" s="40"/>
      <x:c r="N17" s="39"/>
      <x:c r="O17" s="40"/>
      <x:c r="P17" s="39"/>
      <x:c r="Q17" s="40"/>
      <x:c r="R17" s="41" t="s">
        <x:v>704</x:v>
      </x:c>
      <x:c r="S17" s="41" t="n">
        <x:f>ROUND(D17+F17/10000,5)</x:f>
        <x:v>4748.0488</x:v>
      </x:c>
      <x:c r="T17" s="41" t="s">
        <x:v>130</x:v>
      </x:c>
      <x:c r="U17" s="39">
        <x:v>4748.0487999999996</x:v>
      </x:c>
      <x:c r="V17" s="40" t="s">
        <x:v>705</x:v>
      </x:c>
      <x:c r="W17" s="41" t="n">
        <x:f>ROUND(S17-U17,5)</x:f>
        <x:v>0</x:v>
      </x:c>
      <x:c r="X17" s="8" t="s">
        <x:v>159</x:v>
      </x:c>
      <x:c r="Y17" s="9" t="s">
        <x:v>706</x:v>
      </x:c>
    </x:row>
    <x:row r="18" ht="30.649999618530273" customHeight="1">
      <x:c r="A18" s="7" t="s">
        <x:v>431</x:v>
      </x:c>
      <x:c r="B18" s="8" t="s">
        <x:v>424</x:v>
      </x:c>
      <x:c r="C18" s="8" t="s">
        <x:v>707</x:v>
      </x:c>
      <x:c r="D18" s="39">
        <x:v>4748.0487999999996</x:v>
      </x:c>
      <x:c r="E18" s="40" t="s">
        <x:v>708</x:v>
      </x:c>
      <x:c r="F18" s="39">
        <x:v>968990</x:v>
      </x:c>
      <x:c r="G18" s="40" t="s">
        <x:v>709</x:v>
      </x:c>
      <x:c r="H18" s="39">
        <x:v>387596</x:v>
      </x:c>
      <x:c r="I18" s="40" t="s">
        <x:v>710</x:v>
      </x:c>
      <x:c r="J18" s="39"/>
      <x:c r="K18" s="40"/>
      <x:c r="L18" s="39"/>
      <x:c r="M18" s="40"/>
      <x:c r="N18" s="39"/>
      <x:c r="O18" s="40"/>
      <x:c r="P18" s="39"/>
      <x:c r="Q18" s="40"/>
      <x:c r="R18" s="41" t="s">
        <x:v>711</x:v>
      </x:c>
      <x:c r="S18" s="41" t="n">
        <x:f>ROUND(D18+(F18+H18)/10000,5)</x:f>
        <x:v>4883.7074</x:v>
      </x:c>
      <x:c r="T18" s="41" t="s">
        <x:v>130</x:v>
      </x:c>
      <x:c r="U18" s="39">
        <x:v>4883.7074000000002</x:v>
      </x:c>
      <x:c r="V18" s="40" t="s">
        <x:v>712</x:v>
      </x:c>
      <x:c r="W18" s="41" t="n">
        <x:f>ROUND(S18-U18,5)</x:f>
        <x:v>0</x:v>
      </x:c>
      <x:c r="X18" s="8" t="s">
        <x:v>159</x:v>
      </x:c>
      <x:c r="Y18" s="9" t="s">
        <x:v>713</x:v>
      </x:c>
    </x:row>
    <x:row r="19" ht="30.649999618530273" customHeight="1">
      <x:c r="A19" s="10" t="s">
        <x:v>448</x:v>
      </x:c>
      <x:c r="B19" s="11" t="s">
        <x:v>443</x:v>
      </x:c>
      <x:c r="C19" s="11" t="s">
        <x:v>670</x:v>
      </x:c>
      <x:c r="D19" s="43">
        <x:v>4883.7074000000002</x:v>
      </x:c>
      <x:c r="E19" s="44" t="s">
        <x:v>712</x:v>
      </x:c>
      <x:c r="F19" s="43">
        <x:v>0</x:v>
      </x:c>
      <x:c r="G19" s="44" t="s">
        <x:v>672</x:v>
      </x:c>
      <x:c r="H19" s="43"/>
      <x:c r="I19" s="44"/>
      <x:c r="J19" s="43"/>
      <x:c r="K19" s="44"/>
      <x:c r="L19" s="43"/>
      <x:c r="M19" s="44"/>
      <x:c r="N19" s="43"/>
      <x:c r="O19" s="44"/>
      <x:c r="P19" s="43"/>
      <x:c r="Q19" s="44"/>
      <x:c r="R19" s="45" t="s">
        <x:v>650</x:v>
      </x:c>
      <x:c r="S19" s="45" t="n">
        <x:f>ROUND(D19+F19,5)</x:f>
        <x:v>4883.7074</x:v>
      </x:c>
      <x:c r="T19" s="45" t="s">
        <x:v>130</x:v>
      </x:c>
      <x:c r="U19" s="43"/>
      <x:c r="V19" s="44"/>
      <x:c r="W19" s="45"/>
      <x:c r="X19" s="11" t="s">
        <x:v>159</x:v>
      </x:c>
      <x:c r="Y19" s="12" t="s">
        <x:v>700</x:v>
      </x:c>
    </x:row>
  </x:sheetData>
  <x:mergeCells>
    <x:mergeCell ref="A1:Y1"/>
    <x:mergeCell ref="A2:Q2"/>
    <x:mergeCell ref="R2:Y2"/>
  </x:mergeCells>
  <x:conditionalFormatting sqref="W4:W19">
    <x:cfRule type="expression" dxfId="3" priority="1">
      <x:formula>ABS(W4)&gt;0.000001</x:formula>
    </x:cfRule>
  </x:conditionalFormatting>
  <x:conditionalFormatting sqref="X4:X19">
    <x:cfRule type="expression" dxfId="2" priority="2">
      <x:formula>ISNUMBER(SEARCH("待人工复核",X4))</x:formula>
    </x:cfRule>
  </x:conditionalFormatting>
  <x:pageMargins left="0.7" right="0.7" top="0.75" bottom="0.75" header="0.3" footer="0.3"/>
  <x:tableParts count="1">
    <x:tablePart xmlns:r="http://schemas.openxmlformats.org/officeDocument/2006/relationships" r:id="Rd3b17e629948440b"/>
  </x:tableParts>
</x:worksheet>
</file>

<file path=xl/worksheets/sheet5.xml><?xml version="1.0" encoding="utf-8"?>
<x:worksheet xmlns:x="http://schemas.openxmlformats.org/spreadsheetml/2006/main">
  <x:sheetFormatPr defaultRowHeight="14"/>
  <x:cols>
    <x:col min="1" max="1" width="14" customWidth="1"/>
    <x:col min="2" max="2" width="22" customWidth="1"/>
    <x:col min="3" max="3" width="24" customWidth="1"/>
    <x:col min="4" max="4" width="32" customWidth="1"/>
    <x:col min="5" max="5" width="58" customWidth="1"/>
    <x:col min="6" max="6" width="36" customWidth="1"/>
    <x:col min="7" max="9" width="16" customWidth="1"/>
    <x:col min="10" max="10" width="40" customWidth="1"/>
  </x:cols>
  <x:sheetData>
    <x:row r="1" ht="18.649999618530273" customHeight="1">
      <x:c r="A1" s="46" t="str">
        <x:v>阶段五：排除项、辅助非事件及后续校验事项（最终验收版）</x:v>
      </x:c>
      <x:c r="B1" s="46"/>
      <x:c r="C1" s="46"/>
      <x:c r="D1" s="46"/>
      <x:c r="E1" s="46"/>
      <x:c r="F1" s="46"/>
      <x:c r="G1" s="46"/>
      <x:c r="H1" s="46"/>
      <x:c r="I1" s="46"/>
      <x:c r="J1" s="46"/>
    </x:row>
    <x:row r="2">
      <x:c r="A2" s="47" t="s">
        <x:v>714</x:v>
      </x:c>
      <x:c r="B2" s="47"/>
      <x:c r="C2" s="47"/>
      <x:c r="D2" s="47"/>
      <x:c r="E2" s="47"/>
      <x:c r="F2" s="47"/>
      <x:c r="G2" s="47"/>
      <x:c r="H2" s="47"/>
      <x:c r="I2" s="47"/>
      <x:c r="J2" s="47"/>
    </x:row>
    <x:row r="3">
      <x:c r="A3" s="1" t="s">
        <x:v>715</x:v>
      </x:c>
      <x:c r="B3" s="2" t="s">
        <x:v>72</x:v>
      </x:c>
      <x:c r="C3" s="2" t="s">
        <x:v>716</x:v>
      </x:c>
      <x:c r="D3" s="2" t="s">
        <x:v>717</x:v>
      </x:c>
      <x:c r="E3" s="2" t="s">
        <x:v>718</x:v>
      </x:c>
      <x:c r="F3" s="2" t="s">
        <x:v>103</x:v>
      </x:c>
      <x:c r="G3" s="2" t="s">
        <x:v>105</x:v>
      </x:c>
      <x:c r="H3" s="2" t="s">
        <x:v>106</x:v>
      </x:c>
      <x:c r="I3" s="2" t="s">
        <x:v>111</x:v>
      </x:c>
      <x:c r="J3" s="3" t="s">
        <x:v>112</x:v>
      </x:c>
    </x:row>
    <x:row r="4" ht="34.650001525878906" customHeight="1">
      <x:c r="A4" s="4" t="s">
        <x:v>719</x:v>
      </x:c>
      <x:c r="B4" s="5" t="s">
        <x:v>147</x:v>
      </x:c>
      <x:c r="C4" s="5" t="s">
        <x:v>720</x:v>
      </x:c>
      <x:c r="D4" s="5" t="s">
        <x:v>721</x:v>
      </x:c>
      <x:c r="E4" s="5" t="s">
        <x:v>722</x:v>
      </x:c>
      <x:c r="F4" s="5" t="s">
        <x:v>183</x:v>
      </x:c>
      <x:c r="G4" s="5" t="s">
        <x:v>165</x:v>
      </x:c>
      <x:c r="H4" s="5" t="s">
        <x:v>166</x:v>
      </x:c>
      <x:c r="I4" s="5" t="str">
        <x:v>已验收通过</x:v>
      </x:c>
      <x:c r="J4" s="6" t="s">
        <x:v>723</x:v>
      </x:c>
    </x:row>
    <x:row r="5" ht="34.650001525878906" customHeight="1">
      <x:c r="A5" s="7" t="s">
        <x:v>724</x:v>
      </x:c>
      <x:c r="B5" s="8" t="s">
        <x:v>322</x:v>
      </x:c>
      <x:c r="C5" s="8" t="s">
        <x:v>720</x:v>
      </x:c>
      <x:c r="D5" s="8" t="s">
        <x:v>721</x:v>
      </x:c>
      <x:c r="E5" s="8" t="s">
        <x:v>725</x:v>
      </x:c>
      <x:c r="F5" s="8" t="s">
        <x:v>726</x:v>
      </x:c>
      <x:c r="G5" s="8" t="s">
        <x:v>727</x:v>
      </x:c>
      <x:c r="H5" s="8" t="s">
        <x:v>728</x:v>
      </x:c>
      <x:c r="I5" s="8" t="str">
        <x:v>已验收通过</x:v>
      </x:c>
      <x:c r="J5" s="9" t="s">
        <x:v>723</x:v>
      </x:c>
    </x:row>
    <x:row r="6" ht="34.650001525878906" customHeight="1">
      <x:c r="A6" s="7" t="s">
        <x:v>729</x:v>
      </x:c>
      <x:c r="B6" s="8" t="s">
        <x:v>425</x:v>
      </x:c>
      <x:c r="C6" s="8" t="s">
        <x:v>720</x:v>
      </x:c>
      <x:c r="D6" s="8" t="s">
        <x:v>721</x:v>
      </x:c>
      <x:c r="E6" s="8" t="s">
        <x:v>730</x:v>
      </x:c>
      <x:c r="F6" s="8" t="s">
        <x:v>731</x:v>
      </x:c>
      <x:c r="G6" s="8" t="s">
        <x:v>732</x:v>
      </x:c>
      <x:c r="H6" s="8" t="s">
        <x:v>733</x:v>
      </x:c>
      <x:c r="I6" s="8" t="str">
        <x:v>已验收通过</x:v>
      </x:c>
      <x:c r="J6" s="9" t="s">
        <x:v>723</x:v>
      </x:c>
    </x:row>
    <x:row r="7" ht="34.650001525878906" customHeight="1">
      <x:c r="A7" s="7" t="s">
        <x:v>734</x:v>
      </x:c>
      <x:c r="B7" s="8" t="s">
        <x:v>735</x:v>
      </x:c>
      <x:c r="C7" s="8" t="s">
        <x:v>736</x:v>
      </x:c>
      <x:c r="D7" s="8" t="s">
        <x:v>737</x:v>
      </x:c>
      <x:c r="E7" s="8" t="s">
        <x:v>738</x:v>
      </x:c>
      <x:c r="F7" s="8" t="s">
        <x:v>739</x:v>
      </x:c>
      <x:c r="G7" s="8" t="s">
        <x:v>740</x:v>
      </x:c>
      <x:c r="H7" s="8" t="s">
        <x:v>741</x:v>
      </x:c>
      <x:c r="I7" s="8" t="str">
        <x:v>已验收通过</x:v>
      </x:c>
      <x:c r="J7" s="9" t="s">
        <x:v>723</x:v>
      </x:c>
    </x:row>
    <x:row r="8" ht="34.650001525878906" customHeight="1">
      <x:c r="A8" s="7" t="s">
        <x:v>742</x:v>
      </x:c>
      <x:c r="B8" s="8" t="s">
        <x:v>743</x:v>
      </x:c>
      <x:c r="C8" s="8" t="s">
        <x:v>744</x:v>
      </x:c>
      <x:c r="D8" s="8" t="s">
        <x:v>737</x:v>
      </x:c>
      <x:c r="E8" s="8" t="s">
        <x:v>745</x:v>
      </x:c>
      <x:c r="F8" s="8" t="s">
        <x:v>746</x:v>
      </x:c>
      <x:c r="G8" s="8" t="s">
        <x:v>747</x:v>
      </x:c>
      <x:c r="H8" s="8" t="s">
        <x:v>748</x:v>
      </x:c>
      <x:c r="I8" s="8" t="str">
        <x:v>已验收通过</x:v>
      </x:c>
      <x:c r="J8" s="9" t="s">
        <x:v>723</x:v>
      </x:c>
    </x:row>
    <x:row r="9" ht="34.650001525878906" customHeight="1">
      <x:c r="A9" s="7" t="s">
        <x:v>749</x:v>
      </x:c>
      <x:c r="B9" s="8" t="s">
        <x:v>750</x:v>
      </x:c>
      <x:c r="C9" s="8" t="s">
        <x:v>744</x:v>
      </x:c>
      <x:c r="D9" s="8" t="s">
        <x:v>737</x:v>
      </x:c>
      <x:c r="E9" s="8" t="s">
        <x:v>745</x:v>
      </x:c>
      <x:c r="F9" s="8" t="s">
        <x:v>751</x:v>
      </x:c>
      <x:c r="G9" s="8" t="s">
        <x:v>752</x:v>
      </x:c>
      <x:c r="H9" s="8" t="s">
        <x:v>753</x:v>
      </x:c>
      <x:c r="I9" s="8" t="str">
        <x:v>已验收通过</x:v>
      </x:c>
      <x:c r="J9" s="9" t="s">
        <x:v>723</x:v>
      </x:c>
    </x:row>
    <x:row r="10" ht="34.650001525878906" customHeight="1">
      <x:c r="A10" s="7" t="s">
        <x:v>754</x:v>
      </x:c>
      <x:c r="B10" s="8" t="s">
        <x:v>755</x:v>
      </x:c>
      <x:c r="C10" s="8" t="s">
        <x:v>744</x:v>
      </x:c>
      <x:c r="D10" s="8" t="s">
        <x:v>737</x:v>
      </x:c>
      <x:c r="E10" s="8" t="s">
        <x:v>745</x:v>
      </x:c>
      <x:c r="F10" s="8" t="s">
        <x:v>756</x:v>
      </x:c>
      <x:c r="G10" s="8" t="s">
        <x:v>757</x:v>
      </x:c>
      <x:c r="H10" s="8" t="s">
        <x:v>758</x:v>
      </x:c>
      <x:c r="I10" s="8" t="str">
        <x:v>已验收通过</x:v>
      </x:c>
      <x:c r="J10" s="9" t="s">
        <x:v>723</x:v>
      </x:c>
    </x:row>
    <x:row r="11" ht="34.650001525878906" customHeight="1">
      <x:c r="A11" s="7" t="s">
        <x:v>759</x:v>
      </x:c>
      <x:c r="B11" s="8" t="s">
        <x:v>760</x:v>
      </x:c>
      <x:c r="C11" s="8" t="s">
        <x:v>744</x:v>
      </x:c>
      <x:c r="D11" s="8" t="s">
        <x:v>737</x:v>
      </x:c>
      <x:c r="E11" s="8" t="s">
        <x:v>745</x:v>
      </x:c>
      <x:c r="F11" s="8" t="s">
        <x:v>761</x:v>
      </x:c>
      <x:c r="G11" s="8" t="s">
        <x:v>762</x:v>
      </x:c>
      <x:c r="H11" s="8" t="s">
        <x:v>757</x:v>
      </x:c>
      <x:c r="I11" s="8" t="str">
        <x:v>已验收通过</x:v>
      </x:c>
      <x:c r="J11" s="9" t="s">
        <x:v>723</x:v>
      </x:c>
    </x:row>
    <x:row r="12" ht="34.650001525878906" customHeight="1">
      <x:c r="A12" s="10" t="s">
        <x:v>763</x:v>
      </x:c>
      <x:c r="B12" s="11" t="s">
        <x:v>764</x:v>
      </x:c>
      <x:c r="C12" s="11" t="s">
        <x:v>744</x:v>
      </x:c>
      <x:c r="D12" s="11" t="s">
        <x:v>737</x:v>
      </x:c>
      <x:c r="E12" s="11" t="s">
        <x:v>745</x:v>
      </x:c>
      <x:c r="F12" s="11" t="s">
        <x:v>765</x:v>
      </x:c>
      <x:c r="G12" s="11" t="s">
        <x:v>766</x:v>
      </x:c>
      <x:c r="H12" s="11" t="s">
        <x:v>767</x:v>
      </x:c>
      <x:c r="I12" s="11" t="str">
        <x:v>已验收通过</x:v>
      </x:c>
      <x:c r="J12" s="12" t="s">
        <x:v>723</x:v>
      </x:c>
    </x:row>
    <x:row r="13" ht="34.650001525878906" customHeight="1"/>
    <x:row r="14" ht="34.650001525878906" customHeight="1">
      <x:c r="A14" s="47" t="s">
        <x:v>768</x:v>
      </x:c>
      <x:c r="B14" s="47"/>
      <x:c r="C14" s="47"/>
      <x:c r="D14" s="47"/>
      <x:c r="E14" s="47"/>
      <x:c r="F14" s="47"/>
      <x:c r="G14" s="47"/>
      <x:c r="H14" s="47"/>
      <x:c r="I14" s="47"/>
      <x:c r="J14" s="47"/>
    </x:row>
    <x:row r="15" ht="34.650001525878906" customHeight="1">
      <x:c r="A15" s="1" t="s">
        <x:v>715</x:v>
      </x:c>
      <x:c r="B15" s="2" t="s">
        <x:v>72</x:v>
      </x:c>
      <x:c r="C15" s="2" t="s">
        <x:v>716</x:v>
      </x:c>
      <x:c r="D15" s="2" t="s">
        <x:v>717</x:v>
      </x:c>
      <x:c r="E15" s="2" t="s">
        <x:v>718</x:v>
      </x:c>
      <x:c r="F15" s="2" t="s">
        <x:v>103</x:v>
      </x:c>
      <x:c r="G15" s="2" t="s">
        <x:v>105</x:v>
      </x:c>
      <x:c r="H15" s="2" t="s">
        <x:v>106</x:v>
      </x:c>
      <x:c r="I15" s="2" t="s">
        <x:v>111</x:v>
      </x:c>
      <x:c r="J15" s="3" t="s">
        <x:v>112</x:v>
      </x:c>
    </x:row>
    <x:row r="16" ht="34.650001525878906" customHeight="1">
      <x:c r="A16" s="4" t="s">
        <x:v>769</x:v>
      </x:c>
      <x:c r="B16" s="5" t="s">
        <x:v>115</x:v>
      </x:c>
      <x:c r="C16" s="5" t="s">
        <x:v>770</x:v>
      </x:c>
      <x:c r="D16" s="5" t="s">
        <x:v>771</x:v>
      </x:c>
      <x:c r="E16" s="5" t="s">
        <x:v>772</x:v>
      </x:c>
      <x:c r="F16" s="5" t="s">
        <x:v>773</x:v>
      </x:c>
      <x:c r="G16" s="5" t="s">
        <x:v>166</x:v>
      </x:c>
      <x:c r="H16" s="5" t="s">
        <x:v>482</x:v>
      </x:c>
      <x:c r="I16" s="5" t="str">
        <x:v>已验收通过</x:v>
      </x:c>
      <x:c r="J16" s="6" t="s">
        <x:v>774</x:v>
      </x:c>
    </x:row>
    <x:row r="17" ht="34.650001525878906" customHeight="1">
      <x:c r="A17" s="10" t="s">
        <x:v>775</x:v>
      </x:c>
      <x:c r="B17" s="11" t="s">
        <x:v>776</x:v>
      </x:c>
      <x:c r="C17" s="11" t="s">
        <x:v>777</x:v>
      </x:c>
      <x:c r="D17" s="11" t="s">
        <x:v>771</x:v>
      </x:c>
      <x:c r="E17" s="11" t="s">
        <x:v>778</x:v>
      </x:c>
      <x:c r="F17" s="11" t="s">
        <x:v>779</x:v>
      </x:c>
      <x:c r="G17" s="11" t="s">
        <x:v>780</x:v>
      </x:c>
      <x:c r="H17" s="11" t="s">
        <x:v>781</x:v>
      </x:c>
      <x:c r="I17" s="11" t="str">
        <x:v>已验收通过</x:v>
      </x:c>
      <x:c r="J17" s="12" t="s">
        <x:v>782</x:v>
      </x:c>
    </x:row>
    <x:row r="18" ht="34.650001525878906" customHeight="1"/>
    <x:row r="19" ht="34.650001525878906" customHeight="1">
      <x:c r="A19" s="47" t="str">
        <x:v>C. 阶段五已确认并转入后续阶段的事项</x:v>
      </x:c>
      <x:c r="B19" s="47"/>
      <x:c r="C19" s="47"/>
      <x:c r="D19" s="47"/>
      <x:c r="E19" s="47"/>
      <x:c r="F19" s="47"/>
      <x:c r="G19" s="47"/>
      <x:c r="H19" s="47"/>
      <x:c r="I19" s="47"/>
      <x:c r="J19" s="47"/>
    </x:row>
    <x:row r="20" ht="34.650001525878906" customHeight="1">
      <x:c r="A20" s="1" t="s">
        <x:v>783</x:v>
      </x:c>
      <x:c r="B20" s="2" t="s">
        <x:v>72</x:v>
      </x:c>
      <x:c r="C20" s="2" t="s">
        <x:v>784</x:v>
      </x:c>
      <x:c r="D20" s="2" t="s">
        <x:v>785</x:v>
      </x:c>
      <x:c r="E20" s="2" t="s">
        <x:v>786</x:v>
      </x:c>
      <x:c r="F20" s="2" t="s">
        <x:v>787</x:v>
      </x:c>
      <x:c r="G20" s="2" t="s">
        <x:v>788</x:v>
      </x:c>
      <x:c r="H20" s="2" t="s">
        <x:v>789</x:v>
      </x:c>
      <x:c r="I20" s="2" t="s">
        <x:v>790</x:v>
      </x:c>
      <x:c r="J20" s="3" t="s">
        <x:v>112</x:v>
      </x:c>
    </x:row>
    <x:row r="21" ht="34.650001525878906" customHeight="1">
      <x:c r="A21" s="4" t="s">
        <x:v>791</x:v>
      </x:c>
      <x:c r="B21" s="5" t="s">
        <x:v>223</x:v>
      </x:c>
      <x:c r="C21" s="5" t="s">
        <x:v>792</x:v>
      </x:c>
      <x:c r="D21" s="5" t="s">
        <x:v>793</x:v>
      </x:c>
      <x:c r="E21" s="5" t="s">
        <x:v>794</x:v>
      </x:c>
      <x:c r="F21" s="5" t="s">
        <x:v>795</x:v>
      </x:c>
      <x:c r="G21" s="5" t="s">
        <x:v>796</x:v>
      </x:c>
      <x:c r="H21" s="5" t="s">
        <x:v>797</x:v>
      </x:c>
      <x:c r="I21" s="5" t="str">
        <x:v>阶段五已确认／待阶段七校验</x:v>
      </x:c>
      <x:c r="J21" s="6" t="str">
        <x:v>阶段五已确认保留原文值并不作修正；该差异必须在阶段七继续进行正式数值校验。</x:v>
      </x:c>
    </x:row>
    <x:row r="22" ht="34.650001525878906" customHeight="1">
      <x:c r="A22" s="7" t="s">
        <x:v>798</x:v>
      </x:c>
      <x:c r="B22" s="8" t="s">
        <x:v>799</x:v>
      </x:c>
      <x:c r="C22" s="8" t="s">
        <x:v>800</x:v>
      </x:c>
      <x:c r="D22" s="8" t="s">
        <x:v>801</x:v>
      </x:c>
      <x:c r="E22" s="8" t="s">
        <x:v>802</x:v>
      </x:c>
      <x:c r="F22" s="8" t="s">
        <x:v>803</x:v>
      </x:c>
      <x:c r="G22" s="8" t="s">
        <x:v>804</x:v>
      </x:c>
      <x:c r="H22" s="8" t="s">
        <x:v>805</x:v>
      </x:c>
      <x:c r="I22" s="8" t="str">
        <x:v>已验收通过</x:v>
      </x:c>
      <x:c r="J22" s="9" t="str">
        <x:v>时间线排序边界已验收；不推定原文未披露的逐笔先后。</x:v>
      </x:c>
    </x:row>
    <x:row r="23" ht="34.650001525878906" customHeight="1">
      <x:c r="A23" s="10" t="s">
        <x:v>806</x:v>
      </x:c>
      <x:c r="B23" s="11" t="s">
        <x:v>807</x:v>
      </x:c>
      <x:c r="C23" s="11" t="s">
        <x:v>808</x:v>
      </x:c>
      <x:c r="D23" s="11" t="s">
        <x:v>809</x:v>
      </x:c>
      <x:c r="E23" s="11" t="s">
        <x:v>810</x:v>
      </x:c>
      <x:c r="F23" s="11" t="s">
        <x:v>811</x:v>
      </x:c>
      <x:c r="G23" s="11" t="s">
        <x:v>812</x:v>
      </x:c>
      <x:c r="H23" s="11" t="s">
        <x:v>813</x:v>
      </x:c>
      <x:c r="I23" s="11" t="str">
        <x:v>已验收通过</x:v>
      </x:c>
      <x:c r="J23" s="12" t="str">
        <x:v>同月事件边界已验收；阶段六制作结构快照时继续保留该限制。</x:v>
      </x:c>
    </x:row>
  </x:sheetData>
  <x:mergeCells>
    <x:mergeCell ref="A1:J1"/>
    <x:mergeCell ref="A2:J2"/>
    <x:mergeCell ref="A14:J14"/>
    <x:mergeCell ref="A19:J19"/>
  </x:mergeCells>
  <x:conditionalFormatting sqref="I4:I23">
    <x:cfRule type="expression" dxfId="1" priority="1">
      <x:formula>I4="待用户复核"</x:formula>
    </x:cfRule>
  </x:conditionalFormatting>
  <x:pageMargins left="0.7" right="0.7" top="0.75" bottom="0.75" header="0.3" footer="0.3"/>
</x:worksheet>
</file>

<file path=xl/worksheets/sheet6.xml><?xml version="1.0" encoding="utf-8"?>
<x:worksheet xmlns:x="http://schemas.openxmlformats.org/spreadsheetml/2006/main">
  <x:sheetFormatPr defaultRowHeight="14"/>
  <x:cols>
    <x:col min="1" max="1" width="12" customWidth="1"/>
    <x:col min="2" max="2" width="14" customWidth="1"/>
    <x:col min="3" max="5" width="18" customWidth="1"/>
    <x:col min="6" max="6" width="20" customWidth="1"/>
    <x:col min="7" max="7" width="18" customWidth="1"/>
    <x:col min="8" max="8" width="25" customWidth="1"/>
    <x:col min="9" max="9" width="24" customWidth="1"/>
    <x:col min="10" max="11" width="18" customWidth="1"/>
    <x:col min="12" max="12" width="20" customWidth="1"/>
    <x:col min="13" max="13" width="30" customWidth="1"/>
    <x:col min="14" max="14" width="16" customWidth="1"/>
    <x:col min="15" max="15" width="18" customWidth="1"/>
    <x:col min="16" max="16" width="14" customWidth="1"/>
    <x:col min="17" max="17" width="52" customWidth="1"/>
  </x:cols>
  <x:sheetData>
    <x:row r="1" ht="18.649999618530273" customHeight="1">
      <x:c r="A1" s="46" t="str">
        <x:v>阶段五：股本变化时间线验收清单（最终验收版）</x:v>
      </x:c>
      <x:c r="B1" s="46"/>
      <x:c r="C1" s="46"/>
      <x:c r="D1" s="46"/>
      <x:c r="E1" s="46"/>
      <x:c r="F1" s="46"/>
      <x:c r="G1" s="46"/>
      <x:c r="H1" s="46"/>
      <x:c r="I1" s="46"/>
      <x:c r="J1" s="46"/>
      <x:c r="K1" s="46"/>
      <x:c r="L1" s="46"/>
      <x:c r="M1" s="46"/>
      <x:c r="N1" s="46"/>
      <x:c r="O1" s="46"/>
      <x:c r="P1" s="46"/>
      <x:c r="Q1" s="46"/>
    </x:row>
    <x:row r="2">
      <x:c r="A2" s="47" t="str">
        <x:v>当前状态：阶段五已验收通过；17个时间线事件均已确认，CE-005差异保留至阶段七正式数值校验。</x:v>
      </x:c>
      <x:c r="B2" s="47"/>
      <x:c r="C2" s="47"/>
      <x:c r="D2" s="47"/>
      <x:c r="E2" s="47"/>
      <x:c r="F2" s="47"/>
      <x:c r="G2" s="47"/>
      <x:c r="H2" s="47"/>
      <x:c r="I2" s="47"/>
      <x:c r="J2" s="47"/>
      <x:c r="K2" s="47"/>
      <x:c r="L2" s="47"/>
      <x:c r="M2" s="47"/>
      <x:c r="N2" s="47"/>
      <x:c r="O2" s="47"/>
      <x:c r="P2" s="47"/>
      <x:c r="Q2" s="47"/>
    </x:row>
    <x:row r="3" ht="23">
      <x:c r="A3" s="1" t="s">
        <x:v>69</x:v>
      </x:c>
      <x:c r="B3" s="2" t="s">
        <x:v>72</x:v>
      </x:c>
      <x:c r="C3" s="2" t="s">
        <x:v>814</x:v>
      </x:c>
      <x:c r="D3" s="2" t="s">
        <x:v>815</x:v>
      </x:c>
      <x:c r="E3" s="2" t="s">
        <x:v>816</x:v>
      </x:c>
      <x:c r="F3" s="2" t="s">
        <x:v>817</x:v>
      </x:c>
      <x:c r="G3" s="2" t="s">
        <x:v>818</x:v>
      </x:c>
      <x:c r="H3" s="2" t="s">
        <x:v>819</x:v>
      </x:c>
      <x:c r="I3" s="2" t="s">
        <x:v>820</x:v>
      </x:c>
      <x:c r="J3" s="2" t="s">
        <x:v>821</x:v>
      </x:c>
      <x:c r="K3" s="2" t="s">
        <x:v>822</x:v>
      </x:c>
      <x:c r="L3" s="2" t="s">
        <x:v>823</x:v>
      </x:c>
      <x:c r="M3" s="2" t="s">
        <x:v>824</x:v>
      </x:c>
      <x:c r="N3" s="2" t="s">
        <x:v>825</x:v>
      </x:c>
      <x:c r="O3" s="2" t="s">
        <x:v>826</x:v>
      </x:c>
      <x:c r="P3" s="2" t="s">
        <x:v>827</x:v>
      </x:c>
      <x:c r="Q3" s="3" t="s">
        <x:v>112</x:v>
      </x:c>
    </x:row>
    <x:row r="4" ht="28" customHeight="1">
      <x:c r="A4" s="4" t="s">
        <x:v>113</x:v>
      </x:c>
      <x:c r="B4" s="5" t="s">
        <x:v>115</x:v>
      </x:c>
      <x:c r="C4" s="5" t="s">
        <x:v>828</x:v>
      </x:c>
      <x:c r="D4" s="5" t="s">
        <x:v>828</x:v>
      </x:c>
      <x:c r="E4" s="5" t="s">
        <x:v>828</x:v>
      </x:c>
      <x:c r="F4" s="5" t="s">
        <x:v>828</x:v>
      </x:c>
      <x:c r="G4" s="5" t="s">
        <x:v>828</x:v>
      </x:c>
      <x:c r="H4" s="5" t="s">
        <x:v>828</x:v>
      </x:c>
      <x:c r="I4" s="5" t="s">
        <x:v>828</x:v>
      </x:c>
      <x:c r="J4" s="5" t="s">
        <x:v>828</x:v>
      </x:c>
      <x:c r="K4" s="5" t="s">
        <x:v>828</x:v>
      </x:c>
      <x:c r="L4" s="5" t="s">
        <x:v>828</x:v>
      </x:c>
      <x:c r="M4" s="5" t="s">
        <x:v>829</x:v>
      </x:c>
      <x:c r="N4" s="5" t="s">
        <x:v>142</x:v>
      </x:c>
      <x:c r="O4" s="5" t="str">
        <x:v>用户回传确认</x:v>
      </x:c>
      <x:c r="P4" s="5" t="str">
        <x:v>2026-07-17</x:v>
      </x:c>
      <x:c r="Q4" s="6" t="str">
        <x:v>阶段五时间线结构已验收通过。</x:v>
      </x:c>
    </x:row>
    <x:row r="5" ht="28" customHeight="1">
      <x:c r="A5" s="7" t="s">
        <x:v>144</x:v>
      </x:c>
      <x:c r="B5" s="8" t="s">
        <x:v>146</x:v>
      </x:c>
      <x:c r="C5" s="8" t="s">
        <x:v>828</x:v>
      </x:c>
      <x:c r="D5" s="8" t="s">
        <x:v>828</x:v>
      </x:c>
      <x:c r="E5" s="8" t="s">
        <x:v>828</x:v>
      </x:c>
      <x:c r="F5" s="8" t="s">
        <x:v>828</x:v>
      </x:c>
      <x:c r="G5" s="8" t="s">
        <x:v>828</x:v>
      </x:c>
      <x:c r="H5" s="8" t="s">
        <x:v>828</x:v>
      </x:c>
      <x:c r="I5" s="8" t="s">
        <x:v>828</x:v>
      </x:c>
      <x:c r="J5" s="8" t="s">
        <x:v>828</x:v>
      </x:c>
      <x:c r="K5" s="8" t="s">
        <x:v>828</x:v>
      </x:c>
      <x:c r="L5" s="8" t="s">
        <x:v>828</x:v>
      </x:c>
      <x:c r="M5" s="8" t="s">
        <x:v>829</x:v>
      </x:c>
      <x:c r="N5" s="5" t="s">
        <x:v>142</x:v>
      </x:c>
      <x:c r="O5" s="8" t="str">
        <x:v>用户回传确认</x:v>
      </x:c>
      <x:c r="P5" s="8" t="str">
        <x:v>2026-07-17</x:v>
      </x:c>
      <x:c r="Q5" s="9" t="str">
        <x:v>阶段五时间线结构已验收通过。</x:v>
      </x:c>
    </x:row>
    <x:row r="6" ht="28" customHeight="1">
      <x:c r="A6" s="7" t="s">
        <x:v>171</x:v>
      </x:c>
      <x:c r="B6" s="8" t="s">
        <x:v>172</x:v>
      </x:c>
      <x:c r="C6" s="8" t="s">
        <x:v>828</x:v>
      </x:c>
      <x:c r="D6" s="8" t="s">
        <x:v>828</x:v>
      </x:c>
      <x:c r="E6" s="8" t="s">
        <x:v>828</x:v>
      </x:c>
      <x:c r="F6" s="8" t="s">
        <x:v>828</x:v>
      </x:c>
      <x:c r="G6" s="8" t="s">
        <x:v>828</x:v>
      </x:c>
      <x:c r="H6" s="8" t="s">
        <x:v>828</x:v>
      </x:c>
      <x:c r="I6" s="8" t="s">
        <x:v>828</x:v>
      </x:c>
      <x:c r="J6" s="8" t="s">
        <x:v>828</x:v>
      </x:c>
      <x:c r="K6" s="8" t="s">
        <x:v>828</x:v>
      </x:c>
      <x:c r="L6" s="8" t="s">
        <x:v>828</x:v>
      </x:c>
      <x:c r="M6" s="8" t="s">
        <x:v>829</x:v>
      </x:c>
      <x:c r="N6" s="5" t="s">
        <x:v>142</x:v>
      </x:c>
      <x:c r="O6" s="8" t="str">
        <x:v>用户回传确认</x:v>
      </x:c>
      <x:c r="P6" s="8" t="str">
        <x:v>2026-07-17</x:v>
      </x:c>
      <x:c r="Q6" s="9" t="str">
        <x:v>阶段五时间线结构已验收通过。</x:v>
      </x:c>
    </x:row>
    <x:row r="7" ht="28" customHeight="1">
      <x:c r="A7" s="7" t="s">
        <x:v>188</x:v>
      </x:c>
      <x:c r="B7" s="8" t="s">
        <x:v>190</x:v>
      </x:c>
      <x:c r="C7" s="8" t="s">
        <x:v>828</x:v>
      </x:c>
      <x:c r="D7" s="8" t="s">
        <x:v>828</x:v>
      </x:c>
      <x:c r="E7" s="8" t="s">
        <x:v>828</x:v>
      </x:c>
      <x:c r="F7" s="8" t="s">
        <x:v>828</x:v>
      </x:c>
      <x:c r="G7" s="8" t="s">
        <x:v>828</x:v>
      </x:c>
      <x:c r="H7" s="8" t="s">
        <x:v>828</x:v>
      </x:c>
      <x:c r="I7" s="8" t="s">
        <x:v>828</x:v>
      </x:c>
      <x:c r="J7" s="8" t="s">
        <x:v>828</x:v>
      </x:c>
      <x:c r="K7" s="8" t="s">
        <x:v>828</x:v>
      </x:c>
      <x:c r="L7" s="8" t="s">
        <x:v>828</x:v>
      </x:c>
      <x:c r="M7" s="8" t="s">
        <x:v>829</x:v>
      </x:c>
      <x:c r="N7" s="5" t="s">
        <x:v>142</x:v>
      </x:c>
      <x:c r="O7" s="8" t="str">
        <x:v>用户回传确认</x:v>
      </x:c>
      <x:c r="P7" s="8" t="str">
        <x:v>2026-07-17</x:v>
      </x:c>
      <x:c r="Q7" s="9" t="str">
        <x:v>阶段五时间线结构已验收通过。</x:v>
      </x:c>
    </x:row>
    <x:row r="8" ht="28" customHeight="1">
      <x:c r="A8" s="7" t="s">
        <x:v>205</x:v>
      </x:c>
      <x:c r="B8" s="8" t="s">
        <x:v>207</x:v>
      </x:c>
      <x:c r="C8" s="8" t="s">
        <x:v>828</x:v>
      </x:c>
      <x:c r="D8" s="8" t="s">
        <x:v>828</x:v>
      </x:c>
      <x:c r="E8" s="8" t="s">
        <x:v>828</x:v>
      </x:c>
      <x:c r="F8" s="8" t="s">
        <x:v>828</x:v>
      </x:c>
      <x:c r="G8" s="8" t="s">
        <x:v>828</x:v>
      </x:c>
      <x:c r="H8" s="8" t="s">
        <x:v>828</x:v>
      </x:c>
      <x:c r="I8" s="8" t="s">
        <x:v>828</x:v>
      </x:c>
      <x:c r="J8" s="8" t="s">
        <x:v>828</x:v>
      </x:c>
      <x:c r="K8" s="8" t="s">
        <x:v>828</x:v>
      </x:c>
      <x:c r="L8" s="8" t="s">
        <x:v>828</x:v>
      </x:c>
      <x:c r="M8" s="8" t="s">
        <x:v>829</x:v>
      </x:c>
      <x:c r="N8" s="5" t="s">
        <x:v>142</x:v>
      </x:c>
      <x:c r="O8" s="8" t="str">
        <x:v>用户回传确认</x:v>
      </x:c>
      <x:c r="P8" s="8" t="str">
        <x:v>2026-07-17</x:v>
      </x:c>
      <x:c r="Q8" s="9" t="str">
        <x:v>阶段五时间线结构已验收通过。</x:v>
      </x:c>
    </x:row>
    <x:row r="9" ht="28" customHeight="1">
      <x:c r="A9" s="7" t="s">
        <x:v>221</x:v>
      </x:c>
      <x:c r="B9" s="8" t="s">
        <x:v>223</x:v>
      </x:c>
      <x:c r="C9" s="8" t="s">
        <x:v>828</x:v>
      </x:c>
      <x:c r="D9" s="8" t="s">
        <x:v>828</x:v>
      </x:c>
      <x:c r="E9" s="8" t="s">
        <x:v>828</x:v>
      </x:c>
      <x:c r="F9" s="8" t="s">
        <x:v>828</x:v>
      </x:c>
      <x:c r="G9" s="8" t="s">
        <x:v>828</x:v>
      </x:c>
      <x:c r="H9" s="8" t="s">
        <x:v>828</x:v>
      </x:c>
      <x:c r="I9" s="8" t="s">
        <x:v>828</x:v>
      </x:c>
      <x:c r="J9" s="8" t="s">
        <x:v>828</x:v>
      </x:c>
      <x:c r="K9" s="8" t="s">
        <x:v>828</x:v>
      </x:c>
      <x:c r="L9" s="8" t="s">
        <x:v>828</x:v>
      </x:c>
      <x:c r="M9" s="8" t="s">
        <x:v>830</x:v>
      </x:c>
      <x:c r="N9" s="5" t="s">
        <x:v>142</x:v>
      </x:c>
      <x:c r="O9" s="8" t="str">
        <x:v>用户回传确认</x:v>
      </x:c>
      <x:c r="P9" s="8" t="str">
        <x:v>2026-07-17</x:v>
      </x:c>
      <x:c r="Q9" s="9" t="str">
        <x:v>阶段五时间线结构已验收；原文增资额与前后注册资本的0.00574万元差异不在本阶段修正，转入阶段七校验。</x:v>
      </x:c>
    </x:row>
    <x:row r="10" ht="28" customHeight="1">
      <x:c r="A10" s="7" t="s">
        <x:v>235</x:v>
      </x:c>
      <x:c r="B10" s="8" t="s">
        <x:v>237</x:v>
      </x:c>
      <x:c r="C10" s="8" t="s">
        <x:v>828</x:v>
      </x:c>
      <x:c r="D10" s="8" t="s">
        <x:v>828</x:v>
      </x:c>
      <x:c r="E10" s="8" t="s">
        <x:v>828</x:v>
      </x:c>
      <x:c r="F10" s="8" t="s">
        <x:v>828</x:v>
      </x:c>
      <x:c r="G10" s="8" t="s">
        <x:v>828</x:v>
      </x:c>
      <x:c r="H10" s="8" t="s">
        <x:v>828</x:v>
      </x:c>
      <x:c r="I10" s="8" t="s">
        <x:v>828</x:v>
      </x:c>
      <x:c r="J10" s="8" t="s">
        <x:v>828</x:v>
      </x:c>
      <x:c r="K10" s="8" t="s">
        <x:v>828</x:v>
      </x:c>
      <x:c r="L10" s="8" t="s">
        <x:v>828</x:v>
      </x:c>
      <x:c r="M10" s="8" t="s">
        <x:v>829</x:v>
      </x:c>
      <x:c r="N10" s="5" t="s">
        <x:v>142</x:v>
      </x:c>
      <x:c r="O10" s="8" t="str">
        <x:v>用户回传确认</x:v>
      </x:c>
      <x:c r="P10" s="8" t="str">
        <x:v>2026-07-17</x:v>
      </x:c>
      <x:c r="Q10" s="9" t="str">
        <x:v>阶段五时间线结构已验收通过。</x:v>
      </x:c>
    </x:row>
    <x:row r="11" ht="28" customHeight="1">
      <x:c r="A11" s="7" t="s">
        <x:v>253</x:v>
      </x:c>
      <x:c r="B11" s="8" t="s">
        <x:v>255</x:v>
      </x:c>
      <x:c r="C11" s="8" t="s">
        <x:v>828</x:v>
      </x:c>
      <x:c r="D11" s="8" t="s">
        <x:v>828</x:v>
      </x:c>
      <x:c r="E11" s="8" t="s">
        <x:v>828</x:v>
      </x:c>
      <x:c r="F11" s="8" t="s">
        <x:v>828</x:v>
      </x:c>
      <x:c r="G11" s="8" t="s">
        <x:v>828</x:v>
      </x:c>
      <x:c r="H11" s="8" t="s">
        <x:v>828</x:v>
      </x:c>
      <x:c r="I11" s="8" t="s">
        <x:v>828</x:v>
      </x:c>
      <x:c r="J11" s="8" t="s">
        <x:v>828</x:v>
      </x:c>
      <x:c r="K11" s="8" t="s">
        <x:v>828</x:v>
      </x:c>
      <x:c r="L11" s="8" t="s">
        <x:v>828</x:v>
      </x:c>
      <x:c r="M11" s="8" t="s">
        <x:v>829</x:v>
      </x:c>
      <x:c r="N11" s="5" t="s">
        <x:v>142</x:v>
      </x:c>
      <x:c r="O11" s="8" t="str">
        <x:v>用户回传确认</x:v>
      </x:c>
      <x:c r="P11" s="8" t="str">
        <x:v>2026-07-17</x:v>
      </x:c>
      <x:c r="Q11" s="9" t="str">
        <x:v>阶段五时间线结构已验收通过。</x:v>
      </x:c>
    </x:row>
    <x:row r="12" ht="28" customHeight="1">
      <x:c r="A12" s="7" t="s">
        <x:v>270</x:v>
      </x:c>
      <x:c r="B12" s="8" t="s">
        <x:v>272</x:v>
      </x:c>
      <x:c r="C12" s="8" t="s">
        <x:v>828</x:v>
      </x:c>
      <x:c r="D12" s="8" t="s">
        <x:v>828</x:v>
      </x:c>
      <x:c r="E12" s="8" t="s">
        <x:v>828</x:v>
      </x:c>
      <x:c r="F12" s="8" t="s">
        <x:v>828</x:v>
      </x:c>
      <x:c r="G12" s="8" t="s">
        <x:v>828</x:v>
      </x:c>
      <x:c r="H12" s="8" t="s">
        <x:v>828</x:v>
      </x:c>
      <x:c r="I12" s="8" t="s">
        <x:v>828</x:v>
      </x:c>
      <x:c r="J12" s="8" t="s">
        <x:v>828</x:v>
      </x:c>
      <x:c r="K12" s="8" t="s">
        <x:v>828</x:v>
      </x:c>
      <x:c r="L12" s="8" t="s">
        <x:v>828</x:v>
      </x:c>
      <x:c r="M12" s="8" t="s">
        <x:v>829</x:v>
      </x:c>
      <x:c r="N12" s="5" t="s">
        <x:v>142</x:v>
      </x:c>
      <x:c r="O12" s="8" t="str">
        <x:v>用户回传确认</x:v>
      </x:c>
      <x:c r="P12" s="8" t="str">
        <x:v>2026-07-17</x:v>
      </x:c>
      <x:c r="Q12" s="9" t="str">
        <x:v>阶段五时间线结构已验收通过。</x:v>
      </x:c>
    </x:row>
    <x:row r="13" ht="28" customHeight="1">
      <x:c r="A13" s="7" t="s">
        <x:v>295</x:v>
      </x:c>
      <x:c r="B13" s="8" t="s">
        <x:v>297</x:v>
      </x:c>
      <x:c r="C13" s="8" t="s">
        <x:v>828</x:v>
      </x:c>
      <x:c r="D13" s="8" t="s">
        <x:v>828</x:v>
      </x:c>
      <x:c r="E13" s="8" t="s">
        <x:v>828</x:v>
      </x:c>
      <x:c r="F13" s="8" t="s">
        <x:v>828</x:v>
      </x:c>
      <x:c r="G13" s="8" t="s">
        <x:v>828</x:v>
      </x:c>
      <x:c r="H13" s="8" t="s">
        <x:v>828</x:v>
      </x:c>
      <x:c r="I13" s="8" t="s">
        <x:v>828</x:v>
      </x:c>
      <x:c r="J13" s="8" t="s">
        <x:v>828</x:v>
      </x:c>
      <x:c r="K13" s="8" t="s">
        <x:v>828</x:v>
      </x:c>
      <x:c r="L13" s="8" t="s">
        <x:v>828</x:v>
      </x:c>
      <x:c r="M13" s="8" t="s">
        <x:v>829</x:v>
      </x:c>
      <x:c r="N13" s="5" t="s">
        <x:v>142</x:v>
      </x:c>
      <x:c r="O13" s="8" t="str">
        <x:v>用户回传确认</x:v>
      </x:c>
      <x:c r="P13" s="8" t="str">
        <x:v>2026-07-17</x:v>
      </x:c>
      <x:c r="Q13" s="9" t="str">
        <x:v>阶段五时间线结构已验收通过。</x:v>
      </x:c>
    </x:row>
    <x:row r="14" ht="28" customHeight="1">
      <x:c r="A14" s="7" t="s">
        <x:v>319</x:v>
      </x:c>
      <x:c r="B14" s="8" t="s">
        <x:v>321</x:v>
      </x:c>
      <x:c r="C14" s="8" t="s">
        <x:v>828</x:v>
      </x:c>
      <x:c r="D14" s="8" t="s">
        <x:v>828</x:v>
      </x:c>
      <x:c r="E14" s="8" t="s">
        <x:v>828</x:v>
      </x:c>
      <x:c r="F14" s="8" t="s">
        <x:v>828</x:v>
      </x:c>
      <x:c r="G14" s="8" t="s">
        <x:v>828</x:v>
      </x:c>
      <x:c r="H14" s="8" t="s">
        <x:v>828</x:v>
      </x:c>
      <x:c r="I14" s="8" t="s">
        <x:v>828</x:v>
      </x:c>
      <x:c r="J14" s="8" t="s">
        <x:v>828</x:v>
      </x:c>
      <x:c r="K14" s="8" t="s">
        <x:v>828</x:v>
      </x:c>
      <x:c r="L14" s="8" t="s">
        <x:v>828</x:v>
      </x:c>
      <x:c r="M14" s="8" t="s">
        <x:v>831</x:v>
      </x:c>
      <x:c r="N14" s="5" t="s">
        <x:v>142</x:v>
      </x:c>
      <x:c r="O14" s="8" t="str">
        <x:v>用户回传确认</x:v>
      </x:c>
      <x:c r="P14" s="8" t="str">
        <x:v>2026-07-17</x:v>
      </x:c>
      <x:c r="Q14" s="9" t="str">
        <x:v>阶段五时间线结构已验收通过。</x:v>
      </x:c>
    </x:row>
    <x:row r="15" ht="28" customHeight="1">
      <x:c r="A15" s="7" t="s">
        <x:v>343</x:v>
      </x:c>
      <x:c r="B15" s="8" t="s">
        <x:v>344</x:v>
      </x:c>
      <x:c r="C15" s="8" t="s">
        <x:v>828</x:v>
      </x:c>
      <x:c r="D15" s="8" t="s">
        <x:v>828</x:v>
      </x:c>
      <x:c r="E15" s="8" t="s">
        <x:v>828</x:v>
      </x:c>
      <x:c r="F15" s="8" t="s">
        <x:v>828</x:v>
      </x:c>
      <x:c r="G15" s="8" t="s">
        <x:v>828</x:v>
      </x:c>
      <x:c r="H15" s="8" t="s">
        <x:v>828</x:v>
      </x:c>
      <x:c r="I15" s="8" t="s">
        <x:v>828</x:v>
      </x:c>
      <x:c r="J15" s="8" t="s">
        <x:v>828</x:v>
      </x:c>
      <x:c r="K15" s="8" t="s">
        <x:v>828</x:v>
      </x:c>
      <x:c r="L15" s="8" t="s">
        <x:v>828</x:v>
      </x:c>
      <x:c r="M15" s="8" t="s">
        <x:v>831</x:v>
      </x:c>
      <x:c r="N15" s="5" t="s">
        <x:v>142</x:v>
      </x:c>
      <x:c r="O15" s="8" t="str">
        <x:v>用户回传确认</x:v>
      </x:c>
      <x:c r="P15" s="8" t="str">
        <x:v>2026-07-17</x:v>
      </x:c>
      <x:c r="Q15" s="9" t="str">
        <x:v>阶段五时间线结构已验收通过。</x:v>
      </x:c>
    </x:row>
    <x:row r="16" ht="28" customHeight="1">
      <x:c r="A16" s="7" t="s">
        <x:v>363</x:v>
      </x:c>
      <x:c r="B16" s="8" t="s">
        <x:v>364</x:v>
      </x:c>
      <x:c r="C16" s="8" t="s">
        <x:v>828</x:v>
      </x:c>
      <x:c r="D16" s="8" t="s">
        <x:v>828</x:v>
      </x:c>
      <x:c r="E16" s="8" t="s">
        <x:v>828</x:v>
      </x:c>
      <x:c r="F16" s="8" t="s">
        <x:v>828</x:v>
      </x:c>
      <x:c r="G16" s="8" t="s">
        <x:v>828</x:v>
      </x:c>
      <x:c r="H16" s="8" t="s">
        <x:v>828</x:v>
      </x:c>
      <x:c r="I16" s="8" t="s">
        <x:v>828</x:v>
      </x:c>
      <x:c r="J16" s="8" t="s">
        <x:v>828</x:v>
      </x:c>
      <x:c r="K16" s="8" t="s">
        <x:v>828</x:v>
      </x:c>
      <x:c r="L16" s="8" t="s">
        <x:v>828</x:v>
      </x:c>
      <x:c r="M16" s="8" t="s">
        <x:v>831</x:v>
      </x:c>
      <x:c r="N16" s="5" t="s">
        <x:v>142</x:v>
      </x:c>
      <x:c r="O16" s="8" t="str">
        <x:v>用户回传确认</x:v>
      </x:c>
      <x:c r="P16" s="8" t="str">
        <x:v>2026-07-17</x:v>
      </x:c>
      <x:c r="Q16" s="9" t="str">
        <x:v>阶段五时间线结构已验收通过。</x:v>
      </x:c>
    </x:row>
    <x:row r="17" ht="28" customHeight="1">
      <x:c r="A17" s="7" t="s">
        <x:v>382</x:v>
      </x:c>
      <x:c r="B17" s="8" t="s">
        <x:v>384</x:v>
      </x:c>
      <x:c r="C17" s="8" t="s">
        <x:v>828</x:v>
      </x:c>
      <x:c r="D17" s="8" t="s">
        <x:v>828</x:v>
      </x:c>
      <x:c r="E17" s="8" t="s">
        <x:v>828</x:v>
      </x:c>
      <x:c r="F17" s="8" t="s">
        <x:v>828</x:v>
      </x:c>
      <x:c r="G17" s="8" t="s">
        <x:v>828</x:v>
      </x:c>
      <x:c r="H17" s="8" t="s">
        <x:v>828</x:v>
      </x:c>
      <x:c r="I17" s="8" t="s">
        <x:v>828</x:v>
      </x:c>
      <x:c r="J17" s="8" t="s">
        <x:v>828</x:v>
      </x:c>
      <x:c r="K17" s="8" t="s">
        <x:v>828</x:v>
      </x:c>
      <x:c r="L17" s="8" t="s">
        <x:v>828</x:v>
      </x:c>
      <x:c r="M17" s="8" t="s">
        <x:v>829</x:v>
      </x:c>
      <x:c r="N17" s="5" t="s">
        <x:v>142</x:v>
      </x:c>
      <x:c r="O17" s="8" t="str">
        <x:v>用户回传确认</x:v>
      </x:c>
      <x:c r="P17" s="8" t="str">
        <x:v>2026-07-17</x:v>
      </x:c>
      <x:c r="Q17" s="9" t="str">
        <x:v>阶段五时间线结构已验收通过。</x:v>
      </x:c>
    </x:row>
    <x:row r="18" ht="28" customHeight="1">
      <x:c r="A18" s="7" t="s">
        <x:v>402</x:v>
      </x:c>
      <x:c r="B18" s="8" t="s">
        <x:v>404</x:v>
      </x:c>
      <x:c r="C18" s="8" t="s">
        <x:v>828</x:v>
      </x:c>
      <x:c r="D18" s="8" t="s">
        <x:v>828</x:v>
      </x:c>
      <x:c r="E18" s="8" t="s">
        <x:v>828</x:v>
      </x:c>
      <x:c r="F18" s="8" t="s">
        <x:v>828</x:v>
      </x:c>
      <x:c r="G18" s="8" t="s">
        <x:v>828</x:v>
      </x:c>
      <x:c r="H18" s="8" t="s">
        <x:v>828</x:v>
      </x:c>
      <x:c r="I18" s="8" t="s">
        <x:v>828</x:v>
      </x:c>
      <x:c r="J18" s="8" t="s">
        <x:v>828</x:v>
      </x:c>
      <x:c r="K18" s="8" t="s">
        <x:v>828</x:v>
      </x:c>
      <x:c r="L18" s="8" t="s">
        <x:v>828</x:v>
      </x:c>
      <x:c r="M18" s="8" t="s">
        <x:v>829</x:v>
      </x:c>
      <x:c r="N18" s="5" t="s">
        <x:v>142</x:v>
      </x:c>
      <x:c r="O18" s="8" t="str">
        <x:v>用户回传确认</x:v>
      </x:c>
      <x:c r="P18" s="8" t="str">
        <x:v>2026-07-17</x:v>
      </x:c>
      <x:c r="Q18" s="9" t="str">
        <x:v>阶段五时间线结构已验收通过。</x:v>
      </x:c>
    </x:row>
    <x:row r="19" ht="28" customHeight="1">
      <x:c r="A19" s="7" t="s">
        <x:v>422</x:v>
      </x:c>
      <x:c r="B19" s="8" t="s">
        <x:v>424</x:v>
      </x:c>
      <x:c r="C19" s="8" t="s">
        <x:v>828</x:v>
      </x:c>
      <x:c r="D19" s="8" t="s">
        <x:v>828</x:v>
      </x:c>
      <x:c r="E19" s="8" t="s">
        <x:v>828</x:v>
      </x:c>
      <x:c r="F19" s="8" t="s">
        <x:v>828</x:v>
      </x:c>
      <x:c r="G19" s="8" t="s">
        <x:v>828</x:v>
      </x:c>
      <x:c r="H19" s="8" t="s">
        <x:v>828</x:v>
      </x:c>
      <x:c r="I19" s="8" t="s">
        <x:v>828</x:v>
      </x:c>
      <x:c r="J19" s="8" t="s">
        <x:v>828</x:v>
      </x:c>
      <x:c r="K19" s="8" t="s">
        <x:v>828</x:v>
      </x:c>
      <x:c r="L19" s="8" t="s">
        <x:v>828</x:v>
      </x:c>
      <x:c r="M19" s="8" t="s">
        <x:v>832</x:v>
      </x:c>
      <x:c r="N19" s="5" t="s">
        <x:v>142</x:v>
      </x:c>
      <x:c r="O19" s="8" t="str">
        <x:v>用户回传确认</x:v>
      </x:c>
      <x:c r="P19" s="8" t="str">
        <x:v>2026-07-17</x:v>
      </x:c>
      <x:c r="Q19" s="9" t="str">
        <x:v>阶段五时间线结构已验收通过。</x:v>
      </x:c>
    </x:row>
    <x:row r="20" ht="28" customHeight="1">
      <x:c r="A20" s="10" t="s">
        <x:v>442</x:v>
      </x:c>
      <x:c r="B20" s="11" t="s">
        <x:v>443</x:v>
      </x:c>
      <x:c r="C20" s="11" t="s">
        <x:v>828</x:v>
      </x:c>
      <x:c r="D20" s="11" t="s">
        <x:v>828</x:v>
      </x:c>
      <x:c r="E20" s="11" t="s">
        <x:v>828</x:v>
      </x:c>
      <x:c r="F20" s="11" t="s">
        <x:v>828</x:v>
      </x:c>
      <x:c r="G20" s="11" t="s">
        <x:v>828</x:v>
      </x:c>
      <x:c r="H20" s="11" t="s">
        <x:v>828</x:v>
      </x:c>
      <x:c r="I20" s="11" t="s">
        <x:v>828</x:v>
      </x:c>
      <x:c r="J20" s="11" t="s">
        <x:v>828</x:v>
      </x:c>
      <x:c r="K20" s="11" t="s">
        <x:v>828</x:v>
      </x:c>
      <x:c r="L20" s="11" t="s">
        <x:v>828</x:v>
      </x:c>
      <x:c r="M20" s="11" t="s">
        <x:v>832</x:v>
      </x:c>
      <x:c r="N20" s="5" t="s">
        <x:v>142</x:v>
      </x:c>
      <x:c r="O20" s="11" t="str">
        <x:v>用户回传确认</x:v>
      </x:c>
      <x:c r="P20" s="11" t="str">
        <x:v>2026-07-17</x:v>
      </x:c>
      <x:c r="Q20" s="12" t="str">
        <x:v>阶段五时间线结构已验收通过。</x:v>
      </x:c>
    </x:row>
    <x:row r="23">
      <x:c r="A23" s="47" t="s">
        <x:v>833</x:v>
      </x:c>
      <x:c r="B23" s="47"/>
      <x:c r="C23" s="47"/>
      <x:c r="D23" s="47"/>
      <x:c r="E23" s="47"/>
      <x:c r="F23" s="47"/>
      <x:c r="G23" s="47"/>
      <x:c r="H23" s="47"/>
      <x:c r="I23" s="47"/>
      <x:c r="J23" s="47"/>
      <x:c r="K23" s="47"/>
      <x:c r="L23" s="47"/>
      <x:c r="M23" s="47"/>
      <x:c r="N23" s="47"/>
      <x:c r="O23" s="47"/>
      <x:c r="P23" s="47"/>
      <x:c r="Q23" s="47"/>
    </x:row>
    <x:row r="24" ht="23">
      <x:c r="A24" s="23" t="s">
        <x:v>834</x:v>
      </x:c>
      <x:c r="B24" s="26" t="n">
        <x:f>COUNTA(A4:A20)</x:f>
        <x:v>17</x:v>
      </x:c>
      <x:c r="C24" s="5" t="s">
        <x:v>835</x:v>
      </x:c>
      <x:c r="D24" s="6" t="s">
        <x:v>836</x:v>
      </x:c>
    </x:row>
    <x:row r="25" ht="23">
      <x:c r="A25" s="24" t="str">
        <x:v>阶段五待人工复核事项</x:v>
      </x:c>
      <x:c r="B25" s="13" t="n">
        <x:f>COUNTIF('01_股本变化时间线'!AP4:AP20,"是")</x:f>
        <x:v>0</x:v>
      </x:c>
      <x:c r="C25" s="8" t="s">
        <x:v>837</x:v>
      </x:c>
      <x:c r="D25" s="9" t="str">
        <x:v>无；CE-005已作为阶段七正式数值校验事项保留。</x:v>
      </x:c>
    </x:row>
    <x:row r="26">
      <x:c r="A26" s="25" t="s">
        <x:v>838</x:v>
      </x:c>
      <x:c r="B26" s="11" t="str">
        <x:v>已验收通过</x:v>
      </x:c>
      <x:c r="C26" s="11" t="s">
        <x:v>839</x:v>
      </x:c>
      <x:c r="D26" s="12" t="str">
        <x:v>阶段五已结项；可在新对话中进入阶段六，但CE-005差异仍须保留至阶段七。</x:v>
      </x:c>
    </x:row>
  </x:sheetData>
  <x:mergeCells>
    <x:mergeCell ref="A1:Q1"/>
    <x:mergeCell ref="A2:Q2"/>
    <x:mergeCell ref="A23:Q23"/>
  </x:mergeCells>
  <x:conditionalFormatting sqref="N4:N20">
    <x:cfRule type="expression" dxfId="0" priority="1">
      <x:formula>N4="已验收通过"</x:formula>
    </x:cfRule>
  </x:conditionalFormatting>
  <x:pageMargins left="0.7" right="0.7" top="0.75" bottom="0.75" header="0.3" footer="0.3"/>
  <x:tableParts count="1">
    <x:tablePart xmlns:r="http://schemas.openxmlformats.org/officeDocument/2006/relationships" r:id="R315d4eb6882d404d"/>
  </x:tableParts>
</x:worksheet>
</file>

<file path=xl/worksheets/sheet7.xml><?xml version="1.0" encoding="utf-8"?>
<x:worksheet xmlns:x="http://schemas.openxmlformats.org/spreadsheetml/2006/main">
  <x:sheetFormatPr defaultRowHeight="14"/>
  <x:cols>
    <x:col min="1" max="5" width="18" customWidth="1"/>
  </x:cols>
  <x:sheetData>
    <x:row r="1">
      <x:c r="A1" s="1" t="s">
        <x:v>840</x:v>
      </x:c>
      <x:c r="B1" s="2" t="s">
        <x:v>841</x:v>
      </x:c>
      <x:c r="C1" s="2" t="s">
        <x:v>842</x:v>
      </x:c>
      <x:c r="D1" s="2" t="s">
        <x:v>843</x:v>
      </x:c>
      <x:c r="E1" s="3" t="s">
        <x:v>844</x:v>
      </x:c>
    </x:row>
    <x:row r="2">
      <x:c r="A2" s="4" t="s">
        <x:v>845</x:v>
      </x:c>
      <x:c r="B2" s="5" t="s">
        <x:v>129</x:v>
      </x:c>
      <x:c r="C2" s="5" t="s">
        <x:v>479</x:v>
      </x:c>
      <x:c r="D2" s="5" t="s">
        <x:v>480</x:v>
      </x:c>
      <x:c r="E2" s="6" t="s">
        <x:v>828</x:v>
      </x:c>
    </x:row>
    <x:row r="3">
      <x:c r="A3" s="7" t="s">
        <x:v>846</x:v>
      </x:c>
      <x:c r="B3" s="8" t="s">
        <x:v>141</x:v>
      </x:c>
      <x:c r="C3" s="8" t="s">
        <x:v>152</x:v>
      </x:c>
      <x:c r="D3" s="8" t="s">
        <x:v>499</x:v>
      </x:c>
      <x:c r="E3" s="9" t="s">
        <x:v>131</x:v>
      </x:c>
    </x:row>
    <x:row r="4">
      <x:c r="A4" s="7" t="s">
        <x:v>142</x:v>
      </x:c>
      <x:c r="B4" s="8"/>
      <x:c r="C4" s="8" t="s">
        <x:v>847</x:v>
      </x:c>
      <x:c r="D4" s="8" t="s">
        <x:v>848</x:v>
      </x:c>
      <x:c r="E4" s="9" t="s">
        <x:v>849</x:v>
      </x:c>
    </x:row>
    <x:row r="5">
      <x:c r="A5" s="7" t="s">
        <x:v>850</x:v>
      </x:c>
      <x:c r="B5" s="8"/>
      <x:c r="C5" s="8" t="s">
        <x:v>579</x:v>
      </x:c>
      <x:c r="D5" s="8"/>
      <x:c r="E5" s="9" t="s">
        <x:v>850</x:v>
      </x:c>
    </x:row>
    <x:row r="6">
      <x:c r="A6" s="10"/>
      <x:c r="B6" s="11"/>
      <x:c r="C6" s="11" t="s">
        <x:v>120</x:v>
      </x:c>
      <x:c r="D6" s="11"/>
      <x:c r="E6" s="12"/>
    </x:row>
  </x:sheetData>
  <x:pageMargins left="0.7" right="0.7" top="0.75" bottom="0.75" header="0.3" footer="0.3"/>
</x:worksheet>
</file>