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c13b3618a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阶段说明" sheetId="1" r:id="R936807b963124d0e"/>
    <x:sheet xmlns:r="http://schemas.openxmlformats.org/officeDocument/2006/relationships" name="01_主体主表" sheetId="2" r:id="R6173cabce4034cb1"/>
    <x:sheet xmlns:r="http://schemas.openxmlformats.org/officeDocument/2006/relationships" name="02_名称映射" sheetId="3" r:id="Rf5da46cb11f7432f"/>
    <x:sheet xmlns:r="http://schemas.openxmlformats.org/officeDocument/2006/relationships" name="03_投资事件" sheetId="4" r:id="Re010a325c6414d3a"/>
    <x:sheet xmlns:r="http://schemas.openxmlformats.org/officeDocument/2006/relationships" name="04_投资路径边" sheetId="5" r:id="R941e71582c134f06"/>
    <x:sheet xmlns:r="http://schemas.openxmlformats.org/officeDocument/2006/relationships" name="05_证据表" sheetId="6" r:id="R280bb73dbfd74d19"/>
    <x:sheet xmlns:r="http://schemas.openxmlformats.org/officeDocument/2006/relationships" name="06_待人工复核" sheetId="7" r:id="R3d3c89ce0ebe42f2"/>
    <x:sheet xmlns:r="http://schemas.openxmlformats.org/officeDocument/2006/relationships" name="07_质量检查" sheetId="8" r:id="Rebc8facaf1bf4558"/>
    <x:sheet xmlns:r="http://schemas.openxmlformats.org/officeDocument/2006/relationships" name="99_下拉选项" sheetId="9" r:id="R17d6a9031f1a4058"/>
    <x:sheet xmlns:r="http://schemas.openxmlformats.org/officeDocument/2006/relationships" name="08_PEVC最终识别" sheetId="10" r:id="R55710c9b78de4921"/>
  </x:sheets>
</x:workbook>
</file>

<file path=xl/sharedStrings.xml><?xml version="1.0" encoding="utf-8"?>
<x:sst xmlns:x="http://schemas.openxmlformats.org/spreadsheetml/2006/main">
  <x:si>
    <x:t xml:space="preserve">项目</x:t>
  </x:si>
  <x:si>
    <x:t xml:space="preserve">301563 云汉芯城招股说明书工程化学习</x:t>
  </x:si>
  <x:si>
    <x:t xml:space="preserve">阶段状态</x:t>
  </x:si>
  <x:si>
    <x:t xml:space="preserve">生成日期</x:t>
  </x:si>
  <x:si>
    <x:t xml:space="preserve">2026-07-17</x:t>
  </x:si>
  <x:si>
    <x:t xml:space="preserve">页码规则</x:t>
  </x:si>
  <x:si>
    <x:t xml:space="preserve">PDF页码=正文页码+1</x:t>
  </x:si>
  <x:si>
    <x:t xml:space="preserve">唯一主要事实来源</x:t>
  </x:si>
  <x:si>
    <x:t xml:space="preserve">301563_云汉芯城_IPO招股说明书.pdf</x:t>
  </x:si>
  <x:si>
    <x:t xml:space="preserve">前序正式输入</x:t>
  </x:si>
  <x:si>
    <x:t xml:space="preserve">stage04 final；stage05 final；stage06 final；stage07 final</x:t>
  </x:si>
  <x:si>
    <x:t xml:space="preserve">核心边界</x:t>
  </x:si>
  <x:si>
    <x:t xml:space="preserve">不使用外部数据库补充主体性质</x:t>
  </x:si>
  <x:si>
    <x:t xml:space="preserve">事件主键</x:t>
  </x:si>
  <x:si>
    <x:t xml:space="preserve">沿用CE事件ID</x:t>
  </x:si>
  <x:si>
    <x:t xml:space="preserve">识别对象</x:t>
  </x:si>
  <x:si>
    <x:t xml:space="preserve">直接股东、历史股东、基金、管理人、GP及明确上层关系主体</x:t>
  </x:si>
  <x:si>
    <x:t xml:space="preserve">不自动认定</x:t>
  </x:si>
  <x:si>
    <x:t xml:space="preserve">名称含投资/基金、有限合伙、上市前进入</x:t>
  </x:si>
  <x:si>
    <x:t xml:space="preserve">禁止推算</x:t>
  </x:si>
  <x:si>
    <x:t xml:space="preserve">LP、最终受益人、内部比例、退出收益</x:t>
  </x:si>
  <x:si>
    <x:t xml:space="preserve">数值口径</x:t>
  </x:si>
  <x:si>
    <x:t xml:space="preserve">披露值与计算值分列</x:t>
  </x:si>
  <x:si>
    <x:t xml:space="preserve">路径规则</x:t>
  </x:si>
  <x:si>
    <x:t xml:space="preserve">直接/间接与增资/受让为两个独立维度</x:t>
  </x:si>
  <x:si>
    <x:t xml:space="preserve">GP规则</x:t>
  </x:si>
  <x:si>
    <x:t xml:space="preserve">GP/管理关系默认 path_forming_flag=否</x:t>
  </x:si>
  <x:si>
    <x:t xml:space="preserve">混合事件</x:t>
  </x:si>
  <x:si>
    <x:t xml:space="preserve">按主体×事件×交易行为拆分</x:t>
  </x:si>
  <x:si>
    <x:t xml:space="preserve">未知信息</x:t>
  </x:si>
  <x:si>
    <x:t xml:space="preserve">保持空值并进入复核</x:t>
  </x:si>
  <x:si>
    <x:t xml:space="preserve">本次输出</x:t>
  </x:si>
  <x:si>
    <x:t xml:space="preserve">主体主表、名称映射、投资事件、路径边、证据表、复核队列、质量检查</x:t>
  </x:si>
  <x:si>
    <x:t xml:space="preserve">验收顺序</x:t>
  </x:si>
  <x:si>
    <x:t xml:space="preserve">先复核06表，再回看01/03/04表</x:t>
  </x:si>
  <x:si>
    <x:t xml:space="preserve">工作簿KPI（公式驱动）</x:t>
  </x:si>
  <x:si>
    <x:t xml:space="preserve">主体记录数</x:t>
  </x:si>
  <x:si>
    <x:t xml:space="preserve">CONFIRMED</x:t>
  </x:si>
  <x:si>
    <x:t xml:space="preserve">CANDIDATE</x:t>
  </x:si>
  <x:si>
    <x:t xml:space="preserve">RELATED</x:t>
  </x:si>
  <x:si>
    <x:t xml:space="preserve">EXCLUDED</x:t>
  </x:si>
  <x:si>
    <x:t xml:space="preserve">UNRESOLVED</x:t>
  </x:si>
  <x:si>
    <x:t xml:space="preserve">投资事件数</x:t>
  </x:si>
  <x:si>
    <x:t xml:space="preserve">路径边数</x:t>
  </x:si>
  <x:si>
    <x:t xml:space="preserve">人工复核项</x:t>
  </x:si>
  <x:si>
    <x:t xml:space="preserve">未关闭复核项</x:t>
  </x:si>
  <x:si>
    <x:t xml:space="preserve">最终状态</x:t>
  </x:si>
  <x:si>
    <x:t xml:space="preserve">用户复核操作</x:t>
  </x:si>
  <x:si>
    <x:t xml:space="preserve">1</x:t>
  </x:si>
  <x:si>
    <x:t xml:space="preserve">进入“06_待人工复核”，逐项选择复核结论。</x:t>
  </x:si>
  <x:si>
    <x:t xml:space="preserve">重点</x:t>
  </x:si>
  <x:si>
    <x:t xml:space="preserve">丰利财富/丰利基金、深创投及红土系、CASREV、鸿迪、厦门西堤、福建开京、湘裕君源。</x:t>
  </x:si>
  <x:si>
    <x:t xml:space="preserve">2</x:t>
  </x:si>
  <x:si>
    <x:t xml:space="preserve">根据复核结论回填“01_主体主表”的 pevc_status 和 reviewer_note。</x:t>
  </x:si>
  <x:si>
    <x:t xml:space="preserve">注意</x:t>
  </x:si>
  <x:si>
    <x:t xml:space="preserve">CONFIRMED原则上需要招股书明示基金/创投/股权投资属性。</x:t>
  </x:si>
  <x:si>
    <x:t xml:space="preserve">3</x:t>
  </x:si>
  <x:si>
    <x:t xml:space="preserve">检查“03_投资事件”中未披露金额是否仍为空，且没有平均分配或反推。</x:t>
  </x:si>
  <x:si>
    <x:t xml:space="preserve">CE-004、CE-005、CE-007各主体金额均不分摊。</x:t>
  </x:si>
  <x:si>
    <x:t xml:space="preserve">4</x:t>
  </x:si>
  <x:si>
    <x:t xml:space="preserve">检查“04_投资路径边”中GP/管理关系是否保持 path_forming_flag=否。</x:t>
  </x:si>
  <x:si>
    <x:t xml:space="preserve">完成条件</x:t>
  </x:si>
  <x:si>
    <x:t xml:space="preserve">06表全部关闭或明确保留未知；07表全部PASS。</x:t>
  </x:si>
  <x:si>
    <x:t xml:space="preserve">01 主体主表</x:t>
  </x:si>
  <x:si>
    <x:t xml:space="preserve">主体属性只依据招股说明书及已验收前序成果。黄色列为用户最终复核；名称特征只能形成候选，不单独形成CONFIRMED。</x:t>
  </x:si>
  <x:si>
    <x:t xml:space="preserve">entity_id</x:t>
  </x:si>
  <x:si>
    <x:t xml:space="preserve">upstream_party_id</x:t>
  </x:si>
  <x:si>
    <x:t xml:space="preserve">canonical_name</x:t>
  </x:si>
  <x:si>
    <x:t xml:space="preserve">primary_source_name</x:t>
  </x:si>
  <x:si>
    <x:t xml:space="preserve">entity_type</x:t>
  </x:si>
  <x:si>
    <x:t xml:space="preserve">entity_scope</x:t>
  </x:si>
  <x:si>
    <x:t xml:space="preserve">pevc_status</x:t>
  </x:si>
  <x:si>
    <x:t xml:space="preserve">pevc_role</x:t>
  </x:si>
  <x:si>
    <x:t xml:space="preserve">direct_shareholder_flag</x:t>
  </x:si>
  <x:si>
    <x:t xml:space="preserve">historical_holder_flag</x:t>
  </x:si>
  <x:si>
    <x:t xml:space="preserve">first_entry_event_id</x:t>
  </x:si>
  <x:si>
    <x:t xml:space="preserve">last_exit_event_id</x:t>
  </x:si>
  <x:si>
    <x:t xml:space="preserve">current_or_final_status</x:t>
  </x:si>
  <x:si>
    <x:t xml:space="preserve">judgment_basis</x:t>
  </x:si>
  <x:si>
    <x:t xml:space="preserve">evidence_ids</x:t>
  </x:si>
  <x:si>
    <x:t xml:space="preserve">confidence</x:t>
  </x:si>
  <x:si>
    <x:t xml:space="preserve">pdf_pages</x:t>
  </x:si>
  <x:si>
    <x:t xml:space="preserve">printed_pages</x:t>
  </x:si>
  <x:si>
    <x:t xml:space="preserve">review_decision</x:t>
  </x:si>
  <x:si>
    <x:t xml:space="preserve">reviewer_note</x:t>
  </x:si>
  <x:si>
    <x:t xml:space="preserve">ENT-ISSUER</x:t>
  </x:si>
  <x:si>
    <x:t xml:space="preserve">云汉芯城（上海）互联网科技股份有限公司</x:t>
  </x:si>
  <x:si>
    <x:t xml:space="preserve">发行人/云汉芯城</x:t>
  </x:si>
  <x:si>
    <x:t xml:space="preserve">发行人</x:t>
  </x:si>
  <x:si>
    <x:t xml:space="preserve">被投资企业</x:t>
  </x:si>
  <x:si>
    <x:t xml:space="preserve">不适用</x:t>
  </x:si>
  <x:si>
    <x:t xml:space="preserve">持续经营</x:t>
  </x:si>
  <x:si>
    <x:t xml:space="preserve">阶段八路径的最终下游主体，不属于PE/VC。</x:t>
  </x:si>
  <x:si>
    <x:t xml:space="preserve">EVD-001</x:t>
  </x:si>
  <x:si>
    <x:t xml:space="preserve">HIGH</x:t>
  </x:si>
  <x:si>
    <x:t xml:space="preserve">11</x:t>
  </x:si>
  <x:si>
    <x:t xml:space="preserve">10</x:t>
  </x:si>
  <x:si>
    <x:t xml:space="preserve">ENT-001</x:t>
  </x:si>
  <x:si>
    <x:t xml:space="preserve">PTY-001</x:t>
  </x:si>
  <x:si>
    <x:t xml:space="preserve">深圳市云汉电子有限公司</x:t>
  </x:si>
  <x:si>
    <x:t xml:space="preserve">深圳云汉电子</x:t>
  </x:si>
  <x:si>
    <x:t xml:space="preserve">公司</x:t>
  </x:si>
  <x:si>
    <x:t xml:space="preserve">排除对照/交易对手</x:t>
  </x:si>
  <x:si>
    <x:t xml:space="preserve">历史经营主体/转让方</x:t>
  </x:si>
  <x:si>
    <x:t xml:space="preserve">曾为直接股东</x:t>
  </x:si>
  <x:si>
    <x:t xml:space="preserve">是</x:t>
  </x:si>
  <x:si>
    <x:t xml:space="preserve">CE-001</x:t>
  </x:si>
  <x:si>
    <x:t xml:space="preserve">CE-002-01</x:t>
  </x:si>
  <x:si>
    <x:t xml:space="preserve">全部退出</x:t>
  </x:si>
  <x:si>
    <x:t xml:space="preserve">发行人前身设立股东，不属于PE/VC。</x:t>
  </x:si>
  <x:si>
    <x:t xml:space="preserve">EVD-001｜EVD-020</x:t>
  </x:si>
  <x:si>
    <x:t xml:space="preserve">56—65</x:t>
  </x:si>
  <x:si>
    <x:t xml:space="preserve">55—64</x:t>
  </x:si>
  <x:si>
    <x:t xml:space="preserve">ENT-002</x:t>
  </x:si>
  <x:si>
    <x:t xml:space="preserve">PTY-002</x:t>
  </x:si>
  <x:si>
    <x:t xml:space="preserve">刘云锋</x:t>
  </x:si>
  <x:si>
    <x:t xml:space="preserve">自然人</x:t>
  </x:si>
  <x:si>
    <x:t xml:space="preserve">创始股东/交易对手</x:t>
  </x:si>
  <x:si>
    <x:t xml:space="preserve">持续持有</x:t>
  </x:si>
  <x:si>
    <x:t xml:space="preserve">自然人创始股东。</x:t>
  </x:si>
  <x:si>
    <x:t xml:space="preserve">EVD-020</x:t>
  </x:si>
  <x:si>
    <x:t xml:space="preserve">ENT-003</x:t>
  </x:si>
  <x:si>
    <x:t xml:space="preserve">PTY-003</x:t>
  </x:si>
  <x:si>
    <x:t xml:space="preserve">曾烨</x:t>
  </x:si>
  <x:si>
    <x:t xml:space="preserve">ENT-004</x:t>
  </x:si>
  <x:si>
    <x:t xml:space="preserve">PTY-004</x:t>
  </x:si>
  <x:si>
    <x:t xml:space="preserve">宁波为赛咨询管理中心（有限合伙）</x:t>
  </x:si>
  <x:si>
    <x:t xml:space="preserve">为赛咨询</x:t>
  </x:si>
  <x:si>
    <x:t xml:space="preserve">有限合伙</x:t>
  </x:si>
  <x:si>
    <x:t xml:space="preserve">员工及管理层持股平台</x:t>
  </x:si>
  <x:si>
    <x:t xml:space="preserve">CE-003</x:t>
  </x:si>
  <x:si>
    <x:t xml:space="preserve">CE-011</x:t>
  </x:si>
  <x:si>
    <x:t xml:space="preserve">部分退出后持续持有</x:t>
  </x:si>
  <x:si>
    <x:t xml:space="preserve">历次事件显示其向管理团队成员转让股份；暂按员工持股平台排除，待复核。</x:t>
  </x:si>
  <x:si>
    <x:t xml:space="preserve">EVD-008｜EVD-020</x:t>
  </x:si>
  <x:si>
    <x:t xml:space="preserve">MEDIUM</x:t>
  </x:si>
  <x:si>
    <x:t xml:space="preserve">56｜61—62</x:t>
  </x:si>
  <x:si>
    <x:t xml:space="preserve">55｜60—61</x:t>
  </x:si>
  <x:si>
    <x:t xml:space="preserve">ENT-005</x:t>
  </x:si>
  <x:si>
    <x:t xml:space="preserve">PTY-005</x:t>
  </x:si>
  <x:si>
    <x:t xml:space="preserve">武汉力源信息技术股份有限公司</x:t>
  </x:si>
  <x:si>
    <x:t xml:space="preserve">力源信息</x:t>
  </x:si>
  <x:si>
    <x:t xml:space="preserve">产业投资主体</x:t>
  </x:si>
  <x:si>
    <x:t xml:space="preserve">CE-004</x:t>
  </x:si>
  <x:si>
    <x:t xml:space="preserve">主营业务为集成电路及电子元器件相关经营业务，非PE/VC。</x:t>
  </x:si>
  <x:si>
    <x:t xml:space="preserve">EVD-013</x:t>
  </x:si>
  <x:si>
    <x:t xml:space="preserve">56｜81—82</x:t>
  </x:si>
  <x:si>
    <x:t xml:space="preserve">55｜80—81</x:t>
  </x:si>
  <x:si>
    <x:t xml:space="preserve">ENT-006</x:t>
  </x:si>
  <x:si>
    <x:t xml:space="preserve">PTY-006</x:t>
  </x:si>
  <x:si>
    <x:t xml:space="preserve">东方富海（上海）创业投资企业（有限合伙）</x:t>
  </x:si>
  <x:si>
    <x:t xml:space="preserve">东方富海</x:t>
  </x:si>
  <x:si>
    <x:t xml:space="preserve">核心候选</x:t>
  </x:si>
  <x:si>
    <x:t xml:space="preserve">直接PE/VC投资主体</x:t>
  </x:si>
  <x:si>
    <x:t xml:space="preserve">招股说明书披露其主营业务包括创业投资、投资管理。</x:t>
  </x:si>
  <x:si>
    <x:t xml:space="preserve">EVD-014</x:t>
  </x:si>
  <x:si>
    <x:t xml:space="preserve">56｜83</x:t>
  </x:si>
  <x:si>
    <x:t xml:space="preserve">55｜82</x:t>
  </x:si>
  <x:si>
    <x:t xml:space="preserve">ENT-007</x:t>
  </x:si>
  <x:si>
    <x:t xml:space="preserve">PTY-007</x:t>
  </x:si>
  <x:si>
    <x:t xml:space="preserve">芜湖富海浩研创业投资基金（有限合伙）</x:t>
  </x:si>
  <x:si>
    <x:t xml:space="preserve">芜湖富海</x:t>
  </x:si>
  <x:si>
    <x:t xml:space="preserve">直接PE/VC投资基金</x:t>
  </x:si>
  <x:si>
    <x:t xml:space="preserve">主体名称为创业投资基金，主营业务包含非上市企业投资及股权投资。</x:t>
  </x:si>
  <x:si>
    <x:t xml:space="preserve">56｜82—83</x:t>
  </x:si>
  <x:si>
    <x:t xml:space="preserve">55｜81—82</x:t>
  </x:si>
  <x:si>
    <x:t xml:space="preserve">ENT-008</x:t>
  </x:si>
  <x:si>
    <x:t xml:space="preserve">PTY-008</x:t>
  </x:si>
  <x:si>
    <x:t xml:space="preserve">深圳市创新投资集团有限公司</x:t>
  </x:si>
  <x:si>
    <x:t xml:space="preserve">深创投</x:t>
  </x:si>
  <x:si>
    <x:t xml:space="preserve">直接机构投资主体</x:t>
  </x:si>
  <x:si>
    <x:t xml:space="preserve">CE-007</x:t>
  </x:si>
  <x:si>
    <x:t xml:space="preserve">名称及入股行为具有创投特征，但本工作底稿尚未取得招股书明示主营业务证据。</x:t>
  </x:si>
  <x:si>
    <x:t xml:space="preserve">EVD-003｜EVD-020</x:t>
  </x:si>
  <x:si>
    <x:t xml:space="preserve">57</x:t>
  </x:si>
  <x:si>
    <x:t xml:space="preserve">56</x:t>
  </x:si>
  <x:si>
    <x:t xml:space="preserve">ENT-009</x:t>
  </x:si>
  <x:si>
    <x:t xml:space="preserve">PTY-009</x:t>
  </x:si>
  <x:si>
    <x:t xml:space="preserve">丰利财富（北京）国际资本管理股份有限公司</x:t>
  </x:si>
  <x:si>
    <x:t xml:space="preserve">丰利财富</x:t>
  </x:si>
  <x:si>
    <x:t xml:space="preserve">直接名义持股主体/代表基金投资</x:t>
  </x:si>
  <x:si>
    <x:t xml:space="preserve">CE-009</x:t>
  </x:si>
  <x:si>
    <x:t xml:space="preserve">原文明示其代表所管理的丰利新三板基金投资发行人，资金来源为基金募集资金。</x:t>
  </x:si>
  <x:si>
    <x:t xml:space="preserve">EVD-004｜EVD-025</x:t>
  </x:si>
  <x:si>
    <x:t xml:space="preserve">57—58</x:t>
  </x:si>
  <x:si>
    <x:t xml:space="preserve">56—57</x:t>
  </x:si>
  <x:si>
    <x:t xml:space="preserve">ENT-010</x:t>
  </x:si>
  <x:si>
    <x:t xml:space="preserve">PTY-010</x:t>
  </x:si>
  <x:si>
    <x:t xml:space="preserve">镇江红土创业投资有限公司</x:t>
  </x:si>
  <x:si>
    <x:t xml:space="preserve">镇江红土</x:t>
  </x:si>
  <x:si>
    <x:t xml:space="preserve">名称含创业投资且参与增资，但需核实招股书对其主体性质的明示表述。</x:t>
  </x:si>
  <x:si>
    <x:t xml:space="preserve">ENT-011</x:t>
  </x:si>
  <x:si>
    <x:t xml:space="preserve">PTY-011</x:t>
  </x:si>
  <x:si>
    <x:t xml:space="preserve">昆山红土高新创业投资有限公司</x:t>
  </x:si>
  <x:si>
    <x:t xml:space="preserve">昆山红土</x:t>
  </x:si>
  <x:si>
    <x:t xml:space="preserve">名称含高新创业投资且参与增资，但需核实招股书对其主体性质的明示表述。</x:t>
  </x:si>
  <x:si>
    <x:t xml:space="preserve">ENT-012</x:t>
  </x:si>
  <x:si>
    <x:t xml:space="preserve">PTY-012</x:t>
  </x:si>
  <x:si>
    <x:t xml:space="preserve">富海深湾（深圳）移动创新私募创业投资基金合伙企业（有限合伙）</x:t>
  </x:si>
  <x:si>
    <x:t xml:space="preserve">富海深湾</x:t>
  </x:si>
  <x:si>
    <x:t xml:space="preserve">直接私募创业投资基金</x:t>
  </x:si>
  <x:si>
    <x:t xml:space="preserve">全称明确为私募创业投资基金，招股书披露其基金结构。</x:t>
  </x:si>
  <x:si>
    <x:t xml:space="preserve">EVD-017</x:t>
  </x:si>
  <x:si>
    <x:t xml:space="preserve">57｜88—89</x:t>
  </x:si>
  <x:si>
    <x:t xml:space="preserve">56｜87—88</x:t>
  </x:si>
  <x:si>
    <x:t xml:space="preserve">ENT-013</x:t>
  </x:si>
  <x:si>
    <x:t xml:space="preserve">PTY-013</x:t>
  </x:si>
  <x:si>
    <x:t xml:space="preserve">厦门富海天健创业投资合伙企业（有限合伙）</x:t>
  </x:si>
  <x:si>
    <x:t xml:space="preserve">天健创投</x:t>
  </x:si>
  <x:si>
    <x:t xml:space="preserve">直接创业投资主体</x:t>
  </x:si>
  <x:si>
    <x:t xml:space="preserve">原文明示其主营业务为创业投资。</x:t>
  </x:si>
  <x:si>
    <x:t xml:space="preserve">EVD-004｜EVD-005</x:t>
  </x:si>
  <x:si>
    <x:t xml:space="preserve">58</x:t>
  </x:si>
  <x:si>
    <x:t xml:space="preserve">ENT-014</x:t>
  </x:si>
  <x:si>
    <x:t xml:space="preserve">PTY-014</x:t>
  </x:si>
  <x:si>
    <x:t xml:space="preserve">北京国科瑞华战略性新兴产业投资基金（有限合伙）</x:t>
  </x:si>
  <x:si>
    <x:t xml:space="preserve">国科瑞华</x:t>
  </x:si>
  <x:si>
    <x:t xml:space="preserve">直接产业投资基金</x:t>
  </x:si>
  <x:si>
    <x:t xml:space="preserve">CE-010-01</x:t>
  </x:si>
  <x:si>
    <x:t xml:space="preserve">全称为战略性新兴产业投资基金，招股书单列基金构成。</x:t>
  </x:si>
  <x:si>
    <x:t xml:space="preserve">EVD-018</x:t>
  </x:si>
  <x:si>
    <x:t xml:space="preserve">59—61｜89</x:t>
  </x:si>
  <x:si>
    <x:t xml:space="preserve">58—60｜88</x:t>
  </x:si>
  <x:si>
    <x:t xml:space="preserve">ENT-015</x:t>
  </x:si>
  <x:si>
    <x:t xml:space="preserve">PTY-015</x:t>
  </x:si>
  <x:si>
    <x:t xml:space="preserve">CASREV FUND II-USD L.P.</x:t>
  </x:si>
  <x:si>
    <x:t xml:space="preserve">CASREV FUND</x:t>
  </x:si>
  <x:si>
    <x:t xml:space="preserve">境外直接投资基金候选</x:t>
  </x:si>
  <x:si>
    <x:t xml:space="preserve">主体名称为FUND II-USD L.P.并参与C轮增资；招股书未在本证据链中直接说明其主营业务。</x:t>
  </x:si>
  <x:si>
    <x:t xml:space="preserve">EVD-006｜EVD-018</x:t>
  </x:si>
  <x:si>
    <x:t xml:space="preserve">59—61｜90</x:t>
  </x:si>
  <x:si>
    <x:t xml:space="preserve">58—60｜89</x:t>
  </x:si>
  <x:si>
    <x:t xml:space="preserve">ENT-016</x:t>
  </x:si>
  <x:si>
    <x:t xml:space="preserve">PTY-016</x:t>
  </x:si>
  <x:si>
    <x:t xml:space="preserve">中科贵银（贵州）产业投资基金（有限合伙）</x:t>
  </x:si>
  <x:si>
    <x:t xml:space="preserve">中科贵银</x:t>
  </x:si>
  <x:si>
    <x:t xml:space="preserve">全称为产业投资基金，招股书披露GP及出资构成。</x:t>
  </x:si>
  <x:si>
    <x:t xml:space="preserve">59—61｜91</x:t>
  </x:si>
  <x:si>
    <x:t xml:space="preserve">58—60｜90</x:t>
  </x:si>
  <x:si>
    <x:t xml:space="preserve">ENT-017</x:t>
  </x:si>
  <x:si>
    <x:t xml:space="preserve">PTY-017</x:t>
  </x:si>
  <x:si>
    <x:t xml:space="preserve">夏东</x:t>
  </x:si>
  <x:si>
    <x:t xml:space="preserve">自然人财务投资者</x:t>
  </x:si>
  <x:si>
    <x:t xml:space="preserve">自然人，不纳入PE/VC机构主体。</x:t>
  </x:si>
  <x:si>
    <x:t xml:space="preserve">EVD-006</x:t>
  </x:si>
  <x:si>
    <x:t xml:space="preserve">59—61</x:t>
  </x:si>
  <x:si>
    <x:t xml:space="preserve">58—60</x:t>
  </x:si>
  <x:si>
    <x:t xml:space="preserve">ENT-018</x:t>
  </x:si>
  <x:si>
    <x:t xml:space="preserve">PTY-018</x:t>
  </x:si>
  <x:si>
    <x:t xml:space="preserve">深圳南山东方富海中小微创业投资基金合伙企业（有限合伙）</x:t>
  </x:si>
  <x:si>
    <x:t xml:space="preserve">南山富海</x:t>
  </x:si>
  <x:si>
    <x:t xml:space="preserve">直接创业投资基金</x:t>
  </x:si>
  <x:si>
    <x:t xml:space="preserve">全称为中小微创业投资基金，主营业务包括未上市企业股权投资与创业投资。</x:t>
  </x:si>
  <x:si>
    <x:t xml:space="preserve">EVD-015</x:t>
  </x:si>
  <x:si>
    <x:t xml:space="preserve">59—61｜84—85</x:t>
  </x:si>
  <x:si>
    <x:t xml:space="preserve">58—60｜83—84</x:t>
  </x:si>
  <x:si>
    <x:t xml:space="preserve">ENT-019</x:t>
  </x:si>
  <x:si>
    <x:t xml:space="preserve">PTY-019</x:t>
  </x:si>
  <x:si>
    <x:t xml:space="preserve">珠海拓域壹号股权投资基金（有限合伙）</x:t>
  </x:si>
  <x:si>
    <x:t xml:space="preserve">珠海拓域</x:t>
  </x:si>
  <x:si>
    <x:t xml:space="preserve">直接股权投资基金</x:t>
  </x:si>
  <x:si>
    <x:t xml:space="preserve">全称明确为股权投资基金。</x:t>
  </x:si>
  <x:si>
    <x:t xml:space="preserve">EVD-006｜EVD-019</x:t>
  </x:si>
  <x:si>
    <x:t xml:space="preserve">ENT-020</x:t>
  </x:si>
  <x:si>
    <x:t xml:space="preserve">PTY-020</x:t>
  </x:si>
  <x:si>
    <x:t xml:space="preserve">李文发</x:t>
  </x:si>
  <x:si>
    <x:t xml:space="preserve">管理层激励对象/交易对手</x:t>
  </x:si>
  <x:si>
    <x:t xml:space="preserve">CE-010-02</x:t>
  </x:si>
  <x:si>
    <x:t xml:space="preserve">管理团队成员，以股权激励价格增资。</x:t>
  </x:si>
  <x:si>
    <x:t xml:space="preserve">EVD-006｜EVD-008</x:t>
  </x:si>
  <x:si>
    <x:t xml:space="preserve">ENT-021</x:t>
  </x:si>
  <x:si>
    <x:t xml:space="preserve">PTY-021</x:t>
  </x:si>
  <x:si>
    <x:t xml:space="preserve">秦国君</x:t>
  </x:si>
  <x:si>
    <x:t xml:space="preserve">ENT-022</x:t>
  </x:si>
  <x:si>
    <x:t xml:space="preserve">PTY-022</x:t>
  </x:si>
  <x:si>
    <x:t xml:space="preserve">李剑峰</x:t>
  </x:si>
  <x:si>
    <x:t xml:space="preserve">管理层激励对象</x:t>
  </x:si>
  <x:si>
    <x:t xml:space="preserve">ENT-023</x:t>
  </x:si>
  <x:si>
    <x:t xml:space="preserve">PTY-023</x:t>
  </x:si>
  <x:si>
    <x:t xml:space="preserve">周雪峰</x:t>
  </x:si>
  <x:si>
    <x:t xml:space="preserve">ENT-024</x:t>
  </x:si>
  <x:si>
    <x:t xml:space="preserve">PTY-024</x:t>
  </x:si>
  <x:si>
    <x:t xml:space="preserve">深圳东方富海节能环保创业投资基金合伙企业（有限合伙）</x:t>
  </x:si>
  <x:si>
    <x:t xml:space="preserve">富海节能</x:t>
  </x:si>
  <x:si>
    <x:t xml:space="preserve">CE-010-03</x:t>
  </x:si>
  <x:si>
    <x:t xml:space="preserve">全称明确为节能环保创业投资基金。</x:t>
  </x:si>
  <x:si>
    <x:t xml:space="preserve">EVD-007｜EVD-019</x:t>
  </x:si>
  <x:si>
    <x:t xml:space="preserve">ENT-025</x:t>
  </x:si>
  <x:si>
    <x:t xml:space="preserve">PTY-025</x:t>
  </x:si>
  <x:si>
    <x:t xml:space="preserve">上海临港松江股权投资基金合伙企业（有限合伙）</x:t>
  </x:si>
  <x:si>
    <x:t xml:space="preserve">临港投资</x:t>
  </x:si>
  <x:si>
    <x:t xml:space="preserve">ENT-026</x:t>
  </x:si>
  <x:si>
    <x:t xml:space="preserve">PTY-026</x:t>
  </x:si>
  <x:si>
    <x:t xml:space="preserve">上海鸿迪投资集团有限公司</x:t>
  </x:si>
  <x:si>
    <x:t xml:space="preserve">鸿迪投资</x:t>
  </x:si>
  <x:si>
    <x:t xml:space="preserve">参与两次老股受让，但招股书本证据链未明示其PE/VC性质。</x:t>
  </x:si>
  <x:si>
    <x:t xml:space="preserve">EVD-007｜EVD-011</x:t>
  </x:si>
  <x:si>
    <x:t xml:space="preserve">59—61｜64—65</x:t>
  </x:si>
  <x:si>
    <x:t xml:space="preserve">58—60｜63—64</x:t>
  </x:si>
  <x:si>
    <x:t xml:space="preserve">ENT-027</x:t>
  </x:si>
  <x:si>
    <x:t xml:space="preserve">PTY-027</x:t>
  </x:si>
  <x:si>
    <x:t xml:space="preserve">福建火炬电子科技股份有限公司</x:t>
  </x:si>
  <x:si>
    <x:t xml:space="preserve">火炬电子</x:t>
  </x:si>
  <x:si>
    <x:t xml:space="preserve">产业战略投资主体</x:t>
  </x:si>
  <x:si>
    <x:t xml:space="preserve">CE-012</x:t>
  </x:si>
  <x:si>
    <x:t xml:space="preserve">以电子科技上市公司身份实施D轮增资；暂按产业资本排除PE/VC，待用户确认。</x:t>
  </x:si>
  <x:si>
    <x:t xml:space="preserve">EVD-009</x:t>
  </x:si>
  <x:si>
    <x:t xml:space="preserve">62—63</x:t>
  </x:si>
  <x:si>
    <x:t xml:space="preserve">61—62</x:t>
  </x:si>
  <x:si>
    <x:t xml:space="preserve">ENT-028</x:t>
  </x:si>
  <x:si>
    <x:t xml:space="preserve">PTY-028</x:t>
  </x:si>
  <x:si>
    <x:t xml:space="preserve">厦门西堤拾贰投资合伙企业（有限合伙）</x:t>
  </x:si>
  <x:si>
    <x:t xml:space="preserve">厦门西堤</x:t>
  </x:si>
  <x:si>
    <x:t xml:space="preserve">直接投资合伙企业</x:t>
  </x:si>
  <x:si>
    <x:t xml:space="preserve">CE-013-01</x:t>
  </x:si>
  <x:si>
    <x:t xml:space="preserve">名称为投资合伙企业并通过D+轮增资进入，但未取得明示基金或创投属性证据。</x:t>
  </x:si>
  <x:si>
    <x:t xml:space="preserve">EVD-010</x:t>
  </x:si>
  <x:si>
    <x:t xml:space="preserve">63—65</x:t>
  </x:si>
  <x:si>
    <x:t xml:space="preserve">62—64</x:t>
  </x:si>
  <x:si>
    <x:t xml:space="preserve">ENT-029</x:t>
  </x:si>
  <x:si>
    <x:t xml:space="preserve">PTY-029</x:t>
  </x:si>
  <x:si>
    <x:t xml:space="preserve">中小企业发展基金（深圳南山有限合伙）</x:t>
  </x:si>
  <x:si>
    <x:t xml:space="preserve">中小企业基金</x:t>
  </x:si>
  <x:si>
    <x:t xml:space="preserve">直接中小企业发展基金</x:t>
  </x:si>
  <x:si>
    <x:t xml:space="preserve">主体名称及主营业务均明确涉及中小企业创业投资和股权投资。</x:t>
  </x:si>
  <x:si>
    <x:t xml:space="preserve">EVD-016</x:t>
  </x:si>
  <x:si>
    <x:t xml:space="preserve">63—65｜87</x:t>
  </x:si>
  <x:si>
    <x:t xml:space="preserve">62—64｜86</x:t>
  </x:si>
  <x:si>
    <x:t xml:space="preserve">ENT-030</x:t>
  </x:si>
  <x:si>
    <x:t xml:space="preserve">PTY-030</x:t>
  </x:si>
  <x:si>
    <x:t xml:space="preserve">郦韩英</x:t>
  </x:si>
  <x:si>
    <x:t xml:space="preserve">自然人受让方</x:t>
  </x:si>
  <x:si>
    <x:t xml:space="preserve">CE-013-02</x:t>
  </x:si>
  <x:si>
    <x:t xml:space="preserve">EVD-011</x:t>
  </x:si>
  <x:si>
    <x:t xml:space="preserve">ENT-031</x:t>
  </x:si>
  <x:si>
    <x:t xml:space="preserve">PTY-031</x:t>
  </x:si>
  <x:si>
    <x:t xml:space="preserve">福建开京集团有限责任公司</x:t>
  </x:si>
  <x:si>
    <x:t xml:space="preserve">福建开京</x:t>
  </x:si>
  <x:si>
    <x:t xml:space="preserve">直接机构受让方</x:t>
  </x:si>
  <x:si>
    <x:t xml:space="preserve">仅确认公司主体及受让进入，招股书未披露足以判断PE/VC属性的材料。</x:t>
  </x:si>
  <x:si>
    <x:t xml:space="preserve">EVD-011｜EVD-020</x:t>
  </x:si>
  <x:si>
    <x:t xml:space="preserve">LOW</x:t>
  </x:si>
  <x:si>
    <x:t xml:space="preserve">64—65</x:t>
  </x:si>
  <x:si>
    <x:t xml:space="preserve">63—64</x:t>
  </x:si>
  <x:si>
    <x:t xml:space="preserve">ENT-032</x:t>
  </x:si>
  <x:si>
    <x:t xml:space="preserve">PTY-032</x:t>
  </x:si>
  <x:si>
    <x:t xml:space="preserve">沈笑彦</x:t>
  </x:si>
  <x:si>
    <x:t xml:space="preserve">ENT-033</x:t>
  </x:si>
  <x:si>
    <x:t xml:space="preserve">PTY-033</x:t>
  </x:si>
  <x:si>
    <x:t xml:space="preserve">衣嘉平</x:t>
  </x:si>
  <x:si>
    <x:t xml:space="preserve">ENT-034</x:t>
  </x:si>
  <x:si>
    <x:t xml:space="preserve">PTY-034</x:t>
  </x:si>
  <x:si>
    <x:t xml:space="preserve">余满芬</x:t>
  </x:si>
  <x:si>
    <x:t xml:space="preserve">ENT-035</x:t>
  </x:si>
  <x:si>
    <x:t xml:space="preserve">PTY-035</x:t>
  </x:si>
  <x:si>
    <x:t xml:space="preserve">崔振南</x:t>
  </x:si>
  <x:si>
    <x:t xml:space="preserve">ENT-036</x:t>
  </x:si>
  <x:si>
    <x:t xml:space="preserve">PTY-036</x:t>
  </x:si>
  <x:si>
    <x:t xml:space="preserve">萍乡市湘裕君源企业管理中心（有限合伙）</x:t>
  </x:si>
  <x:si>
    <x:t xml:space="preserve">湘裕君源</x:t>
  </x:si>
  <x:si>
    <x:t xml:space="preserve">直接有限合伙受让方</x:t>
  </x:si>
  <x:si>
    <x:t xml:space="preserve">仅确认企业管理有限合伙及老股受让事实，不能据名称判断为PE/VC。</x:t>
  </x:si>
  <x:si>
    <x:t xml:space="preserve">ENT-R001</x:t>
  </x:si>
  <x:si>
    <x:t xml:space="preserve">丰利财富新三板成长基金</x:t>
  </x:si>
  <x:si>
    <x:t xml:space="preserve">基金</x:t>
  </x:si>
  <x:si>
    <x:t xml:space="preserve">相关上游</x:t>
  </x:si>
  <x:si>
    <x:t xml:space="preserve">经济资金来源基金</x:t>
  </x:si>
  <x:si>
    <x:t xml:space="preserve">否</x:t>
  </x:si>
  <x:si>
    <x:t xml:space="preserve">已退出</x:t>
  </x:si>
  <x:si>
    <x:t xml:space="preserve">原文明示丰利财富代表该基金投资发行人，资金来源为基金募集资金。</x:t>
  </x:si>
  <x:si>
    <x:t xml:space="preserve">ENT-R002</x:t>
  </x:si>
  <x:si>
    <x:t xml:space="preserve">东方富海（芜湖）股权投资基金管理企业（有限合伙）</x:t>
  </x:si>
  <x:si>
    <x:t xml:space="preserve">GP/基金管理相关主体</x:t>
  </x:si>
  <x:si>
    <x:t xml:space="preserve">关系主体</x:t>
  </x:si>
  <x:si>
    <x:t xml:space="preserve">原文披露其为天健创投普通合伙人；亦为富海深湾GP。GP关系默认不形成发行人权益路径。</x:t>
  </x:si>
  <x:si>
    <x:t xml:space="preserve">EVD-005｜EVD-017｜EVD-024</x:t>
  </x:si>
  <x:si>
    <x:t xml:space="preserve">58｜88—89</x:t>
  </x:si>
  <x:si>
    <x:t xml:space="preserve">57｜87—88</x:t>
  </x:si>
  <x:si>
    <x:t xml:space="preserve">ENT-R003</x:t>
  </x:si>
  <x:si>
    <x:t xml:space="preserve">厦门蜜呆资产管理合伙企业（有限合伙）</x:t>
  </x:si>
  <x:si>
    <x:t xml:space="preserve">GP/执行事务合伙人</x:t>
  </x:si>
  <x:si>
    <x:t xml:space="preserve">原文披露其为天健创投普通合伙人及执行事务合伙人。</x:t>
  </x:si>
  <x:si>
    <x:t xml:space="preserve">EVD-005｜EVD-024</x:t>
  </x:si>
  <x:si>
    <x:t xml:space="preserve">ENT-R004</x:t>
  </x:si>
  <x:si>
    <x:t xml:space="preserve">东方富海（上海）投资管理合伙企业（有限合伙）</x:t>
  </x:si>
  <x:si>
    <x:t xml:space="preserve">GP</x:t>
  </x:si>
  <x:si>
    <x:t xml:space="preserve">招股书股东构成表披露其为东方富海GP。</x:t>
  </x:si>
  <x:si>
    <x:t xml:space="preserve">EVD-014｜EVD-024</x:t>
  </x:si>
  <x:si>
    <x:t xml:space="preserve">83</x:t>
  </x:si>
  <x:si>
    <x:t xml:space="preserve">82</x:t>
  </x:si>
  <x:si>
    <x:t xml:space="preserve">ENT-R005</x:t>
  </x:si>
  <x:si>
    <x:t xml:space="preserve">芜湖兴安创业投资基金管理有限公司</x:t>
  </x:si>
  <x:si>
    <x:t xml:space="preserve">招股书股东构成表披露其为芜湖富海GP。</x:t>
  </x:si>
  <x:si>
    <x:t xml:space="preserve">EVD-013｜EVD-024</x:t>
  </x:si>
  <x:si>
    <x:t xml:space="preserve">81</x:t>
  </x:si>
  <x:si>
    <x:t xml:space="preserve">ENT-R006</x:t>
  </x:si>
  <x:si>
    <x:t xml:space="preserve">深圳市东方富海创业投资管理有限公司</x:t>
  </x:si>
  <x:si>
    <x:t xml:space="preserve">招股书股东构成表披露其为南山富海GP。</x:t>
  </x:si>
  <x:si>
    <x:t xml:space="preserve">EVD-015｜EVD-024</x:t>
  </x:si>
  <x:si>
    <x:t xml:space="preserve">84</x:t>
  </x:si>
  <x:si>
    <x:t xml:space="preserve">ENT-R007</x:t>
  </x:si>
  <x:si>
    <x:t xml:space="preserve">中国科技产业投资管理有限公司</x:t>
  </x:si>
  <x:si>
    <x:t xml:space="preserve">招股书股东构成表披露其为中科贵银GP。</x:t>
  </x:si>
  <x:si>
    <x:t xml:space="preserve">EVD-018｜EVD-024</x:t>
  </x:si>
  <x:si>
    <x:t xml:space="preserve">91</x:t>
  </x:si>
  <x:si>
    <x:t xml:space="preserve">90</x:t>
  </x:si>
  <x:si>
    <x:t xml:space="preserve">ENT-R008</x:t>
  </x:si>
  <x:si>
    <x:t xml:space="preserve">深圳市富海中小企业发展基金股权投资管理有限公司</x:t>
  </x:si>
  <x:si>
    <x:t xml:space="preserve">招股书股东构成表披露其为中小企业基金GP。</x:t>
  </x:si>
  <x:si>
    <x:t xml:space="preserve">EVD-016｜EVD-024</x:t>
  </x:si>
  <x:si>
    <x:t xml:space="preserve">87</x:t>
  </x:si>
  <x:si>
    <x:t xml:space="preserve">86</x:t>
  </x:si>
  <x:si>
    <x:t xml:space="preserve">02 名称映射</x:t>
  </x:si>
  <x:si>
    <x:t xml:space="preserve">只合并原文明示的简称、全称、曾用名和排版差异；基金与管理人、基金与GP、同一管理人管理的不同基金不得合并。</x:t>
  </x:si>
  <x:si>
    <x:t xml:space="preserve">name_record_id</x:t>
  </x:si>
  <x:si>
    <x:t xml:space="preserve">raw_name</x:t>
  </x:si>
  <x:si>
    <x:t xml:space="preserve">normalized_name</x:t>
  </x:si>
  <x:si>
    <x:t xml:space="preserve">name_relation</x:t>
  </x:si>
  <x:si>
    <x:t xml:space="preserve">merge_flag</x:t>
  </x:si>
  <x:si>
    <x:t xml:space="preserve">merge_basis</x:t>
  </x:si>
  <x:si>
    <x:t xml:space="preserve">evidence_id</x:t>
  </x:si>
  <x:si>
    <x:t xml:space="preserve">review_note</x:t>
  </x:si>
  <x:si>
    <x:t xml:space="preserve">NAM-001</x:t>
  </x:si>
  <x:si>
    <x:t xml:space="preserve">简称→全称</x:t>
  </x:si>
  <x:si>
    <x:t xml:space="preserve">招股说明书释义、事件正文或已验收阶段六名称映射</x:t>
  </x:si>
  <x:si>
    <x:t xml:space="preserve">EVD-019｜EVD-020</x:t>
  </x:si>
  <x:si>
    <x:t xml:space="preserve">NAM-002</x:t>
  </x:si>
  <x:si>
    <x:t xml:space="preserve">NAM-003</x:t>
  </x:si>
  <x:si>
    <x:t xml:space="preserve">原文全称</x:t>
  </x:si>
  <x:si>
    <x:t xml:space="preserve">NAM-004</x:t>
  </x:si>
  <x:si>
    <x:t xml:space="preserve">NAM-005</x:t>
  </x:si>
  <x:si>
    <x:t xml:space="preserve">NAM-006</x:t>
  </x:si>
  <x:si>
    <x:t xml:space="preserve">NAM-007</x:t>
  </x:si>
  <x:si>
    <x:t xml:space="preserve">NAM-008</x:t>
  </x:si>
  <x:si>
    <x:t xml:space="preserve">NAM-009</x:t>
  </x:si>
  <x:si>
    <x:t xml:space="preserve">NAM-010</x:t>
  </x:si>
  <x:si>
    <x:t xml:space="preserve">NAM-011</x:t>
  </x:si>
  <x:si>
    <x:t xml:space="preserve">NAM-012</x:t>
  </x:si>
  <x:si>
    <x:t xml:space="preserve">NAM-013</x:t>
  </x:si>
  <x:si>
    <x:t xml:space="preserve">NAM-014</x:t>
  </x:si>
  <x:si>
    <x:t xml:space="preserve">NAM-015</x:t>
  </x:si>
  <x:si>
    <x:t xml:space="preserve">NAM-016</x:t>
  </x:si>
  <x:si>
    <x:t xml:space="preserve">NAM-017</x:t>
  </x:si>
  <x:si>
    <x:t xml:space="preserve">NAM-018</x:t>
  </x:si>
  <x:si>
    <x:t xml:space="preserve">NAM-019</x:t>
  </x:si>
  <x:si>
    <x:t xml:space="preserve">NAM-020</x:t>
  </x:si>
  <x:si>
    <x:t xml:space="preserve">NAM-021</x:t>
  </x:si>
  <x:si>
    <x:t xml:space="preserve">NAM-022</x:t>
  </x:si>
  <x:si>
    <x:t xml:space="preserve">NAM-023</x:t>
  </x:si>
  <x:si>
    <x:t xml:space="preserve">NAM-024</x:t>
  </x:si>
  <x:si>
    <x:t xml:space="preserve">NAM-025</x:t>
  </x:si>
  <x:si>
    <x:t xml:space="preserve">NAM-026</x:t>
  </x:si>
  <x:si>
    <x:t xml:space="preserve">NAM-027</x:t>
  </x:si>
  <x:si>
    <x:t xml:space="preserve">NAM-028</x:t>
  </x:si>
  <x:si>
    <x:t xml:space="preserve">NAM-029</x:t>
  </x:si>
  <x:si>
    <x:t xml:space="preserve">NAM-030</x:t>
  </x:si>
  <x:si>
    <x:t xml:space="preserve">NAM-031</x:t>
  </x:si>
  <x:si>
    <x:t xml:space="preserve">NAM-032</x:t>
  </x:si>
  <x:si>
    <x:t xml:space="preserve">NAM-033</x:t>
  </x:si>
  <x:si>
    <x:t xml:space="preserve">NAM-034</x:t>
  </x:si>
  <x:si>
    <x:t xml:space="preserve">NAM-035</x:t>
  </x:si>
  <x:si>
    <x:t xml:space="preserve">NAM-036</x:t>
  </x:si>
  <x:si>
    <x:t xml:space="preserve">NAM-037</x:t>
  </x:si>
  <x:si>
    <x:t xml:space="preserve">NAM-038</x:t>
  </x:si>
  <x:si>
    <x:t xml:space="preserve">NAM-039</x:t>
  </x:si>
  <x:si>
    <x:t xml:space="preserve">NAM-040</x:t>
  </x:si>
  <x:si>
    <x:t xml:space="preserve">NAM-041</x:t>
  </x:si>
  <x:si>
    <x:t xml:space="preserve">NAM-042</x:t>
  </x:si>
  <x:si>
    <x:t xml:space="preserve">NAM-043</x:t>
  </x:si>
  <x:si>
    <x:t xml:space="preserve">NAM-044</x:t>
  </x:si>
  <x:si>
    <x:t xml:space="preserve">NAM-045</x:t>
  </x:si>
  <x:si>
    <x:t xml:space="preserve">NAM-046</x:t>
  </x:si>
  <x:si>
    <x:t xml:space="preserve">上海为赛投资管理中心（有限合伙）</x:t>
  </x:si>
  <x:si>
    <x:t xml:space="preserve">曾用名</x:t>
  </x:si>
  <x:si>
    <x:t xml:space="preserve">招股说明书释义明确披露曾用名</x:t>
  </x:si>
  <x:si>
    <x:t xml:space="preserve">EVD-019</x:t>
  </x:si>
  <x:si>
    <x:t xml:space="preserve">NAM-047</x:t>
  </x:si>
  <x:si>
    <x:t xml:space="preserve">上海为赛咨询管理中心（有限合伙）</x:t>
  </x:si>
  <x:si>
    <x:t xml:space="preserve">03 投资事件</x:t>
  </x:si>
  <x:si>
    <x:t xml:space="preserve">一行=一个主体×一个事件ID×一种交易行为。直接/间接与增资/受让为独立字段；未披露的个体投资额保持空白。</x:t>
  </x:si>
  <x:si>
    <x:t xml:space="preserve">investment_record_id</x:t>
  </x:si>
  <x:si>
    <x:t xml:space="preserve">event_id</x:t>
  </x:si>
  <x:si>
    <x:t xml:space="preserve">event_date_raw</x:t>
  </x:si>
  <x:si>
    <x:t xml:space="preserve">investor_entity_id</x:t>
  </x:si>
  <x:si>
    <x:t xml:space="preserve">investor_name</x:t>
  </x:si>
  <x:si>
    <x:t xml:space="preserve">legal_position</x:t>
  </x:si>
  <x:si>
    <x:t xml:space="preserve">investor_role</x:t>
  </x:si>
  <x:si>
    <x:t xml:space="preserve">counterparty_entity_id</x:t>
  </x:si>
  <x:si>
    <x:t xml:space="preserve">counterparty_name</x:t>
  </x:si>
  <x:si>
    <x:t xml:space="preserve">investment_level</x:t>
  </x:si>
  <x:si>
    <x:t xml:space="preserve">entry_method</x:t>
  </x:si>
  <x:si>
    <x:t xml:space="preserve">investment_stage</x:t>
  </x:si>
  <x:si>
    <x:t xml:space="preserve">transaction_leg</x:t>
  </x:si>
  <x:si>
    <x:t xml:space="preserve">shares_or_capital_value</x:t>
  </x:si>
  <x:si>
    <x:t xml:space="preserve">value_unit</x:t>
  </x:si>
  <x:si>
    <x:t xml:space="preserve">cash_or_consideration_value</x:t>
  </x:si>
  <x:si>
    <x:t xml:space="preserve">consideration_unit</x:t>
  </x:si>
  <x:si>
    <x:t xml:space="preserve">value_type</x:t>
  </x:si>
  <x:si>
    <x:t xml:space="preserve">actual_investment_amount_disclosed</x:t>
  </x:si>
  <x:si>
    <x:t xml:space="preserve">stage07_validation_id</x:t>
  </x:si>
  <x:si>
    <x:t xml:space="preserve">original_excerpt</x:t>
  </x:si>
  <x:si>
    <x:t xml:space="preserve">upstream_downstream_relation</x:t>
  </x:si>
  <x:si>
    <x:t xml:space="preserve">review_status</x:t>
  </x:si>
  <x:si>
    <x:t xml:space="preserve">INV-001</x:t>
  </x:si>
  <x:si>
    <x:t xml:space="preserve">2014年6月</x:t>
  </x:si>
  <x:si>
    <x:t xml:space="preserve">直接股东</x:t>
  </x:si>
  <x:si>
    <x:t xml:space="preserve">受让进入</x:t>
  </x:si>
  <x:si>
    <x:t xml:space="preserve">原转让方未在阶段八证据链中拆出</x:t>
  </x:si>
  <x:si>
    <x:t xml:space="preserve">DIRECT</x:t>
  </x:si>
  <x:si>
    <x:t xml:space="preserve">SHARE_TRANSFER</x:t>
  </x:si>
  <x:si>
    <x:t xml:space="preserve">INITIAL_ENTRY</x:t>
  </x:si>
  <x:si>
    <x:t xml:space="preserve">老股受让</x:t>
  </x:si>
  <x:si>
    <x:t xml:space="preserve">NOT_DISCLOSED</x:t>
  </x:si>
  <x:si>
    <x:t xml:space="preserve">55</x:t>
  </x:si>
  <x:si>
    <x:t xml:space="preserve">EVD-002｜EVD-020</x:t>
  </x:si>
  <x:si>
    <x:t xml:space="preserve">流程图确认有限公司第二次股权转让；为赛咨询自本事件进入。</x:t>
  </x:si>
  <x:si>
    <x:t xml:space="preserve">原股东→为赛咨询→发行人</x:t>
  </x:si>
  <x:si>
    <x:t xml:space="preserve">INV-002</x:t>
  </x:si>
  <x:si>
    <x:t xml:space="preserve">2014年8月</x:t>
  </x:si>
  <x:si>
    <x:t xml:space="preserve">增资认购方</x:t>
  </x:si>
  <x:si>
    <x:t xml:space="preserve">CAPITAL_INCREASE</x:t>
  </x:si>
  <x:si>
    <x:t xml:space="preserve">共同增资成员</x:t>
  </x:si>
  <x:si>
    <x:t xml:space="preserve">EVD-002</x:t>
  </x:si>
  <x:si>
    <x:t xml:space="preserve">力源信息、东方富海及芜湖富海共同增资28.205万元。</x:t>
  </x:si>
  <x:si>
    <x:t xml:space="preserve">武汉力源信息技术股份有限公司→发行人</x:t>
  </x:si>
  <x:si>
    <x:t xml:space="preserve">INV-003</x:t>
  </x:si>
  <x:si>
    <x:t xml:space="preserve">东方富海（上海）创业投资企业（有限合伙）→发行人</x:t>
  </x:si>
  <x:si>
    <x:t xml:space="preserve">INV-004</x:t>
  </x:si>
  <x:si>
    <x:t xml:space="preserve">芜湖富海浩研创业投资基金（有限合伙）→发行人</x:t>
  </x:si>
  <x:si>
    <x:t xml:space="preserve">INV-005</x:t>
  </x:si>
  <x:si>
    <x:t xml:space="preserve">CE-005</x:t>
  </x:si>
  <x:si>
    <x:t xml:space="preserve">2015年1月</x:t>
  </x:si>
  <x:si>
    <x:t xml:space="preserve">追加增资方</x:t>
  </x:si>
  <x:si>
    <x:t xml:space="preserve">FOLLOW_ON</x:t>
  </x:si>
  <x:si>
    <x:t xml:space="preserve">S6-CAL-004</x:t>
  </x:si>
  <x:si>
    <x:t xml:space="preserve">EVD-002｜EVD-021</x:t>
  </x:si>
  <x:si>
    <x:t xml:space="preserve">力源信息、东方富海及芜湖富海共同增资8.78714万元；各方金额未披露。</x:t>
  </x:si>
  <x:si>
    <x:t xml:space="preserve">INV-006</x:t>
  </x:si>
  <x:si>
    <x:t xml:space="preserve">INV-007</x:t>
  </x:si>
  <x:si>
    <x:t xml:space="preserve">INV-008</x:t>
  </x:si>
  <x:si>
    <x:t xml:space="preserve">2015年8月</x:t>
  </x:si>
  <x:si>
    <x:t xml:space="preserve">EVD-003</x:t>
  </x:si>
  <x:si>
    <x:t xml:space="preserve">深创投、丰利财富、镇江红土、昆山红土、富海深湾、芜湖富海共同增资158.2733万元。</x:t>
  </x:si>
  <x:si>
    <x:t xml:space="preserve">深圳市创新投资集团有限公司→发行人</x:t>
  </x:si>
  <x:si>
    <x:t xml:space="preserve">INV-009</x:t>
  </x:si>
  <x:si>
    <x:t xml:space="preserve">丰利财富（北京）国际资本管理股份有限公司→发行人</x:t>
  </x:si>
  <x:si>
    <x:t xml:space="preserve">INV-010</x:t>
  </x:si>
  <x:si>
    <x:t xml:space="preserve">镇江红土创业投资有限公司→发行人</x:t>
  </x:si>
  <x:si>
    <x:t xml:space="preserve">INV-011</x:t>
  </x:si>
  <x:si>
    <x:t xml:space="preserve">昆山红土高新创业投资有限公司→发行人</x:t>
  </x:si>
  <x:si>
    <x:t xml:space="preserve">INV-012</x:t>
  </x:si>
  <x:si>
    <x:t xml:space="preserve">富海深湾（深圳）移动创新私募创业投资基金合伙企业（有限合伙）→发行人</x:t>
  </x:si>
  <x:si>
    <x:t xml:space="preserve">INV-013</x:t>
  </x:si>
  <x:si>
    <x:t xml:space="preserve">六方共同增资；芜湖富海为既有股东，具体认缴额未披露。</x:t>
  </x:si>
  <x:si>
    <x:t xml:space="preserve">芜湖富海→发行人</x:t>
  </x:si>
  <x:si>
    <x:t xml:space="preserve">INV-014</x:t>
  </x:si>
  <x:si>
    <x:t xml:space="preserve">2018年4月</x:t>
  </x:si>
  <x:si>
    <x:t xml:space="preserve">直接名义股东</x:t>
  </x:si>
  <x:si>
    <x:t xml:space="preserve">全部转让退出</x:t>
  </x:si>
  <x:si>
    <x:t xml:space="preserve">FULL_EXIT</x:t>
  </x:si>
  <x:si>
    <x:t xml:space="preserve">丰利财富转出</x:t>
  </x:si>
  <x:si>
    <x:t xml:space="preserve">股</x:t>
  </x:si>
  <x:si>
    <x:t xml:space="preserve">万元</x:t>
  </x:si>
  <x:si>
    <x:t xml:space="preserve">DISCLOSED</x:t>
  </x:si>
  <x:si>
    <x:t xml:space="preserve">S6-CAL-006</x:t>
  </x:si>
  <x:si>
    <x:t xml:space="preserve">58—59</x:t>
  </x:si>
  <x:si>
    <x:t xml:space="preserve">EVD-004｜EVD-021</x:t>
  </x:si>
  <x:si>
    <x:t xml:space="preserve">丰利财富将其持有的全部666,680股转让给天健创投，转让价格1,000万元。</x:t>
  </x:si>
  <x:si>
    <x:t xml:space="preserve">丰利新三板基金→丰利财富→天健创投</x:t>
  </x:si>
  <x:si>
    <x:t xml:space="preserve">INV-015</x:t>
  </x:si>
  <x:si>
    <x:t xml:space="preserve">受让丰利财富全部股份</x:t>
  </x:si>
  <x:si>
    <x:t xml:space="preserve">EVD-004｜EVD-005｜EVD-021</x:t>
  </x:si>
  <x:si>
    <x:t xml:space="preserve">天健创投受让丰利财富全部666,680股；主营业务为创业投资。</x:t>
  </x:si>
  <x:si>
    <x:t xml:space="preserve">丰利财富→天健创投→发行人</x:t>
  </x:si>
  <x:si>
    <x:t xml:space="preserve">INV-016</x:t>
  </x:si>
  <x:si>
    <x:t xml:space="preserve">2018年6月至7月</x:t>
  </x:si>
  <x:si>
    <x:t xml:space="preserve">现金增资</x:t>
  </x:si>
  <x:si>
    <x:t xml:space="preserve">VAL-017</x:t>
  </x:si>
  <x:si>
    <x:t xml:space="preserve">EVD-006｜EVD-021</x:t>
  </x:si>
  <x:si>
    <x:t xml:space="preserve">2018年6月12日协议列明六方增资；原文披露现金出资、认缴资本及约29.13元/股。</x:t>
  </x:si>
  <x:si>
    <x:t xml:space="preserve">北京国科瑞华战略性新兴产业投资基金（有限合伙）→发行人</x:t>
  </x:si>
  <x:si>
    <x:t xml:space="preserve">INV-017</x:t>
  </x:si>
  <x:si>
    <x:t xml:space="preserve">万元人民币等值美元</x:t>
  </x:si>
  <x:si>
    <x:t xml:space="preserve">VAL-018</x:t>
  </x:si>
  <x:si>
    <x:t xml:space="preserve">CASREV FUND II-USD L.P.→发行人</x:t>
  </x:si>
  <x:si>
    <x:t xml:space="preserve">INV-018</x:t>
  </x:si>
  <x:si>
    <x:t xml:space="preserve">VAL-019</x:t>
  </x:si>
  <x:si>
    <x:t xml:space="preserve">中科贵银（贵州）产业投资基金（有限合伙）→发行人</x:t>
  </x:si>
  <x:si>
    <x:t xml:space="preserve">INV-019</x:t>
  </x:si>
  <x:si>
    <x:t xml:space="preserve">VAL-020</x:t>
  </x:si>
  <x:si>
    <x:t xml:space="preserve">夏东→发行人</x:t>
  </x:si>
  <x:si>
    <x:t xml:space="preserve">INV-020</x:t>
  </x:si>
  <x:si>
    <x:t xml:space="preserve">VAL-021</x:t>
  </x:si>
  <x:si>
    <x:t xml:space="preserve">深圳南山东方富海中小微创业投资基金合伙企业（有限合伙）→发行人</x:t>
  </x:si>
  <x:si>
    <x:t xml:space="preserve">INV-021</x:t>
  </x:si>
  <x:si>
    <x:t xml:space="preserve">VAL-022</x:t>
  </x:si>
  <x:si>
    <x:t xml:space="preserve">珠海拓域壹号股权投资基金（有限合伙）→发行人</x:t>
  </x:si>
  <x:si>
    <x:t xml:space="preserve">INV-022</x:t>
  </x:si>
  <x:si>
    <x:t xml:space="preserve">2018年6月</x:t>
  </x:si>
  <x:si>
    <x:t xml:space="preserve">S6-CAL-011</x:t>
  </x:si>
  <x:si>
    <x:t xml:space="preserve">EVD-007｜EVD-021</x:t>
  </x:si>
  <x:si>
    <x:t xml:space="preserve">同一增资与股份转让协议下的独立老股转让交易。</x:t>
  </x:si>
  <x:si>
    <x:t xml:space="preserve">曾烨→深圳东方富海节能环保创业投资基金合伙企业（有限合伙）→发行人</x:t>
  </x:si>
  <x:si>
    <x:t xml:space="preserve">INV-023</x:t>
  </x:si>
  <x:si>
    <x:t xml:space="preserve">曾烨→上海临港松江股权投资基金合伙企业（有限合伙）→发行人</x:t>
  </x:si>
  <x:si>
    <x:t xml:space="preserve">INV-024</x:t>
  </x:si>
  <x:si>
    <x:t xml:space="preserve">刘云锋→上海临港松江股权投资基金合伙企业（有限合伙）→发行人</x:t>
  </x:si>
  <x:si>
    <x:t xml:space="preserve">INV-025</x:t>
  </x:si>
  <x:si>
    <x:t xml:space="preserve">刘云锋→上海鸿迪投资集团有限公司→发行人</x:t>
  </x:si>
  <x:si>
    <x:t xml:space="preserve">INV-026</x:t>
  </x:si>
  <x:si>
    <x:t xml:space="preserve">2020年5月</x:t>
  </x:si>
  <x:si>
    <x:t xml:space="preserve">D轮增资</x:t>
  </x:si>
  <x:si>
    <x:t xml:space="preserve">S6-CAL-013</x:t>
  </x:si>
  <x:si>
    <x:t xml:space="preserve">EVD-009｜EVD-021</x:t>
  </x:si>
  <x:si>
    <x:t xml:space="preserve">火炬电子以现金5,000万元认购1,130,488股，约44.23元/股。</x:t>
  </x:si>
  <x:si>
    <x:t xml:space="preserve">火炬电子→发行人</x:t>
  </x:si>
  <x:si>
    <x:t xml:space="preserve">INV-027</x:t>
  </x:si>
  <x:si>
    <x:t xml:space="preserve">2020年9月</x:t>
  </x:si>
  <x:si>
    <x:t xml:space="preserve">D+轮增资</x:t>
  </x:si>
  <x:si>
    <x:t xml:space="preserve">S6-CAL-015</x:t>
  </x:si>
  <x:si>
    <x:t xml:space="preserve">63｜64—65</x:t>
  </x:si>
  <x:si>
    <x:t xml:space="preserve">62｜63—64</x:t>
  </x:si>
  <x:si>
    <x:t xml:space="preserve">EVD-010｜EVD-021</x:t>
  </x:si>
  <x:si>
    <x:t xml:space="preserve">厦门西堤现金5,000万元认购968,990股，原文约51.6元/股。</x:t>
  </x:si>
  <x:si>
    <x:t xml:space="preserve">厦门西堤→发行人</x:t>
  </x:si>
  <x:si>
    <x:t xml:space="preserve">INV-028</x:t>
  </x:si>
  <x:si>
    <x:t xml:space="preserve">中小企业基金现金2,000万元认购387,596股，原文约51.6元/股。</x:t>
  </x:si>
  <x:si>
    <x:t xml:space="preserve">中小企业基金→发行人</x:t>
  </x:si>
  <x:si>
    <x:t xml:space="preserve">INV-029</x:t>
  </x:si>
  <x:si>
    <x:t xml:space="preserve">S6-CAL-017</x:t>
  </x:si>
  <x:si>
    <x:t xml:space="preserve">EVD-011｜EVD-021</x:t>
  </x:si>
  <x:si>
    <x:t xml:space="preserve">原文转让表按转让方—受让方列示股份数及价款；不以行序推定交割先后。</x:t>
  </x:si>
  <x:si>
    <x:t xml:space="preserve">曾烨→上海鸿迪投资集团有限公司→发行人</x:t>
  </x:si>
  <x:si>
    <x:t xml:space="preserve">INV-030</x:t>
  </x:si>
  <x:si>
    <x:t xml:space="preserve">刘云锋→福建开京集团有限责任公司→发行人</x:t>
  </x:si>
  <x:si>
    <x:t xml:space="preserve">INV-031</x:t>
  </x:si>
  <x:si>
    <x:t xml:space="preserve">刘云锋→萍乡市湘裕君源企业管理中心（有限合伙）→发行人</x:t>
  </x:si>
  <x:si>
    <x:t xml:space="preserve">INV-032</x:t>
  </x:si>
  <x:si>
    <x:t xml:space="preserve">李文发→萍乡市湘裕君源企业管理中心（有限合伙）→发行人</x:t>
  </x:si>
  <x:si>
    <x:t xml:space="preserve">INV-033</x:t>
  </x:si>
  <x:si>
    <x:t xml:space="preserve">秦国君→萍乡市湘裕君源企业管理中心（有限合伙）→发行人</x:t>
  </x:si>
  <x:si>
    <x:t xml:space="preserve">04 投资路径边</x:t>
  </x:si>
  <x:si>
    <x:t xml:space="preserve">完整路径拆成逐层边。GP、管理人和执行事务合伙人关系默认不构成发行人权益传导；只有丰利基金资金来源关系被单独标注为经济路径。</x:t>
  </x:si>
  <x:si>
    <x:t xml:space="preserve">path_id</x:t>
  </x:si>
  <x:si>
    <x:t xml:space="preserve">edge_id</x:t>
  </x:si>
  <x:si>
    <x:t xml:space="preserve">edge_sequence</x:t>
  </x:si>
  <x:si>
    <x:t xml:space="preserve">upstream_entity_id</x:t>
  </x:si>
  <x:si>
    <x:t xml:space="preserve">upstream_name</x:t>
  </x:si>
  <x:si>
    <x:t xml:space="preserve">relationship_type</x:t>
  </x:si>
  <x:si>
    <x:t xml:space="preserve">downstream_entity_id</x:t>
  </x:si>
  <x:si>
    <x:t xml:space="preserve">downstream_name</x:t>
  </x:si>
  <x:si>
    <x:t xml:space="preserve">path_forming_flag</x:t>
  </x:si>
  <x:si>
    <x:t xml:space="preserve">path_nature</x:t>
  </x:si>
  <x:si>
    <x:t xml:space="preserve">direct_or_indirect</x:t>
  </x:si>
  <x:si>
    <x:t xml:space="preserve">valid_from_event_id</x:t>
  </x:si>
  <x:si>
    <x:t xml:space="preserve">valid_to_event_id</x:t>
  </x:si>
  <x:si>
    <x:t xml:space="preserve">relationship_ratio_disclosed</x:t>
  </x:si>
  <x:si>
    <x:t xml:space="preserve">relationship_ratio_value</x:t>
  </x:si>
  <x:si>
    <x:t xml:space="preserve">PATH-001</x:t>
  </x:si>
  <x:si>
    <x:t xml:space="preserve">EDGE-001</x:t>
  </x:si>
  <x:si>
    <x:t xml:space="preserve">DIRECT_SHAREHOLDING</x:t>
  </x:si>
  <x:si>
    <x:t xml:space="preserve">云汉芯城</x:t>
  </x:si>
  <x:si>
    <x:t xml:space="preserve">法律持股路径</x:t>
  </x:si>
  <x:si>
    <x:t xml:space="preserve">未披露/按事件披露</x:t>
  </x:si>
  <x:si>
    <x:t xml:space="preserve">PATH-002</x:t>
  </x:si>
  <x:si>
    <x:t xml:space="preserve">EDGE-002</x:t>
  </x:si>
  <x:si>
    <x:t xml:space="preserve">PATH-003</x:t>
  </x:si>
  <x:si>
    <x:t xml:space="preserve">EDGE-003</x:t>
  </x:si>
  <x:si>
    <x:t xml:space="preserve">PATH-004</x:t>
  </x:si>
  <x:si>
    <x:t xml:space="preserve">EDGE-004</x:t>
  </x:si>
  <x:si>
    <x:t xml:space="preserve">PATH-005</x:t>
  </x:si>
  <x:si>
    <x:t xml:space="preserve">EDGE-005</x:t>
  </x:si>
  <x:si>
    <x:t xml:space="preserve">PATH-006</x:t>
  </x:si>
  <x:si>
    <x:t xml:space="preserve">EDGE-006</x:t>
  </x:si>
  <x:si>
    <x:t xml:space="preserve">PATH-007</x:t>
  </x:si>
  <x:si>
    <x:t xml:space="preserve">EDGE-007</x:t>
  </x:si>
  <x:si>
    <x:t xml:space="preserve">PATH-008</x:t>
  </x:si>
  <x:si>
    <x:t xml:space="preserve">EDGE-008</x:t>
  </x:si>
  <x:si>
    <x:t xml:space="preserve">PATH-009</x:t>
  </x:si>
  <x:si>
    <x:t xml:space="preserve">EDGE-009</x:t>
  </x:si>
  <x:si>
    <x:t xml:space="preserve">PATH-010</x:t>
  </x:si>
  <x:si>
    <x:t xml:space="preserve">EDGE-010</x:t>
  </x:si>
  <x:si>
    <x:t xml:space="preserve">PATH-011</x:t>
  </x:si>
  <x:si>
    <x:t xml:space="preserve">EDGE-011</x:t>
  </x:si>
  <x:si>
    <x:t xml:space="preserve">PATH-012</x:t>
  </x:si>
  <x:si>
    <x:t xml:space="preserve">EDGE-012</x:t>
  </x:si>
  <x:si>
    <x:t xml:space="preserve">PATH-013</x:t>
  </x:si>
  <x:si>
    <x:t xml:space="preserve">EDGE-013</x:t>
  </x:si>
  <x:si>
    <x:t xml:space="preserve">PATH-014</x:t>
  </x:si>
  <x:si>
    <x:t xml:space="preserve">EDGE-014</x:t>
  </x:si>
  <x:si>
    <x:t xml:space="preserve">PATH-015</x:t>
  </x:si>
  <x:si>
    <x:t xml:space="preserve">EDGE-015</x:t>
  </x:si>
  <x:si>
    <x:t xml:space="preserve">PATH-016</x:t>
  </x:si>
  <x:si>
    <x:t xml:space="preserve">EDGE-016</x:t>
  </x:si>
  <x:si>
    <x:t xml:space="preserve">PATH-017</x:t>
  </x:si>
  <x:si>
    <x:t xml:space="preserve">EDGE-017</x:t>
  </x:si>
  <x:si>
    <x:t xml:space="preserve">PATH-018</x:t>
  </x:si>
  <x:si>
    <x:t xml:space="preserve">EDGE-018</x:t>
  </x:si>
  <x:si>
    <x:t xml:space="preserve">PATH-019</x:t>
  </x:si>
  <x:si>
    <x:t xml:space="preserve">EDGE-019</x:t>
  </x:si>
  <x:si>
    <x:t xml:space="preserve">PATH-020</x:t>
  </x:si>
  <x:si>
    <x:t xml:space="preserve">EDGE-020</x:t>
  </x:si>
  <x:si>
    <x:t xml:space="preserve">PATH-021</x:t>
  </x:si>
  <x:si>
    <x:t xml:space="preserve">EDGE-021</x:t>
  </x:si>
  <x:si>
    <x:t xml:space="preserve">PATH-022</x:t>
  </x:si>
  <x:si>
    <x:t xml:space="preserve">EDGE-022</x:t>
  </x:si>
  <x:si>
    <x:t xml:space="preserve">PATH-023</x:t>
  </x:si>
  <x:si>
    <x:t xml:space="preserve">EDGE-023</x:t>
  </x:si>
  <x:si>
    <x:t xml:space="preserve">PATH-024</x:t>
  </x:si>
  <x:si>
    <x:t xml:space="preserve">EDGE-024</x:t>
  </x:si>
  <x:si>
    <x:t xml:space="preserve">交易进入/退出边</x:t>
  </x:si>
  <x:si>
    <x:t xml:space="preserve">PATH-025</x:t>
  </x:si>
  <x:si>
    <x:t xml:space="preserve">EDGE-025</x:t>
  </x:si>
  <x:si>
    <x:t xml:space="preserve">PATH-026</x:t>
  </x:si>
  <x:si>
    <x:t xml:space="preserve">EDGE-026</x:t>
  </x:si>
  <x:si>
    <x:t xml:space="preserve">PATH-027</x:t>
  </x:si>
  <x:si>
    <x:t xml:space="preserve">EDGE-027</x:t>
  </x:si>
  <x:si>
    <x:t xml:space="preserve">PATH-028</x:t>
  </x:si>
  <x:si>
    <x:t xml:space="preserve">EDGE-028</x:t>
  </x:si>
  <x:si>
    <x:t xml:space="preserve">PATH-029</x:t>
  </x:si>
  <x:si>
    <x:t xml:space="preserve">EDGE-029</x:t>
  </x:si>
  <x:si>
    <x:t xml:space="preserve">PATH-030</x:t>
  </x:si>
  <x:si>
    <x:t xml:space="preserve">EDGE-030</x:t>
  </x:si>
  <x:si>
    <x:t xml:space="preserve">PATH-031</x:t>
  </x:si>
  <x:si>
    <x:t xml:space="preserve">EDGE-031</x:t>
  </x:si>
  <x:si>
    <x:t xml:space="preserve">PATH-032</x:t>
  </x:si>
  <x:si>
    <x:t xml:space="preserve">EDGE-032</x:t>
  </x:si>
  <x:si>
    <x:t xml:space="preserve">PATH-033</x:t>
  </x:si>
  <x:si>
    <x:t xml:space="preserve">EDGE-033</x:t>
  </x:si>
  <x:si>
    <x:t xml:space="preserve">PATH-034</x:t>
  </x:si>
  <x:si>
    <x:t xml:space="preserve">EDGE-034</x:t>
  </x:si>
  <x:si>
    <x:t xml:space="preserve">PATH-035</x:t>
  </x:si>
  <x:si>
    <x:t xml:space="preserve">EDGE-035</x:t>
  </x:si>
  <x:si>
    <x:t xml:space="preserve">CAPITAL_SUBSCRIPTION</x:t>
  </x:si>
  <x:si>
    <x:t xml:space="preserve">增资资金与权益进入边</x:t>
  </x:si>
  <x:si>
    <x:t xml:space="preserve">PATH-036</x:t>
  </x:si>
  <x:si>
    <x:t xml:space="preserve">EDGE-036</x:t>
  </x:si>
  <x:si>
    <x:t xml:space="preserve">PATH-037</x:t>
  </x:si>
  <x:si>
    <x:t xml:space="preserve">EDGE-037</x:t>
  </x:si>
  <x:si>
    <x:t xml:space="preserve">PATH-038</x:t>
  </x:si>
  <x:si>
    <x:t xml:space="preserve">EDGE-038</x:t>
  </x:si>
  <x:si>
    <x:t xml:space="preserve">PATH-039</x:t>
  </x:si>
  <x:si>
    <x:t xml:space="preserve">EDGE-039</x:t>
  </x:si>
  <x:si>
    <x:t xml:space="preserve">PATH-040</x:t>
  </x:si>
  <x:si>
    <x:t xml:space="preserve">EDGE-040</x:t>
  </x:si>
  <x:si>
    <x:t xml:space="preserve">PATH-041</x:t>
  </x:si>
  <x:si>
    <x:t xml:space="preserve">EDGE-041</x:t>
  </x:si>
  <x:si>
    <x:t xml:space="preserve">PATH-042</x:t>
  </x:si>
  <x:si>
    <x:t xml:space="preserve">EDGE-042</x:t>
  </x:si>
  <x:si>
    <x:t xml:space="preserve">PATH-043</x:t>
  </x:si>
  <x:si>
    <x:t xml:space="preserve">EDGE-043</x:t>
  </x:si>
  <x:si>
    <x:t xml:space="preserve">PATH-044</x:t>
  </x:si>
  <x:si>
    <x:t xml:space="preserve">EDGE-044</x:t>
  </x:si>
  <x:si>
    <x:t xml:space="preserve">PATH-045</x:t>
  </x:si>
  <x:si>
    <x:t xml:space="preserve">EDGE-045</x:t>
  </x:si>
  <x:si>
    <x:t xml:space="preserve">PATH-046</x:t>
  </x:si>
  <x:si>
    <x:t xml:space="preserve">EDGE-046</x:t>
  </x:si>
  <x:si>
    <x:t xml:space="preserve">PATH-047</x:t>
  </x:si>
  <x:si>
    <x:t xml:space="preserve">EDGE-047</x:t>
  </x:si>
  <x:si>
    <x:t xml:space="preserve">PATH-048</x:t>
  </x:si>
  <x:si>
    <x:t xml:space="preserve">EDGE-048</x:t>
  </x:si>
  <x:si>
    <x:t xml:space="preserve">PATH-049</x:t>
  </x:si>
  <x:si>
    <x:t xml:space="preserve">EDGE-049</x:t>
  </x:si>
  <x:si>
    <x:t xml:space="preserve">PATH-050</x:t>
  </x:si>
  <x:si>
    <x:t xml:space="preserve">EDGE-050</x:t>
  </x:si>
  <x:si>
    <x:t xml:space="preserve">PATH-051</x:t>
  </x:si>
  <x:si>
    <x:t xml:space="preserve">EDGE-051</x:t>
  </x:si>
  <x:si>
    <x:t xml:space="preserve">PATH-052</x:t>
  </x:si>
  <x:si>
    <x:t xml:space="preserve">EDGE-052</x:t>
  </x:si>
  <x:si>
    <x:t xml:space="preserve">PATH-053</x:t>
  </x:si>
  <x:si>
    <x:t xml:space="preserve">EDGE-053</x:t>
  </x:si>
  <x:si>
    <x:t xml:space="preserve">PATH-054</x:t>
  </x:si>
  <x:si>
    <x:t xml:space="preserve">EDGE-054</x:t>
  </x:si>
  <x:si>
    <x:t xml:space="preserve">PATH-055</x:t>
  </x:si>
  <x:si>
    <x:t xml:space="preserve">EDGE-055</x:t>
  </x:si>
  <x:si>
    <x:t xml:space="preserve">PATH-056</x:t>
  </x:si>
  <x:si>
    <x:t xml:space="preserve">EDGE-056</x:t>
  </x:si>
  <x:si>
    <x:t xml:space="preserve">FUND_SOURCE_REPRESENTED_INVESTMENT</x:t>
  </x:si>
  <x:si>
    <x:t xml:space="preserve">经济资金来源路径</x:t>
  </x:si>
  <x:si>
    <x:t xml:space="preserve">INDIRECT</x:t>
  </x:si>
  <x:si>
    <x:t xml:space="preserve">未披露</x:t>
  </x:si>
  <x:si>
    <x:t xml:space="preserve">EDGE-057</x:t>
  </x:si>
  <x:si>
    <x:t xml:space="preserve">法律名义持股路径</x:t>
  </x:si>
  <x:si>
    <x:t xml:space="preserve">按股东表披露</x:t>
  </x:si>
  <x:si>
    <x:t xml:space="preserve">EVD-003｜EVD-004</x:t>
  </x:si>
  <x:si>
    <x:t xml:space="preserve">PATH-057</x:t>
  </x:si>
  <x:si>
    <x:t xml:space="preserve">EDGE-058</x:t>
  </x:si>
  <x:si>
    <x:t xml:space="preserve">GENERAL_PARTNER</x:t>
  </x:si>
  <x:si>
    <x:t xml:space="preserve">背景治理关系，不直接形成发行人权益路径</x:t>
  </x:si>
  <x:si>
    <x:t xml:space="preserve">按招股书披露</x:t>
  </x:si>
  <x:si>
    <x:t xml:space="preserve">EVD-005</x:t>
  </x:si>
  <x:si>
    <x:t xml:space="preserve">PATH-058</x:t>
  </x:si>
  <x:si>
    <x:t xml:space="preserve">EDGE-059</x:t>
  </x:si>
  <x:si>
    <x:t xml:space="preserve">GENERAL_PARTNER_EXECUTIVE</x:t>
  </x:si>
  <x:si>
    <x:t xml:space="preserve">PATH-059</x:t>
  </x:si>
  <x:si>
    <x:t xml:space="preserve">EDGE-060</x:t>
  </x:si>
  <x:si>
    <x:t xml:space="preserve">88—89</x:t>
  </x:si>
  <x:si>
    <x:t xml:space="preserve">87—88</x:t>
  </x:si>
  <x:si>
    <x:t xml:space="preserve">PATH-060</x:t>
  </x:si>
  <x:si>
    <x:t xml:space="preserve">EDGE-061</x:t>
  </x:si>
  <x:si>
    <x:t xml:space="preserve">PATH-061</x:t>
  </x:si>
  <x:si>
    <x:t xml:space="preserve">EDGE-062</x:t>
  </x:si>
  <x:si>
    <x:t xml:space="preserve">PATH-062</x:t>
  </x:si>
  <x:si>
    <x:t xml:space="preserve">EDGE-063</x:t>
  </x:si>
  <x:si>
    <x:t xml:space="preserve">PATH-063</x:t>
  </x:si>
  <x:si>
    <x:t xml:space="preserve">EDGE-064</x:t>
  </x:si>
  <x:si>
    <x:t xml:space="preserve">PATH-064</x:t>
  </x:si>
  <x:si>
    <x:t xml:space="preserve">EDGE-065</x:t>
  </x:si>
  <x:si>
    <x:t xml:space="preserve">05 证据表</x:t>
  </x:si>
  <x:si>
    <x:t xml:space="preserve">每条证据保留PDF页码、正文页码、原文摘录、支持字段和事件ID。摘录只保留支撑判断所需范围，不替代阅读全文。</x:t>
  </x:si>
  <x:si>
    <x:t xml:space="preserve">evidence_object_type</x:t>
  </x:si>
  <x:si>
    <x:t xml:space="preserve">evidence_object_id</x:t>
  </x:si>
  <x:si>
    <x:t xml:space="preserve">pdf_page</x:t>
  </x:si>
  <x:si>
    <x:t xml:space="preserve">printed_page</x:t>
  </x:si>
  <x:si>
    <x:t xml:space="preserve">chapter_section</x:t>
  </x:si>
  <x:si>
    <x:t xml:space="preserve">original_quote</x:t>
  </x:si>
  <x:si>
    <x:t xml:space="preserve">context_note</x:t>
  </x:si>
  <x:si>
    <x:t xml:space="preserve">evidence_level</x:t>
  </x:si>
  <x:si>
    <x:t xml:space="preserve">supported_field</x:t>
  </x:si>
  <x:si>
    <x:t xml:space="preserve">source_event_id</x:t>
  </x:si>
  <x:si>
    <x:t xml:space="preserve">source_file</x:t>
  </x:si>
  <x:si>
    <x:t xml:space="preserve">manual_verified_flag</x:t>
  </x:si>
  <x:si>
    <x:t xml:space="preserve">主体/发行人</x:t>
  </x:si>
  <x:si>
    <x:t xml:space="preserve">ENT-ISSUER｜ENT-001</x:t>
  </x:si>
  <x:si>
    <x:t xml:space="preserve">第一节 释义</x:t>
  </x:si>
  <x:si>
    <x:t xml:space="preserve">发行人、云汉芯城指云汉芯城（上海）互联网科技股份有限公司；深圳云汉电子指深圳市云汉电子有限公司。</x:t>
  </x:si>
  <x:si>
    <x:t xml:space="preserve">主体名称与发行人终点。</x:t>
  </x:si>
  <x:si>
    <x:t xml:space="preserve">A</x:t>
  </x:si>
  <x:si>
    <x:t xml:space="preserve">名称标准化/发行人主体</x:t>
  </x:si>
  <x:si>
    <x:t xml:space="preserve">投资事件</x:t>
  </x:si>
  <x:si>
    <x:t xml:space="preserve">CE-003｜CE-004｜CE-005</x:t>
  </x:si>
  <x:si>
    <x:t xml:space="preserve">第四节 历史沿革流程图</x:t>
  </x:si>
  <x:si>
    <x:t xml:space="preserve">2014年8月，力源信息、东方富海及芜湖富海共同增资28.205万元；2015年1月三方共同增资8.78714万元。</x:t>
  </x:si>
  <x:si>
    <x:t xml:space="preserve">各方单独认缴额未披露，不分摊。</x:t>
  </x:si>
  <x:si>
    <x:t xml:space="preserve">进入方式/追加投资/未披露金额</x:t>
  </x:si>
  <x:si>
    <x:t xml:space="preserve">CE-004｜CE-005</x:t>
  </x:si>
  <x:si>
    <x:t xml:space="preserve">除芜湖富海外为新增方向；个体金额未披露。</x:t>
  </x:si>
  <x:si>
    <x:t xml:space="preserve">主体进入/追加方向</x:t>
  </x:si>
  <x:si>
    <x:t xml:space="preserve">EVD-004</x:t>
  </x:si>
  <x:si>
    <x:t xml:space="preserve">主体/事件/路径</x:t>
  </x:si>
  <x:si>
    <x:t xml:space="preserve">ENT-009｜ENT-013｜ENT-R001</x:t>
  </x:si>
  <x:si>
    <x:t xml:space="preserve">股份公司第一次股权转让</x:t>
  </x:si>
  <x:si>
    <x:t xml:space="preserve">丰利财富将其持有的全部666,680股转让给天健创投，转让价格1,000万元；丰利财富系代表其管理的丰利新三板基金投资发行人，资金来源为基金募集资金。</x:t>
  </x:si>
  <x:si>
    <x:t xml:space="preserve">区分法律名义股东与经济资金来源基金。</x:t>
  </x:si>
  <x:si>
    <x:t xml:space="preserve">受让进入/退出/间接经济路径</x:t>
  </x:si>
  <x:si>
    <x:t xml:space="preserve">主体/关系</x:t>
  </x:si>
  <x:si>
    <x:t xml:space="preserve">ENT-013｜ENT-R002｜ENT-R003</x:t>
  </x:si>
  <x:si>
    <x:t xml:space="preserve">天健创投主营业务为创业投资；东方富海（芜湖）和蜜呆资管为其普通合伙人，其中蜜呆资管为执行事务合伙人。</x:t>
  </x:si>
  <x:si>
    <x:t xml:space="preserve">GP关系作为背景关系，不默认传导发行人权益。</x:t>
  </x:si>
  <x:si>
    <x:t xml:space="preserve">PEVC性质/GP关系</x:t>
  </x:si>
  <x:si>
    <x:t xml:space="preserve">2018年6月增资</x:t>
  </x:si>
  <x:si>
    <x:t xml:space="preserve">协议列明国科瑞华、CASREV FUND、中科贵银、夏东、南山富海、珠海拓域六方增资；后分批完成工商变更。</x:t>
  </x:si>
  <x:si>
    <x:t xml:space="preserve">现金出资和认缴资本为原文披露，股份换算经阶段七校验。</x:t>
  </x:si>
  <x:si>
    <x:t xml:space="preserve">增资进入/金额/股份</x:t>
  </x:si>
  <x:si>
    <x:t xml:space="preserve">EVD-007</x:t>
  </x:si>
  <x:si>
    <x:t xml:space="preserve">2018年6月股权转让</x:t>
  </x:si>
  <x:si>
    <x:t xml:space="preserve">曾烨向富海节能、临港投资转让股份；刘云锋向临港投资、鸿迪投资转让股份。</x:t>
  </x:si>
  <x:si>
    <x:t xml:space="preserve">四笔老股转让与增资属于同一协议下不同交易腿。</x:t>
  </x:si>
  <x:si>
    <x:t xml:space="preserve">受让进入/交易对手/价款</x:t>
  </x:si>
  <x:si>
    <x:t xml:space="preserve">EVD-008</x:t>
  </x:si>
  <x:si>
    <x:t xml:space="preserve">主体/事件</x:t>
  </x:si>
  <x:si>
    <x:t xml:space="preserve">60—61</x:t>
  </x:si>
  <x:si>
    <x:t xml:space="preserve">2019年8月股份转让</x:t>
  </x:si>
  <x:si>
    <x:t xml:space="preserve">为赛咨询分别向李文发、秦国君转让40万股，价款各40万元。</x:t>
  </x:si>
  <x:si>
    <x:t xml:space="preserve">支持将为赛咨询初步识别为管理层持股平台，但仍保留复核。</x:t>
  </x:si>
  <x:si>
    <x:t xml:space="preserve">B</x:t>
  </x:si>
  <x:si>
    <x:t xml:space="preserve">非PEVC排除/员工平台</x:t>
  </x:si>
  <x:si>
    <x:t xml:space="preserve">2020年5月增资</x:t>
  </x:si>
  <x:si>
    <x:t xml:space="preserve">火炬电子现金5,000万元认购1,130,488股，约44.23元/股。</x:t>
  </x:si>
  <x:si>
    <x:t xml:space="preserve">直接产业投资事件；主体是否排除PEVC需用户确认。</x:t>
  </x:si>
  <x:si>
    <x:t xml:space="preserve">增资进入/产业资本</x:t>
  </x:si>
  <x:si>
    <x:t xml:space="preserve">2020年9月增资</x:t>
  </x:si>
  <x:si>
    <x:t xml:space="preserve">厦门西堤现金5,000万元认购968,990股；中小企业基金现金2,000万元认购387,596股；每股价格约51.6元。</x:t>
  </x:si>
  <x:si>
    <x:t xml:space="preserve">与同月十笔转让的实际先后未披露。</x:t>
  </x:si>
  <x:si>
    <x:t xml:space="preserve">增资进入/金额/顺序未知</x:t>
  </x:si>
  <x:si>
    <x:t xml:space="preserve">2020年9月股份转让</x:t>
  </x:si>
  <x:si>
    <x:t xml:space="preserve">四名转让方向八名受让主体实施十笔股份转让，原文逐笔列示股份数及价款。</x:t>
  </x:si>
  <x:si>
    <x:t xml:space="preserve">本阶段只提取与机构候选主体有关的交易腿；不以表格行序推定交割顺序。</x:t>
  </x:si>
  <x:si>
    <x:t xml:space="preserve">受让进入/追加受让</x:t>
  </x:si>
  <x:si>
    <x:t xml:space="preserve">EVD-012</x:t>
  </x:si>
  <x:si>
    <x:t xml:space="preserve">股权终点</x:t>
  </x:si>
  <x:si>
    <x:t xml:space="preserve">SNP-015</x:t>
  </x:si>
  <x:si>
    <x:t xml:space="preserve">91—93</x:t>
  </x:si>
  <x:si>
    <x:t xml:space="preserve">90—92</x:t>
  </x:si>
  <x:si>
    <x:t xml:space="preserve">发行前股本情况</x:t>
  </x:si>
  <x:si>
    <x:t xml:space="preserve">发行前股东表列示各股东股份数及总股本48,837,074股。</x:t>
  </x:si>
  <x:si>
    <x:t xml:space="preserve">用于持续持有/退出终点交叉核对。</x:t>
  </x:si>
  <x:si>
    <x:t xml:space="preserve">终点持股状态</x:t>
  </x:si>
  <x:si>
    <x:t xml:space="preserve">主体属性</x:t>
  </x:si>
  <x:si>
    <x:t xml:space="preserve">ENT-005｜ENT-007｜ENT-R005</x:t>
  </x:si>
  <x:si>
    <x:t xml:space="preserve">81—83</x:t>
  </x:si>
  <x:si>
    <x:t xml:space="preserve">80—82</x:t>
  </x:si>
  <x:si>
    <x:t xml:space="preserve">主要股东基本情况</x:t>
  </x:si>
  <x:si>
    <x:t xml:space="preserve">力源信息主营业务为集成电路及电子元器件相关经营；芜湖富海主营业务包括非上市企业投资、股权投资及创业管理服务。</x:t>
  </x:si>
  <x:si>
    <x:t xml:space="preserve">支持产业主体与PEVC基金区分。</x:t>
  </x:si>
  <x:si>
    <x:t xml:space="preserve">PEVC性质/排除</x:t>
  </x:si>
  <x:si>
    <x:t xml:space="preserve">ENT-006｜ENT-R004</x:t>
  </x:si>
  <x:si>
    <x:t xml:space="preserve">东方富海基本情况</x:t>
  </x:si>
  <x:si>
    <x:t xml:space="preserve">东方富海主营业务包括创业投资、投资咨询、企业管理和投资管理；其股东构成表列示GP。</x:t>
  </x:si>
  <x:si>
    <x:t xml:space="preserve">明确PEVC性质和GP背景关系。</x:t>
  </x:si>
  <x:si>
    <x:t xml:space="preserve">ENT-018｜ENT-R006</x:t>
  </x:si>
  <x:si>
    <x:t xml:space="preserve">84—85</x:t>
  </x:si>
  <x:si>
    <x:t xml:space="preserve">83—84</x:t>
  </x:si>
  <x:si>
    <x:t xml:space="preserve">南山富海基本情况</x:t>
  </x:si>
  <x:si>
    <x:t xml:space="preserve">南山富海主营业务包括受托管理股权投资基金、未上市企业股权投资、股权投资及创业投资；股东构成列示GP。</x:t>
  </x:si>
  <x:si>
    <x:t xml:space="preserve">明确基金属性，GP不自动形成发行人权益路径。</x:t>
  </x:si>
  <x:si>
    <x:t xml:space="preserve">ENT-029｜ENT-R008</x:t>
  </x:si>
  <x:si>
    <x:t xml:space="preserve">中小企业基金基本情况</x:t>
  </x:si>
  <x:si>
    <x:t xml:space="preserve">主营业务为对中小企业发展创业投资业务、股权投资及相关业务；股东构成列示GP。</x:t>
  </x:si>
  <x:si>
    <x:t xml:space="preserve">明确基金属性和GP背景关系。</x:t>
  </x:si>
  <x:si>
    <x:t xml:space="preserve">ENT-012｜ENT-R002</x:t>
  </x:si>
  <x:si>
    <x:t xml:space="preserve">富海深湾基本情况</x:t>
  </x:si>
  <x:si>
    <x:t xml:space="preserve">公司名称为移动创新私募创业投资基金；股东构成列示东方富海（芜湖）为GP。</x:t>
  </x:si>
  <x:si>
    <x:t xml:space="preserve">明确私募创业投资基金属性。</x:t>
  </x:si>
  <x:si>
    <x:t xml:space="preserve">ENT-014｜ENT-015｜ENT-016｜ENT-R007</x:t>
  </x:si>
  <x:si>
    <x:t xml:space="preserve">89—91</x:t>
  </x:si>
  <x:si>
    <x:t xml:space="preserve">88—90</x:t>
  </x:si>
  <x:si>
    <x:t xml:space="preserve">国科瑞华及其关联方</x:t>
  </x:si>
  <x:si>
    <x:t xml:space="preserve">招股书分别披露战略性新兴产业投资基金、CASREV FUND II-USD L.P.和中科贵银产业投资基金的基本信息及出资构成。</x:t>
  </x:si>
  <x:si>
    <x:t xml:space="preserve">CASREV仅形成候选，未因名称直接提升为CONFIRMED。</x:t>
  </x:si>
  <x:si>
    <x:t xml:space="preserve">A/B</x:t>
  </x:si>
  <x:si>
    <x:t xml:space="preserve">PEVC性质/候选判断</x:t>
  </x:si>
  <x:si>
    <x:t xml:space="preserve">名称标准化</x:t>
  </x:si>
  <x:si>
    <x:t xml:space="preserve">NAM映射</x:t>
  </x:si>
  <x:si>
    <x:t xml:space="preserve">11—12</x:t>
  </x:si>
  <x:si>
    <x:t xml:space="preserve">10—11</x:t>
  </x:si>
  <x:si>
    <x:t xml:space="preserve">招股说明书对东方富海、芜湖富海、深创投、丰利财富、富海深湾、天健创投、国科瑞华等简称给出对应全称。</x:t>
  </x:si>
  <x:si>
    <x:t xml:space="preserve">用于简称—全称合并，不用于自动判断PEVC。</x:t>
  </x:si>
  <x:si>
    <x:t xml:space="preserve">名称映射</x:t>
  </x:si>
  <x:si>
    <x:t xml:space="preserve">结构化上游</x:t>
  </x:si>
  <x:si>
    <x:t xml:space="preserve">ENT-001—ENT-036</x:t>
  </x:si>
  <x:si>
    <x:t xml:space="preserve">阶段六主体主数据</x:t>
  </x:si>
  <x:si>
    <x:t xml:space="preserve">阶段六最终验收版建立PTY-001至PTY-036稳定主体ID，只统一名称，不判断PE/VC属性。</x:t>
  </x:si>
  <x:si>
    <x:t xml:space="preserve">阶段八沿用PTY作为上游ID，新建ENT作为阶段八稳定ID。</x:t>
  </x:si>
  <x:si>
    <x:t xml:space="preserve">主体ID/名称标准化</x:t>
  </x:si>
  <x:si>
    <x:t xml:space="preserve">stage06_equity_transactions_and_snapshots_final_approved.xlsx</x:t>
  </x:si>
  <x:si>
    <x:t xml:space="preserve">EVD-021</x:t>
  </x:si>
  <x:si>
    <x:t xml:space="preserve">数值校验</x:t>
  </x:si>
  <x:si>
    <x:t xml:space="preserve">INV记录</x:t>
  </x:si>
  <x:si>
    <x:t xml:space="preserve">阶段七数值校验</x:t>
  </x:si>
  <x:si>
    <x:t xml:space="preserve">阶段七最终验收版已校验增资股份换算、转让单价及事件后股本勾稽。</x:t>
  </x:si>
  <x:si>
    <x:t xml:space="preserve">本阶段引用校验ID，不把计算值写成原文披露值。</x:t>
  </x:si>
  <x:si>
    <x:t xml:space="preserve">数值引用/计算口径</x:t>
  </x:si>
  <x:si>
    <x:t xml:space="preserve">stage07_numeric_validation_final_approved.xlsx</x:t>
  </x:si>
  <x:si>
    <x:t xml:space="preserve">EVD-024</x:t>
  </x:si>
  <x:si>
    <x:t xml:space="preserve">关系规则</x:t>
  </x:si>
  <x:si>
    <x:t xml:space="preserve">GP背景边</x:t>
  </x:si>
  <x:si>
    <x:t xml:space="preserve">82—91</x:t>
  </x:si>
  <x:si>
    <x:t xml:space="preserve">81—90</x:t>
  </x:si>
  <x:si>
    <x:t xml:space="preserve">主要股东股东构成</x:t>
  </x:si>
  <x:si>
    <x:t xml:space="preserve">招股书多处以GP标注基金普通合伙人或管理主体。</x:t>
  </x:si>
  <x:si>
    <x:t xml:space="preserve">本阶段把GP记录为背景关系，默认path_forming_flag=否。</x:t>
  </x:si>
  <x:si>
    <x:t xml:space="preserve">路径形成规则</x:t>
  </x:si>
  <x:si>
    <x:t xml:space="preserve">EVD-025</x:t>
  </x:si>
  <x:si>
    <x:t xml:space="preserve">经济路径</x:t>
  </x:si>
  <x:si>
    <x:t xml:space="preserve">PATH丰利</x:t>
  </x:si>
  <x:si>
    <x:t xml:space="preserve">丰利财富系代表其管理的丰利财富新三板成长基金投资发行人，资金来源为基金募集资金。</x:t>
  </x:si>
  <x:si>
    <x:t xml:space="preserve">该关系可形成经济资金来源路径，但法律直接股东仍为丰利财富。</x:t>
  </x:si>
  <x:si>
    <x:t xml:space="preserve">直接/间接双层路径</x:t>
  </x:si>
  <x:si>
    <x:t xml:space="preserve">06 待人工复核</x:t>
  </x:si>
  <x:si>
    <x:t xml:space="preserve">本表是阶段八验收入口。先选择“reviewer_decision”，填写说明，再把status改为已关闭；未披露事项可选择“信息不足保留未知”。</x:t>
  </x:si>
  <x:si>
    <x:t xml:space="preserve">review_id</x:t>
  </x:si>
  <x:si>
    <x:t xml:space="preserve">object_type</x:t>
  </x:si>
  <x:si>
    <x:t xml:space="preserve">object_id</x:t>
  </x:si>
  <x:si>
    <x:t xml:space="preserve">issue_code</x:t>
  </x:si>
  <x:si>
    <x:t xml:space="preserve">issue_description</x:t>
  </x:si>
  <x:si>
    <x:t xml:space="preserve">conflicting_or_supporting_evidence_ids</x:t>
  </x:si>
  <x:si>
    <x:t xml:space="preserve">missing_information</x:t>
  </x:si>
  <x:si>
    <x:t xml:space="preserve">proposed_action</x:t>
  </x:si>
  <x:si>
    <x:t xml:space="preserve">reviewer_decision</x:t>
  </x:si>
  <x:si>
    <x:t xml:space="preserve">status</x:t>
  </x:si>
  <x:si>
    <x:t xml:space="preserve">REV-801</x:t>
  </x:si>
  <x:si>
    <x:t xml:space="preserve">主体</x:t>
  </x:si>
  <x:si>
    <x:t xml:space="preserve">ENT-008｜ENT-010｜ENT-011</x:t>
  </x:si>
  <x:si>
    <x:t xml:space="preserve">RV801</x:t>
  </x:si>
  <x:si>
    <x:t xml:space="preserve">深创投、镇江红土、昆山红土具有创投名称和投资行为，但当前证据链缺少招股书明示主营业务或基金身份。</x:t>
  </x:si>
  <x:si>
    <x:t xml:space="preserve">主体基本情况中的明示经营范围或基金备案性质</x:t>
  </x:si>
  <x:si>
    <x:t xml:space="preserve">保持CANDIDATE；人工回看主体基本情况后决定是否升级CONFIRMED。</x:t>
  </x:si>
  <x:si>
    <x:t xml:space="preserve">REV-802</x:t>
  </x:si>
  <x:si>
    <x:t xml:space="preserve">主体/路径</x:t>
  </x:si>
  <x:si>
    <x:t xml:space="preserve">ENT-009｜ENT-R001</x:t>
  </x:si>
  <x:si>
    <x:t xml:space="preserve">RV802</x:t>
  </x:si>
  <x:si>
    <x:t xml:space="preserve">丰利财富是法律直接股东，但原文明示其代表丰利新三板基金投资，经济投资主体与名义股东不同。</x:t>
  </x:si>
  <x:si>
    <x:t xml:space="preserve">基金是否为独立法律持股主体（招股书未披露为发行人股东）</x:t>
  </x:si>
  <x:si>
    <x:t xml:space="preserve">保留双层：丰利财富=RELATED名义持股主体；丰利新三板基金=CONFIRMED经济资金来源基金。</x:t>
  </x:si>
  <x:si>
    <x:t xml:space="preserve">REV-803</x:t>
  </x:si>
  <x:si>
    <x:t xml:space="preserve">CASREV FUND名称和L.P.形式具有基金特征，但当前原文证据未直接披露主营业务。</x:t>
  </x:si>
  <x:si>
    <x:t xml:space="preserve">招股书是否有明示基金性质或管理关系</x:t>
  </x:si>
  <x:si>
    <x:t xml:space="preserve">保持CANDIDATE，不依据名称直接确认。</x:t>
  </x:si>
  <x:si>
    <x:t xml:space="preserve">REV-804</x:t>
  </x:si>
  <x:si>
    <x:t xml:space="preserve">鸿迪投资通过两轮老股受让进入和追加，但招股书未明示其PE/VC性质。</x:t>
  </x:si>
  <x:si>
    <x:t xml:space="preserve">主营业务、基金或创投属性</x:t>
  </x:si>
  <x:si>
    <x:t xml:space="preserve">保持CANDIDATE。</x:t>
  </x:si>
  <x:si>
    <x:t xml:space="preserve">REV-805</x:t>
  </x:si>
  <x:si>
    <x:t xml:space="preserve">厦门西堤通过D+轮增资进入，名称为投资合伙企业，但未取得基金/创投明示证据。</x:t>
  </x:si>
  <x:si>
    <x:t xml:space="preserve">主营业务、基金备案或投资平台性质</x:t>
  </x:si>
  <x:si>
    <x:t xml:space="preserve">REV-806</x:t>
  </x:si>
  <x:si>
    <x:t xml:space="preserve">福建开京仅确认公司主体及受让进入，无法判断是否属于PE/VC或产业投资者。</x:t>
  </x:si>
  <x:si>
    <x:t xml:space="preserve">主体主营业务及投资目的</x:t>
  </x:si>
  <x:si>
    <x:t xml:space="preserve">保留UNRESOLVED。</x:t>
  </x:si>
  <x:si>
    <x:t xml:space="preserve">REV-807</x:t>
  </x:si>
  <x:si>
    <x:t xml:space="preserve">湘裕君源为企业管理有限合伙并受让三笔股份，名称不足以确认PE/VC属性。</x:t>
  </x:si>
  <x:si>
    <x:t xml:space="preserve">合伙目的、基金属性、管理关系</x:t>
  </x:si>
  <x:si>
    <x:t xml:space="preserve">REV-808</x:t>
  </x:si>
  <x:si>
    <x:t xml:space="preserve">为赛咨询按管理层持股平台排除PE/VC，依据主要来自向员工转让和前序事件角色。</x:t>
  </x:si>
  <x:si>
    <x:t xml:space="preserve">招股书是否明确称其为员工持股平台</x:t>
  </x:si>
  <x:si>
    <x:t xml:space="preserve">确认EXCLUDED或调整为UNRESOLVED。</x:t>
  </x:si>
  <x:si>
    <x:t xml:space="preserve">REV-809</x:t>
  </x:si>
  <x:si>
    <x:t xml:space="preserve">火炬电子按产业战略投资主体排除PE/VC，但仍属于D轮投资方。</x:t>
  </x:si>
  <x:si>
    <x:t xml:space="preserve">招股书对其投资目的和主营业务的明示描述</x:t>
  </x:si>
  <x:si>
    <x:t xml:space="preserve">确认EXCLUDED；不得因属于投资轮次而自动认定PE/VC。</x:t>
  </x:si>
  <x:si>
    <x:t xml:space="preserve">REV-810</x:t>
  </x:si>
  <x:si>
    <x:t xml:space="preserve">路径</x:t>
  </x:si>
  <x:si>
    <x:t xml:space="preserve">GP关系边</x:t>
  </x:si>
  <x:si>
    <x:t xml:space="preserve">GP、基金管理人、执行事务合伙人关系不等同于其自身间接持有发行人权益。</x:t>
  </x:si>
  <x:si>
    <x:t xml:space="preserve">EVD-005｜EVD-013—EVD-018｜EVD-024</x:t>
  </x:si>
  <x:si>
    <x:t xml:space="preserve">除GP身份外的持有或控制证据</x:t>
  </x:si>
  <x:si>
    <x:t xml:space="preserve">确认所有GP边path_forming_flag=否。</x:t>
  </x:si>
  <x:si>
    <x:t xml:space="preserve">REV-811</x:t>
  </x:si>
  <x:si>
    <x:t xml:space="preserve">范围</x:t>
  </x:si>
  <x:si>
    <x:t xml:space="preserve">上层出资人</x:t>
  </x:si>
  <x:si>
    <x:t xml:space="preserve">RV806</x:t>
  </x:si>
  <x:si>
    <x:t xml:space="preserve">招股书披露部分基金股东构成，但阶段八不应把所有LP自动列为发行人间接投资主体。</x:t>
  </x:si>
  <x:si>
    <x:t xml:space="preserve">EVD-013—EVD-018</x:t>
  </x:si>
  <x:si>
    <x:t xml:space="preserve">LP是否通过基金享有发行人权益的完整穿透和期间证据</x:t>
  </x:si>
  <x:si>
    <x:t xml:space="preserve">仅保留与管理/GP或特殊资金来源有关的上游主体；不生成最终受益人。</x:t>
  </x:si>
  <x:si>
    <x:t xml:space="preserve">REV-812</x:t>
  </x:si>
  <x:si>
    <x:t xml:space="preserve">CE-004｜CE-005｜CE-007</x:t>
  </x:si>
  <x:si>
    <x:t xml:space="preserve">RV808</x:t>
  </x:si>
  <x:si>
    <x:t xml:space="preserve">共同增资总额已披露，但各主体实际投资金额未披露。</x:t>
  </x:si>
  <x:si>
    <x:t xml:space="preserve">EVD-002｜EVD-003</x:t>
  </x:si>
  <x:si>
    <x:t xml:space="preserve">各方认缴额和实际缴款额</x:t>
  </x:si>
  <x:si>
    <x:t xml:space="preserve">保持个体金额为空，禁止平均分配或按最终持股倒推。</x:t>
  </x:si>
  <x:si>
    <x:t xml:space="preserve">REV-813</x:t>
  </x:si>
  <x:si>
    <x:t xml:space="preserve">CE-013-01｜CE-013-02</x:t>
  </x:si>
  <x:si>
    <x:t xml:space="preserve">RV805</x:t>
  </x:si>
  <x:si>
    <x:t xml:space="preserve">2020年9月同月发生增资和十笔股权转让，实际先后未披露。</x:t>
  </x:si>
  <x:si>
    <x:t xml:space="preserve">EVD-010｜EVD-011</x:t>
  </x:si>
  <x:si>
    <x:t xml:space="preserve">缴款、交割和工商变更的逐笔日期</x:t>
  </x:si>
  <x:si>
    <x:t xml:space="preserve">按独立交易腿记录，不按表格行序推定先后。</x:t>
  </x:si>
  <x:si>
    <x:t xml:space="preserve">REV-814</x:t>
  </x:si>
  <x:si>
    <x:t xml:space="preserve">RV803</x:t>
  </x:si>
  <x:si>
    <x:t xml:space="preserve">为赛咨询存在多次曾用名，需要确认同一法律主体合并。</x:t>
  </x:si>
  <x:si>
    <x:t xml:space="preserve">无</x:t>
  </x:si>
  <x:si>
    <x:t xml:space="preserve">按照招股说明书释义合并，保留全部原文名称。</x:t>
  </x:si>
  <x:si>
    <x:t xml:space="preserve">07 质量检查</x:t>
  </x:si>
  <x:si>
    <x:t xml:space="preserve">check_id</x:t>
  </x:si>
  <x:si>
    <x:t xml:space="preserve">check_description</x:t>
  </x:si>
  <x:si>
    <x:t xml:space="preserve">check_logic</x:t>
  </x:si>
  <x:si>
    <x:t xml:space="preserve">result</x:t>
  </x:si>
  <x:si>
    <x:t xml:space="preserve">details</x:t>
  </x:si>
  <x:si>
    <x:t xml:space="preserve">acceptance_status</x:t>
  </x:si>
  <x:si>
    <x:t xml:space="preserve">QA-801</x:t>
  </x:si>
  <x:si>
    <x:t xml:space="preserve">主体ID无空值</x:t>
  </x:si>
  <x:si>
    <x:t xml:space="preserve">主体主表entity_id全部非空</x:t>
  </x:si>
  <x:si>
    <x:t xml:space="preserve">QA-802</x:t>
  </x:si>
  <x:si>
    <x:t xml:space="preserve">主体ID唯一</x:t>
  </x:si>
  <x:si>
    <x:t xml:space="preserve">主体主表entity_id不存在重复</x:t>
  </x:si>
  <x:si>
    <x:t xml:space="preserve">重复ID需人工查看</x:t>
  </x:si>
  <x:si>
    <x:t xml:space="preserve">QA-803</x:t>
  </x:si>
  <x:si>
    <x:t xml:space="preserve">投资记录ID唯一</x:t>
  </x:si>
  <x:si>
    <x:t xml:space="preserve">投资事件investment_record_id不存在重复</x:t>
  </x:si>
  <x:si>
    <x:t xml:space="preserve">QA-804</x:t>
  </x:si>
  <x:si>
    <x:t xml:space="preserve">投资事件保留证据</x:t>
  </x:si>
  <x:si>
    <x:t xml:space="preserve">每条投资事件evidence_ids、PDF页码、正文页码非空</x:t>
  </x:si>
  <x:si>
    <x:t xml:space="preserve">PDF页、正文页和证据列检查</x:t>
  </x:si>
  <x:si>
    <x:t xml:space="preserve">QA-805</x:t>
  </x:si>
  <x:si>
    <x:t xml:space="preserve">直接/间接和进入方式完整</x:t>
  </x:si>
  <x:si>
    <x:t xml:space="preserve">investment_level与entry_method全部填写</x:t>
  </x:si>
  <x:si>
    <x:t xml:space="preserve">投资层级与进入方式检查</x:t>
  </x:si>
  <x:si>
    <x:t xml:space="preserve">QA-806</x:t>
  </x:si>
  <x:si>
    <x:t xml:space="preserve">未披露金额未伪填</x:t>
  </x:si>
  <x:si>
    <x:t xml:space="preserve">value_type=NOT_DISCLOSED的价款字段为空</x:t>
  </x:si>
  <x:si>
    <x:t xml:space="preserve">未披露记录不得填价款</x:t>
  </x:si>
  <x:si>
    <x:t xml:space="preserve">QA-807</x:t>
  </x:si>
  <x:si>
    <x:t xml:space="preserve">路径边主体完整</x:t>
  </x:si>
  <x:si>
    <x:t xml:space="preserve">每条路径边上游和下游主体非空</x:t>
  </x:si>
  <x:si>
    <x:t xml:space="preserve">路径边上游/下游检查</x:t>
  </x:si>
  <x:si>
    <x:t xml:space="preserve">QA-808</x:t>
  </x:si>
  <x:si>
    <x:t xml:space="preserve">GP边不形成权益路径</x:t>
  </x:si>
  <x:si>
    <x:t xml:space="preserve">relationship_type含GENERAL_PARTNER时path_forming_flag=否</x:t>
  </x:si>
  <x:si>
    <x:t xml:space="preserve">GP边必须为否</x:t>
  </x:si>
  <x:si>
    <x:t xml:space="preserve">QA-809</x:t>
  </x:si>
  <x:si>
    <x:t xml:space="preserve">CONFIRMED有高置信证据</x:t>
  </x:si>
  <x:si>
    <x:t xml:space="preserve">CONFIRMED主体confidence=HIGH且evidence_ids非空</x:t>
  </x:si>
  <x:si>
    <x:t xml:space="preserve">确认主体需高置信和证据</x:t>
  </x:si>
  <x:si>
    <x:t xml:space="preserve">QA-810</x:t>
  </x:si>
  <x:si>
    <x:t xml:space="preserve">复核项已关闭</x:t>
  </x:si>
  <x:si>
    <x:t xml:space="preserve">06表所有复核项status=已关闭</x:t>
  </x:si>
  <x:si>
    <x:t xml:space="preserve">QA-811</x:t>
  </x:si>
  <x:si>
    <x:t xml:space="preserve">未复核</x:t>
  </x:si>
  <x:si>
    <x:t xml:space="preserve">未关闭</x:t>
  </x:si>
  <x:si>
    <x:t xml:space="preserve">确认通过</x:t>
  </x:si>
  <x:si>
    <x:t xml:space="preserve">已关闭</x:t>
  </x:si>
  <x:si>
    <x:t xml:space="preserve">修改后通过</x:t>
  </x:si>
  <x:si>
    <x:t xml:space="preserve">OTHER</x:t>
  </x:si>
  <x:si>
    <x:t xml:space="preserve">PARTIAL_EXIT</x:t>
  </x:si>
  <x:si>
    <x:t xml:space="preserve">信息不足保留未知</x:t>
  </x:si>
  <x:si>
    <x:t xml:space="preserve">退回复核</x:t>
  </x:si>
  <x:si>
    <x:t xml:space="preserve">INTERNAL_ADJUSTMENT</x:t>
  </x:si>
</x:sst>
</file>

<file path=xl/styles.xml><?xml version="1.0" encoding="utf-8"?>
<x:styleSheet xmlns:x="http://schemas.openxmlformats.org/spreadsheetml/2006/main">
  <x:numFmts count="2">
    <x:numFmt numFmtId="176" formatCode="#,##0;[Red]\(#,##0\);\-"/>
    <x:numFmt numFmtId="177" formatCode="#,##0.00;[Red]\(#,##0.00\);\-"/>
  </x:numFmts>
  <x:fonts count="12">
    <x:font>
      <x:sz val="11"/>
      <x:name val="Carlito"/>
    </x:font>
    <x:font>
      <x:b/>
      <x:sz val="15"/>
      <x:color rgb="FFFFFFFF"/>
      <x:name val="Carlito"/>
    </x:font>
    <x:font>
      <x:i/>
      <x:sz val="10"/>
      <x:color rgb="FF666666"/>
      <x:name val="Carlito"/>
    </x:font>
    <x:font>
      <x:sz val="9"/>
      <x:color rgb="FF0000FF"/>
      <x:name val="Carlito"/>
    </x:font>
    <x:font>
      <x:b/>
      <x:sz val="10"/>
      <x:color rgb="FFFFFFFF"/>
      <x:name val="Carlito"/>
    </x:font>
    <x:font>
      <x:sz val="10"/>
      <x:color rgb="FF008000"/>
      <x:name val="Carlito"/>
    </x:font>
    <x:font>
      <x:b/>
      <x:sz val="10"/>
      <x:color rgb="FF008000"/>
      <x:name val="Carlito"/>
    </x:font>
    <x:font>
      <x:sz val="9"/>
      <x:color rgb="FF000000"/>
      <x:name val="Carlito"/>
    </x:font>
    <x:font>
      <x:sz val="11"/>
      <x:name val="Carlito"/>
    </x:font>
    <x:font>
      <x:sz val="9"/>
      <x:name val="宋体"/>
    </x:font>
    <x:font>
      <x:b/>
      <x:sz val="11"/>
      <x:color rgb="FFFFFFFF"/>
      <x:name val="Carlito"/>
    </x:font>
    <x:font>
      <x:b/>
      <x:sz val="11"/>
      <x:color rgb="FF008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</x:fills>
  <x:borders count="32">
    <x:border/>
    <x:border>
      <x:left style="hair">
        <x:color rgb="FFD9E2F3"/>
      </x:left>
      <x:top style="hair">
        <x:color rgb="FFD9E2F3"/>
      </x:top>
    </x:border>
    <x:border>
      <x:top style="hair">
        <x:color rgb="FFD9E2F3"/>
      </x:top>
    </x:border>
    <x:border>
      <x:right style="hair">
        <x:color rgb="FFD9E2F3"/>
      </x:right>
      <x:top style="hair">
        <x:color rgb="FFD9E2F3"/>
      </x:top>
    </x:border>
    <x:border>
      <x:left style="hair">
        <x:color rgb="FFD9E2F3"/>
      </x:left>
    </x:border>
    <x:border>
      <x:right style="hair">
        <x:color rgb="FFD9E2F3"/>
      </x:right>
    </x:border>
    <x:border>
      <x:left style="hair">
        <x:color rgb="FFD9E2F3"/>
      </x:left>
      <x:bottom style="hair">
        <x:color rgb="FFD9E2F3"/>
      </x:bottom>
    </x:border>
    <x:border>
      <x:bottom style="hair">
        <x:color rgb="FFD9E2F3"/>
      </x:bottom>
    </x:border>
    <x:border>
      <x:right style="hair">
        <x:color rgb="FFD9E2F3"/>
      </x:right>
      <x:bottom style="hair">
        <x:color rgb="FFD9E2F3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</x:border>
    <x:border>
      <x:left style="thin">
        <x:color rgb="FFB4C6E7"/>
      </x:left>
      <x:right style="thin">
        <x:color rgb="FFB4C6E7"/>
      </x:right>
    </x:border>
    <x:border>
      <x:left style="thin">
        <x:color rgb="FFB4C6E7"/>
      </x:left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/>
    <x:border>
      <x:left style="hair">
        <x:color rgb="FFD9E2F3"/>
      </x:left>
      <x:top style="hair">
        <x:color rgb="FFD9E2F3"/>
      </x:top>
    </x:border>
    <x:border>
      <x:top style="hair">
        <x:color rgb="FFD9E2F3"/>
      </x:top>
    </x:border>
    <x:border>
      <x:right style="hair">
        <x:color rgb="FFD9E2F3"/>
      </x:right>
      <x:top style="hair">
        <x:color rgb="FFD9E2F3"/>
      </x:top>
    </x:border>
    <x:border>
      <x:left style="hair">
        <x:color rgb="FFD9E2F3"/>
      </x:left>
    </x:border>
    <x:border>
      <x:right style="hair">
        <x:color rgb="FFD9E2F3"/>
      </x:right>
    </x:border>
    <x:border>
      <x:left style="hair">
        <x:color rgb="FFD9E2F3"/>
      </x:left>
      <x:bottom style="hair">
        <x:color rgb="FFD9E2F3"/>
      </x:bottom>
    </x:border>
    <x:border>
      <x:bottom style="hair">
        <x:color rgb="FFD9E2F3"/>
      </x:bottom>
    </x:border>
    <x:border>
      <x:right style="hair">
        <x:color rgb="FFD9E2F3"/>
      </x:right>
      <x:bottom style="hair">
        <x:color rgb="FFD9E2F3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</x:border>
    <x:border>
      <x:left style="thin">
        <x:color rgb="FFB4C6E7"/>
      </x:left>
      <x:right style="thin">
        <x:color rgb="FFB4C6E7"/>
      </x:right>
    </x:border>
    <x:border>
      <x:left style="thin">
        <x:color rgb="FFB4C6E7"/>
      </x:left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2">
    <x:xf numFmtId="0" fontId="0" fillId="0" borderId="0"/>
    <x:xf numFmtId="0" fontId="8" fillId="0" borderId="0"/>
  </x:cellStyleXfs>
  <x:cellXfs count="160">
    <x:xf numFmtId="0" fontId="0" fillId="0" borderId="0" xfId="0"/>
    <x:xf numFmtId="0" fontId="3" fillId="0" borderId="1" xfId="1" applyFont="1" applyBorder="1" applyAlignment="1">
      <x:alignment vertical="top" wrapText="1"/>
    </x:xf>
    <x:xf numFmtId="0" fontId="3" fillId="0" borderId="2" xfId="1" applyFont="1" applyBorder="1" applyAlignment="1">
      <x:alignment vertical="top" wrapText="1"/>
    </x:xf>
    <x:xf numFmtId="0" fontId="3" fillId="0" borderId="3" xfId="1" applyFont="1" applyBorder="1" applyAlignment="1">
      <x:alignment vertical="top" wrapText="1"/>
    </x:xf>
    <x:xf numFmtId="0" fontId="3" fillId="0" borderId="4" xfId="1" applyFont="1" applyBorder="1" applyAlignment="1">
      <x:alignment vertical="top" wrapText="1"/>
    </x:xf>
    <x:xf numFmtId="0" fontId="3" fillId="0" borderId="0" xfId="1" applyFont="1" applyAlignment="1">
      <x:alignment vertical="top" wrapText="1"/>
    </x:xf>
    <x:xf numFmtId="0" fontId="3" fillId="0" borderId="5" xfId="1" applyFont="1" applyBorder="1" applyAlignment="1">
      <x:alignment vertical="top" wrapText="1"/>
    </x:xf>
    <x:xf numFmtId="0" fontId="3" fillId="0" borderId="6" xfId="1" applyFont="1" applyBorder="1" applyAlignment="1">
      <x:alignment vertical="top" wrapText="1"/>
    </x:xf>
    <x:xf numFmtId="0" fontId="3" fillId="0" borderId="7" xfId="1" applyFont="1" applyBorder="1" applyAlignment="1">
      <x:alignment vertical="top" wrapText="1"/>
    </x:xf>
    <x:xf numFmtId="0" fontId="3" fillId="0" borderId="8" xfId="1" applyFont="1" applyBorder="1" applyAlignment="1">
      <x:alignment vertical="top" wrapText="1"/>
    </x:xf>
    <x:xf numFmtId="0" fontId="4" fillId="4" borderId="9" xfId="1" applyFont="1" applyFill="1" applyBorder="1" applyAlignment="1">
      <x:alignment horizontal="center" vertical="center" wrapText="1"/>
    </x:xf>
    <x:xf numFmtId="0" fontId="4" fillId="4" borderId="10" xfId="1" applyFont="1" applyFill="1" applyBorder="1" applyAlignment="1">
      <x:alignment horizontal="center" vertical="center" wrapText="1"/>
    </x:xf>
    <x:xf numFmtId="0" fontId="4" fillId="4" borderId="11" xfId="1" applyFont="1" applyFill="1" applyBorder="1" applyAlignment="1">
      <x:alignment horizontal="center" vertical="center" wrapText="1"/>
    </x:xf>
    <x:xf numFmtId="0" fontId="4" fillId="4" borderId="12" xfId="1" applyFont="1" applyFill="1" applyBorder="1" applyAlignment="1">
      <x:alignment horizontal="center" vertical="center" wrapText="1"/>
    </x:xf>
    <x:xf numFmtId="0" fontId="4" fillId="4" borderId="13" xfId="1" applyFont="1" applyFill="1" applyBorder="1" applyAlignment="1">
      <x:alignment horizontal="center" vertical="center" wrapText="1"/>
    </x:xf>
    <x:xf numFmtId="0" fontId="4" fillId="4" borderId="14" xfId="1" applyFont="1" applyFill="1" applyBorder="1" applyAlignment="1">
      <x:alignment horizontal="center" vertical="center" wrapText="1"/>
    </x:xf>
    <x:xf numFmtId="0" fontId="4" fillId="4" borderId="15" xfId="1" applyFont="1" applyFill="1" applyBorder="1" applyAlignment="1">
      <x:alignment horizontal="center" vertical="center" wrapText="1"/>
    </x:xf>
    <x:xf numFmtId="0" fontId="6" fillId="4" borderId="15" xfId="1" applyFont="1" applyFill="1" applyBorder="1" applyAlignment="1">
      <x:alignment horizontal="center" vertical="center" wrapText="1"/>
    </x:xf>
    <x:xf numFmtId="0" fontId="5" fillId="0" borderId="0" xfId="1" applyFont="1" applyAlignment="1">
      <x:alignment vertical="center"/>
    </x:xf>
    <x:xf numFmtId="0" fontId="7" fillId="5" borderId="0" xfId="1" applyFont="1" applyFill="1" applyAlignment="1">
      <x:alignment vertical="top" wrapText="1"/>
    </x:xf>
    <x:xf numFmtId="0" fontId="7" fillId="5" borderId="2" xfId="1" applyFont="1" applyFill="1" applyBorder="1" applyAlignment="1">
      <x:alignment vertical="top" wrapText="1"/>
    </x:xf>
    <x:xf numFmtId="0" fontId="7" fillId="5" borderId="7" xfId="1" applyFont="1" applyFill="1" applyBorder="1" applyAlignment="1">
      <x:alignment vertical="top" wrapText="1"/>
    </x:xf>
    <x:xf numFmtId="0" fontId="7" fillId="5" borderId="3" xfId="1" applyFont="1" applyFill="1" applyBorder="1" applyAlignment="1">
      <x:alignment vertical="top" wrapText="1"/>
    </x:xf>
    <x:xf numFmtId="0" fontId="7" fillId="5" borderId="5" xfId="1" applyFont="1" applyFill="1" applyBorder="1" applyAlignment="1">
      <x:alignment vertical="top" wrapText="1"/>
    </x:xf>
    <x:xf numFmtId="0" fontId="7" fillId="5" borderId="8" xfId="1" applyFont="1" applyFill="1" applyBorder="1" applyAlignment="1">
      <x:alignment vertical="top" wrapText="1"/>
    </x:xf>
    <x:xf numFmtId="176" fontId="3" fillId="0" borderId="2" xfId="1" applyNumberFormat="1" applyFont="1" applyBorder="1" applyAlignment="1">
      <x:alignment vertical="top" wrapText="1"/>
    </x:xf>
    <x:xf numFmtId="176" fontId="3" fillId="0" borderId="0" xfId="1" applyNumberFormat="1" applyFont="1" applyAlignment="1">
      <x:alignment vertical="top" wrapText="1"/>
    </x:xf>
    <x:xf numFmtId="176" fontId="3" fillId="0" borderId="7" xfId="1" applyNumberFormat="1" applyFont="1" applyBorder="1" applyAlignment="1">
      <x:alignment vertical="top" wrapText="1"/>
    </x:xf>
    <x:xf numFmtId="177" fontId="3" fillId="0" borderId="2" xfId="1" applyNumberFormat="1" applyFont="1" applyBorder="1" applyAlignment="1">
      <x:alignment vertical="top" wrapText="1"/>
    </x:xf>
    <x:xf numFmtId="177" fontId="3" fillId="0" borderId="0" xfId="1" applyNumberFormat="1" applyFont="1" applyAlignment="1">
      <x:alignment vertical="top" wrapText="1"/>
    </x:xf>
    <x:xf numFmtId="177" fontId="3" fillId="0" borderId="7" xfId="1" applyNumberFormat="1" applyFont="1" applyBorder="1" applyAlignment="1">
      <x:alignment vertical="top" wrapText="1"/>
    </x:xf>
    <x:xf numFmtId="0" fontId="5" fillId="0" borderId="2" xfId="1" applyFont="1" applyBorder="1" applyAlignment="1">
      <x:alignment vertical="center" wrapText="1"/>
    </x:xf>
    <x:xf numFmtId="0" fontId="5" fillId="0" borderId="3" xfId="1" applyFont="1" applyBorder="1" applyAlignment="1">
      <x:alignment vertical="center" wrapText="1"/>
    </x:xf>
    <x:xf numFmtId="0" fontId="5" fillId="0" borderId="0" xfId="1" applyFont="1" applyAlignment="1">
      <x:alignment vertical="center" wrapText="1"/>
    </x:xf>
    <x:xf numFmtId="0" fontId="5" fillId="0" borderId="5" xfId="1" applyFont="1" applyBorder="1" applyAlignment="1">
      <x:alignment vertical="center" wrapText="1"/>
    </x:xf>
    <x:xf numFmtId="0" fontId="5" fillId="0" borderId="7" xfId="1" applyFont="1" applyBorder="1" applyAlignment="1">
      <x:alignment vertical="center" wrapText="1"/>
    </x:xf>
    <x:xf numFmtId="0" fontId="5" fillId="0" borderId="8" xfId="1" applyFont="1" applyBorder="1" applyAlignment="1">
      <x:alignment vertical="center" wrapText="1"/>
    </x:xf>
    <x:xf numFmtId="0" fontId="1" fillId="2" borderId="0" xfId="1" applyFont="1" applyFill="1" applyAlignment="1">
      <x:alignment horizontal="left" vertical="center"/>
    </x:xf>
    <x:xf numFmtId="0" fontId="2" fillId="3" borderId="0" xfId="1" applyFont="1" applyFill="1" applyAlignment="1">
      <x:alignment vertical="center" wrapText="1"/>
    </x:xf>
    <x:xf numFmtId="0" fontId="4" fillId="4" borderId="12" xfId="1" applyFont="1" applyFill="1" applyBorder="1" applyAlignment="1">
      <x:alignment horizontal="center" vertical="center" wrapText="1"/>
    </x:xf>
    <x:xf numFmtId="0" fontId="4" fillId="4" borderId="13" xfId="1" applyFont="1" applyFill="1" applyBorder="1" applyAlignment="1">
      <x:alignment horizontal="center" vertical="center" wrapText="1"/>
    </x:xf>
    <x:xf numFmtId="0" fontId="4" fillId="4" borderId="14" xfId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/>
    <x:xf numFmtId="0" fontId="3" fillId="0" borderId="17" xfId="0" applyNumberFormat="1" applyFont="1" applyFill="1" applyBorder="1" applyAlignment="1">
      <x:alignment vertical="top" wrapText="1"/>
    </x:xf>
    <x:xf numFmtId="0" fontId="3" fillId="0" borderId="18" xfId="0" applyNumberFormat="1" applyFont="1" applyFill="1" applyBorder="1" applyAlignment="1">
      <x:alignment vertical="top" wrapText="1"/>
    </x:xf>
    <x:xf numFmtId="0" fontId="3" fillId="0" borderId="19" xfId="0" applyNumberFormat="1" applyFont="1" applyFill="1" applyBorder="1" applyAlignment="1">
      <x:alignment vertical="top" wrapText="1"/>
    </x:xf>
    <x:xf numFmtId="0" fontId="3" fillId="0" borderId="20" xfId="0" applyNumberFormat="1" applyFont="1" applyFill="1" applyBorder="1" applyAlignment="1">
      <x:alignment vertical="top" wrapText="1"/>
    </x:xf>
    <x:xf numFmtId="0" fontId="3" fillId="0" borderId="16" xfId="0" applyNumberFormat="1" applyFont="1" applyFill="1" applyBorder="1" applyAlignment="1">
      <x:alignment vertical="top" wrapText="1"/>
    </x:xf>
    <x:xf numFmtId="0" fontId="3" fillId="0" borderId="21" xfId="0" applyNumberFormat="1" applyFont="1" applyFill="1" applyBorder="1" applyAlignment="1">
      <x:alignment vertical="top" wrapText="1"/>
    </x:xf>
    <x:xf numFmtId="0" fontId="3" fillId="0" borderId="22" xfId="0" applyNumberFormat="1" applyFont="1" applyFill="1" applyBorder="1" applyAlignment="1">
      <x:alignment vertical="top" wrapText="1"/>
    </x:xf>
    <x:xf numFmtId="0" fontId="3" fillId="0" borderId="23" xfId="0" applyNumberFormat="1" applyFont="1" applyFill="1" applyBorder="1" applyAlignment="1">
      <x:alignment vertical="top" wrapText="1"/>
    </x:xf>
    <x:xf numFmtId="0" fontId="3" fillId="0" borderId="24" xfId="0" applyNumberFormat="1" applyFont="1" applyFill="1" applyBorder="1" applyAlignment="1">
      <x:alignment vertical="top" wrapText="1"/>
    </x:xf>
    <x:xf numFmtId="0" fontId="4" fillId="4" borderId="25" xfId="0" applyNumberFormat="1" applyFont="1" applyFill="1" applyBorder="1" applyAlignment="1">
      <x:alignment horizontal="center" vertical="center" wrapText="1"/>
    </x:xf>
    <x:xf numFmtId="0" fontId="4" fillId="4" borderId="26" xfId="0" applyNumberFormat="1" applyFont="1" applyFill="1" applyBorder="1" applyAlignment="1">
      <x:alignment horizontal="center" vertical="center" wrapText="1"/>
    </x:xf>
    <x:xf numFmtId="0" fontId="4" fillId="4" borderId="27" xfId="0" applyNumberFormat="1" applyFont="1" applyFill="1" applyBorder="1" applyAlignment="1">
      <x:alignment horizontal="center" vertical="center" wrapText="1"/>
    </x:xf>
    <x:xf numFmtId="0" fontId="4" fillId="4" borderId="28" xfId="0" applyNumberFormat="1" applyFont="1" applyFill="1" applyBorder="1" applyAlignment="1">
      <x:alignment horizontal="center" vertical="center" wrapText="1"/>
    </x:xf>
    <x:xf numFmtId="0" fontId="4" fillId="4" borderId="29" xfId="0" applyNumberFormat="1" applyFont="1" applyFill="1" applyBorder="1" applyAlignment="1">
      <x:alignment horizontal="center" vertical="center" wrapText="1"/>
    </x:xf>
    <x:xf numFmtId="0" fontId="4" fillId="4" borderId="30" xfId="0" applyNumberFormat="1" applyFont="1" applyFill="1" applyBorder="1" applyAlignment="1">
      <x:alignment horizontal="center" vertical="center" wrapText="1"/>
    </x:xf>
    <x:xf numFmtId="0" fontId="4" fillId="4" borderId="31" xfId="0" applyNumberFormat="1" applyFont="1" applyFill="1" applyBorder="1" applyAlignment="1">
      <x:alignment horizontal="center" vertical="center" wrapText="1"/>
    </x:xf>
    <x:xf numFmtId="0" fontId="6" fillId="4" borderId="31" xfId="0" applyNumberFormat="1" applyFont="1" applyFill="1" applyBorder="1" applyAlignment="1">
      <x:alignment horizontal="center" vertical="center" wrapText="1"/>
    </x:xf>
    <x:xf numFmtId="0" fontId="5" fillId="0" borderId="16" xfId="0" applyNumberFormat="1" applyFont="1" applyFill="1" applyBorder="1" applyAlignment="1">
      <x:alignment vertical="center"/>
    </x:xf>
    <x:xf numFmtId="0" fontId="7" fillId="5" borderId="16" xfId="0" applyNumberFormat="1" applyFont="1" applyFill="1" applyBorder="1" applyAlignment="1">
      <x:alignment vertical="top" wrapText="1"/>
    </x:xf>
    <x:xf numFmtId="0" fontId="7" fillId="5" borderId="18" xfId="0" applyNumberFormat="1" applyFont="1" applyFill="1" applyBorder="1" applyAlignment="1">
      <x:alignment vertical="top" wrapText="1"/>
    </x:xf>
    <x:xf numFmtId="0" fontId="7" fillId="5" borderId="23" xfId="0" applyNumberFormat="1" applyFont="1" applyFill="1" applyBorder="1" applyAlignment="1">
      <x:alignment vertical="top" wrapText="1"/>
    </x:xf>
    <x:xf numFmtId="0" fontId="7" fillId="5" borderId="19" xfId="0" applyNumberFormat="1" applyFont="1" applyFill="1" applyBorder="1" applyAlignment="1">
      <x:alignment vertical="top" wrapText="1"/>
    </x:xf>
    <x:xf numFmtId="0" fontId="7" fillId="5" borderId="21" xfId="0" applyNumberFormat="1" applyFont="1" applyFill="1" applyBorder="1" applyAlignment="1">
      <x:alignment vertical="top" wrapText="1"/>
    </x:xf>
    <x:xf numFmtId="0" fontId="7" fillId="5" borderId="24" xfId="0" applyNumberFormat="1" applyFont="1" applyFill="1" applyBorder="1" applyAlignment="1">
      <x:alignment vertical="top" wrapText="1"/>
    </x:xf>
    <x:xf numFmtId="176" fontId="3" fillId="0" borderId="18" xfId="0" applyNumberFormat="1" applyFont="1" applyFill="1" applyBorder="1" applyAlignment="1">
      <x:alignment vertical="top" wrapText="1"/>
    </x:xf>
    <x:xf numFmtId="176" fontId="3" fillId="0" borderId="16" xfId="0" applyNumberFormat="1" applyFont="1" applyFill="1" applyBorder="1" applyAlignment="1">
      <x:alignment vertical="top" wrapText="1"/>
    </x:xf>
    <x:xf numFmtId="176" fontId="3" fillId="0" borderId="23" xfId="0" applyNumberFormat="1" applyFont="1" applyFill="1" applyBorder="1" applyAlignment="1">
      <x:alignment vertical="top" wrapText="1"/>
    </x:xf>
    <x:xf numFmtId="177" fontId="3" fillId="0" borderId="18" xfId="0" applyNumberFormat="1" applyFont="1" applyFill="1" applyBorder="1" applyAlignment="1">
      <x:alignment vertical="top" wrapText="1"/>
    </x:xf>
    <x:xf numFmtId="177" fontId="3" fillId="0" borderId="16" xfId="0" applyNumberFormat="1" applyFont="1" applyFill="1" applyBorder="1" applyAlignment="1">
      <x:alignment vertical="top" wrapText="1"/>
    </x:xf>
    <x:xf numFmtId="177" fontId="3" fillId="0" borderId="23" xfId="0" applyNumberFormat="1" applyFont="1" applyFill="1" applyBorder="1" applyAlignment="1">
      <x:alignment vertical="top" wrapText="1"/>
    </x:xf>
    <x:xf numFmtId="0" fontId="5" fillId="0" borderId="18" xfId="0" applyNumberFormat="1" applyFont="1" applyFill="1" applyBorder="1" applyAlignment="1">
      <x:alignment vertical="center" wrapText="1"/>
    </x:xf>
    <x:xf numFmtId="0" fontId="5" fillId="0" borderId="1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21" xfId="0" applyNumberFormat="1" applyFont="1" applyFill="1" applyBorder="1" applyAlignment="1">
      <x:alignment vertical="center" wrapText="1"/>
    </x:xf>
    <x:xf numFmtId="0" fontId="5" fillId="0" borderId="23" xfId="0" applyNumberFormat="1" applyFont="1" applyFill="1" applyBorder="1" applyAlignment="1">
      <x:alignment vertical="center" wrapText="1"/>
    </x:xf>
    <x:xf numFmtId="0" fontId="5" fillId="0" borderId="24" xfId="0" applyNumberFormat="1" applyFont="1" applyFill="1" applyBorder="1" applyAlignment="1">
      <x:alignment vertical="center" wrapText="1"/>
    </x:xf>
    <x:xf numFmtId="0" fontId="1" fillId="2" borderId="16" xfId="0" applyNumberFormat="1" applyFont="1" applyFill="1" applyBorder="1" applyAlignment="1">
      <x:alignment horizontal="left" vertical="center"/>
    </x:xf>
    <x:xf numFmtId="0" fontId="2" fillId="3" borderId="1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6" borderId="16" xfId="0" applyNumberFormat="1" applyFont="1" applyFill="1" applyBorder="1"/>
    <x:xf numFmtId="0" fontId="1" fillId="6" borderId="16" xfId="0" applyNumberFormat="1" applyFont="1" applyFill="1" applyBorder="1"/>
    <x:xf numFmtId="0" fontId="1" fillId="6" borderId="16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0" fillId="7" borderId="16" xfId="0" applyNumberFormat="1" applyFont="1" applyFill="1" applyBorder="1"/>
    <x:xf numFmtId="0" fontId="2" fillId="7" borderId="16" xfId="0" applyNumberFormat="1" applyFont="1" applyFill="1" applyBorder="1"/>
    <x:xf numFmtId="0" fontId="2" fillId="7" borderId="16" xfId="0" applyNumberFormat="1" applyFont="1" applyFill="1" applyBorder="1" applyAlignment="1">
      <x:alignment wrapText="1"/>
    </x:xf>
    <x:xf numFmtId="0" fontId="2" fillId="7" borderId="16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horizontal="center"/>
    </x:xf>
    <x:xf numFmtId="0" fontId="0" fillId="8" borderId="16" xfId="0" applyNumberFormat="1" applyFont="1" applyFill="1" applyBorder="1"/>
    <x:xf numFmtId="0" fontId="10" fillId="8" borderId="16" xfId="0" applyNumberFormat="1" applyFont="1" applyFill="1" applyBorder="1"/>
    <x:xf numFmtId="0" fontId="10" fillId="8" borderId="16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horizontal="center"/>
    </x:xf>
    <x:xf numFmtId="0" fontId="0" fillId="9" borderId="16" xfId="0" applyNumberFormat="1" applyFont="1" applyFill="1" applyBorder="1"/>
    <x:xf numFmtId="0" fontId="11" fillId="9" borderId="16" xfId="0" applyNumberFormat="1" applyFont="1" applyFill="1" applyBorder="1"/>
    <x:xf numFmtId="0" fontId="11" fillId="9" borderId="16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/>
    <x:xf numFmtId="0" fontId="4" fillId="8" borderId="12" xfId="0" applyNumberFormat="1" applyFont="1" applyFill="1" applyBorder="1"/>
    <x:xf numFmtId="0" fontId="4" fillId="8" borderId="13" xfId="0" applyNumberFormat="1" applyFont="1" applyFill="1" applyBorder="1"/>
    <x:xf numFmtId="0" fontId="4" fillId="8" borderId="14" xfId="0" applyNumberFormat="1" applyFont="1" applyFill="1" applyBorder="1"/>
    <x:xf numFmtId="0" fontId="4" fillId="8" borderId="12" xfId="0" applyNumberFormat="1" applyFont="1" applyFill="1" applyBorder="1" applyAlignment="1">
      <x:alignment wrapText="1"/>
    </x:xf>
    <x:xf numFmtId="0" fontId="4" fillId="8" borderId="13" xfId="0" applyNumberFormat="1" applyFont="1" applyFill="1" applyBorder="1" applyAlignment="1">
      <x:alignment wrapText="1"/>
    </x:xf>
    <x:xf numFmtId="0" fontId="4" fillId="8" borderId="14" xfId="0" applyNumberFormat="1" applyFont="1" applyFill="1" applyBorder="1" applyAlignment="1">
      <x:alignment wrapText="1"/>
    </x:xf>
    <x:xf numFmtId="0" fontId="4" fillId="8" borderId="12" xfId="0" applyNumberFormat="1" applyFont="1" applyFill="1" applyBorder="1" applyAlignment="1">
      <x:alignment horizontal="center" wrapText="1"/>
    </x:xf>
    <x:xf numFmtId="0" fontId="4" fillId="8" borderId="13" xfId="0" applyNumberFormat="1" applyFont="1" applyFill="1" applyBorder="1" applyAlignment="1">
      <x:alignment horizontal="center" wrapText="1"/>
    </x:xf>
    <x:xf numFmtId="0" fontId="4" fillId="8" borderId="14" xfId="0" applyNumberFormat="1" applyFont="1" applyFill="1" applyBorder="1" applyAlignment="1">
      <x:alignment horizontal="center" wrapText="1"/>
    </x:xf>
    <x:xf numFmtId="0" fontId="4" fillId="8" borderId="12" xfId="0" applyNumberFormat="1" applyFont="1" applyFill="1" applyBorder="1" applyAlignment="1">
      <x:alignment horizontal="center" vertical="center" wrapText="1"/>
    </x:xf>
    <x:xf numFmtId="0" fontId="4" fillId="8" borderId="13" xfId="0" applyNumberFormat="1" applyFont="1" applyFill="1" applyBorder="1" applyAlignment="1">
      <x:alignment horizontal="center" vertical="center" wrapText="1"/>
    </x:xf>
    <x:xf numFmtId="0" fontId="4" fillId="8" borderId="14" xfId="0" applyNumberFormat="1" applyFont="1" applyFill="1" applyBorder="1" applyAlignment="1">
      <x:alignment horizontal="center" vertical="center" wrapText="1"/>
    </x:xf>
    <x:xf numFmtId="0" fontId="4" fillId="8" borderId="16" xfId="0" applyNumberFormat="1" applyFont="1" applyFill="1" applyBorder="1"/>
    <x:xf numFmtId="0" fontId="4" fillId="8" borderId="28" xfId="0" applyNumberFormat="1" applyFont="1" applyFill="1" applyBorder="1"/>
    <x:xf numFmtId="0" fontId="4" fillId="8" borderId="29" xfId="0" applyNumberFormat="1" applyFont="1" applyFill="1" applyBorder="1"/>
    <x:xf numFmtId="0" fontId="4" fillId="8" borderId="30" xfId="0" applyNumberFormat="1" applyFont="1" applyFill="1" applyBorder="1"/>
    <x:xf numFmtId="0" fontId="4" fillId="8" borderId="28" xfId="0" applyNumberFormat="1" applyFont="1" applyFill="1" applyBorder="1" applyAlignment="1">
      <x:alignment wrapText="1"/>
    </x:xf>
    <x:xf numFmtId="0" fontId="4" fillId="8" borderId="29" xfId="0" applyNumberFormat="1" applyFont="1" applyFill="1" applyBorder="1" applyAlignment="1">
      <x:alignment wrapText="1"/>
    </x:xf>
    <x:xf numFmtId="0" fontId="4" fillId="8" borderId="30" xfId="0" applyNumberFormat="1" applyFont="1" applyFill="1" applyBorder="1" applyAlignment="1">
      <x:alignment wrapText="1"/>
    </x:xf>
    <x:xf numFmtId="0" fontId="4" fillId="8" borderId="28" xfId="0" applyNumberFormat="1" applyFont="1" applyFill="1" applyBorder="1" applyAlignment="1">
      <x:alignment horizontal="center" wrapText="1"/>
    </x:xf>
    <x:xf numFmtId="0" fontId="4" fillId="8" borderId="29" xfId="0" applyNumberFormat="1" applyFont="1" applyFill="1" applyBorder="1" applyAlignment="1">
      <x:alignment horizontal="center" wrapText="1"/>
    </x:xf>
    <x:xf numFmtId="0" fontId="4" fillId="8" borderId="30" xfId="0" applyNumberFormat="1" applyFont="1" applyFill="1" applyBorder="1" applyAlignment="1">
      <x:alignment horizontal="center" wrapText="1"/>
    </x:xf>
    <x:xf numFmtId="0" fontId="4" fillId="8" borderId="28" xfId="0" applyNumberFormat="1" applyFont="1" applyFill="1" applyBorder="1" applyAlignment="1">
      <x:alignment horizontal="center" vertical="center" wrapText="1"/>
    </x:xf>
    <x:xf numFmtId="0" fontId="4" fillId="8" borderId="29" xfId="0" applyNumberFormat="1" applyFont="1" applyFill="1" applyBorder="1" applyAlignment="1">
      <x:alignment horizontal="center" vertical="center" wrapText="1"/>
    </x:xf>
    <x:xf numFmtId="0" fontId="4" fillId="8" borderId="3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</x:cellXfs>
  <x:cellStyles count="2">
    <x:cellStyle name="Normal" xfId="1"/>
    <x:cellStyle name="常规" xfId="0"/>
  </x:cellStyles>
  <x:dxfs count="16"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d49ca1f9c149d1" /><Relationship Type="http://schemas.openxmlformats.org/officeDocument/2006/relationships/theme" Target="/xl/theme/theme1.xml" Id="Rac9d6f8e2b84487a" /><Relationship Type="http://schemas.openxmlformats.org/officeDocument/2006/relationships/sharedStrings" Target="/xl/sharedStrings.xml" Id="R3bfdbc4b80f24bab" /><Relationship Type="http://schemas.openxmlformats.org/officeDocument/2006/relationships/worksheet" Target="/xl/worksheets/sheet1.xml" Id="R936807b963124d0e" /><Relationship Type="http://schemas.openxmlformats.org/officeDocument/2006/relationships/worksheet" Target="/xl/worksheets/sheet2.xml" Id="R6173cabce4034cb1" /><Relationship Type="http://schemas.openxmlformats.org/officeDocument/2006/relationships/worksheet" Target="/xl/worksheets/sheet3.xml" Id="Rf5da46cb11f7432f" /><Relationship Type="http://schemas.openxmlformats.org/officeDocument/2006/relationships/worksheet" Target="/xl/worksheets/sheet4.xml" Id="Re010a325c6414d3a" /><Relationship Type="http://schemas.openxmlformats.org/officeDocument/2006/relationships/worksheet" Target="/xl/worksheets/sheet5.xml" Id="R941e71582c134f06" /><Relationship Type="http://schemas.openxmlformats.org/officeDocument/2006/relationships/worksheet" Target="/xl/worksheets/sheet6.xml" Id="R280bb73dbfd74d19" /><Relationship Type="http://schemas.openxmlformats.org/officeDocument/2006/relationships/worksheet" Target="/xl/worksheets/sheet7.xml" Id="R3d3c89ce0ebe42f2" /><Relationship Type="http://schemas.openxmlformats.org/officeDocument/2006/relationships/worksheet" Target="/xl/worksheets/sheet8.xml" Id="Rebc8facaf1bf4558" /><Relationship Type="http://schemas.openxmlformats.org/officeDocument/2006/relationships/worksheet" Target="/xl/worksheets/sheet9.xml" Id="R17d6a9031f1a4058" /><Relationship Type="http://schemas.openxmlformats.org/officeDocument/2006/relationships/worksheet" Target="/xl/worksheets/sheet10.xml" Id="R55710c9b78de4921" /></Relationships>
</file>

<file path=xl/tables/table1.xml><?xml version="1.0" encoding="utf-8"?>
<x:table xmlns:x="http://schemas.openxmlformats.org/spreadsheetml/2006/main" id="1" name="Stage08EntityTable" displayName="Stage08EntityTable" ref="A4:T49">
  <x:tableColumns count="20">
    <x:tableColumn id="1" name="entity_id"/>
    <x:tableColumn id="2" name="upstream_party_id"/>
    <x:tableColumn id="3" name="canonical_name"/>
    <x:tableColumn id="4" name="primary_source_name"/>
    <x:tableColumn id="5" name="entity_type"/>
    <x:tableColumn id="6" name="entity_scope"/>
    <x:tableColumn id="7" name="pevc_status"/>
    <x:tableColumn id="8" name="pevc_role"/>
    <x:tableColumn id="9" name="direct_shareholder_flag"/>
    <x:tableColumn id="10" name="historical_holder_flag"/>
    <x:tableColumn id="11" name="first_entry_event_id"/>
    <x:tableColumn id="12" name="last_exit_event_id"/>
    <x:tableColumn id="13" name="current_or_final_status"/>
    <x:tableColumn id="14" name="judgment_basis"/>
    <x:tableColumn id="15" name="evidence_ids"/>
    <x:tableColumn id="16" name="confidence"/>
    <x:tableColumn id="17" name="pdf_pages"/>
    <x:tableColumn id="18" name="printed_pages"/>
    <x:tableColumn id="19" name="review_decision"/>
    <x:tableColumn id="20" name="reviewer_note"/>
  </x:tableColumns>
  <x:tableStyleInfo name="TableStyleMedium2" showRowStripes="1"/>
</x:table>
</file>

<file path=xl/tables/table2.xml><?xml version="1.0" encoding="utf-8"?>
<x:table xmlns:x="http://schemas.openxmlformats.org/spreadsheetml/2006/main" id="2" name="Stage08NameMapTable" displayName="Stage08NameMapTable" ref="A4:L51">
  <x:tableColumns count="12">
    <x:tableColumn id="1" name="name_record_id"/>
    <x:tableColumn id="2" name="entity_id"/>
    <x:tableColumn id="3" name="raw_name"/>
    <x:tableColumn id="4" name="normalized_name"/>
    <x:tableColumn id="5" name="canonical_name"/>
    <x:tableColumn id="6" name="name_relation"/>
    <x:tableColumn id="7" name="merge_flag"/>
    <x:tableColumn id="8" name="merge_basis"/>
    <x:tableColumn id="9" name="evidence_id"/>
    <x:tableColumn id="10" name="confidence"/>
    <x:tableColumn id="11" name="review_decision"/>
    <x:tableColumn id="12" name="review_note"/>
  </x:tableColumns>
  <x:tableStyleInfo name="TableStyleMedium2" showRowStripes="1"/>
</x:table>
</file>

<file path=xl/tables/table3.xml><?xml version="1.0" encoding="utf-8"?>
<x:table xmlns:x="http://schemas.openxmlformats.org/spreadsheetml/2006/main" id="3" name="Stage08InvestmentTable" displayName="Stage08InvestmentTable" ref="A4:Z37">
  <x:tableColumns count="26">
    <x:tableColumn id="1" name="investment_record_id"/>
    <x:tableColumn id="2" name="event_id"/>
    <x:tableColumn id="3" name="event_date_raw"/>
    <x:tableColumn id="4" name="investor_entity_id"/>
    <x:tableColumn id="5" name="investor_name"/>
    <x:tableColumn id="6" name="legal_position"/>
    <x:tableColumn id="7" name="investor_role"/>
    <x:tableColumn id="8" name="counterparty_entity_id"/>
    <x:tableColumn id="9" name="counterparty_name"/>
    <x:tableColumn id="10" name="investment_level"/>
    <x:tableColumn id="11" name="entry_method"/>
    <x:tableColumn id="12" name="investment_stage"/>
    <x:tableColumn id="13" name="transaction_leg"/>
    <x:tableColumn id="14" name="shares_or_capital_value"/>
    <x:tableColumn id="15" name="value_unit"/>
    <x:tableColumn id="16" name="cash_or_consideration_value"/>
    <x:tableColumn id="17" name="consideration_unit"/>
    <x:tableColumn id="18" name="value_type"/>
    <x:tableColumn id="19" name="actual_investment_amount_disclosed"/>
    <x:tableColumn id="20" name="stage07_validation_id"/>
    <x:tableColumn id="21" name="pdf_pages"/>
    <x:tableColumn id="22" name="printed_pages"/>
    <x:tableColumn id="23" name="evidence_ids"/>
    <x:tableColumn id="24" name="original_excerpt"/>
    <x:tableColumn id="25" name="upstream_downstream_relation"/>
    <x:tableColumn id="26" name="review_status"/>
  </x:tableColumns>
  <x:tableStyleInfo name="TableStyleMedium2" showRowStripes="1"/>
</x:table>
</file>

<file path=xl/tables/table4.xml><?xml version="1.0" encoding="utf-8"?>
<x:table xmlns:x="http://schemas.openxmlformats.org/spreadsheetml/2006/main" id="4" name="Stage08PathEdgeTable" displayName="Stage08PathEdgeTable" ref="A4:U69">
  <x:tableColumns count="21">
    <x:tableColumn id="1" name="path_id"/>
    <x:tableColumn id="2" name="edge_id"/>
    <x:tableColumn id="3" name="edge_sequence"/>
    <x:tableColumn id="4" name="upstream_entity_id"/>
    <x:tableColumn id="5" name="upstream_name"/>
    <x:tableColumn id="6" name="relationship_type"/>
    <x:tableColumn id="7" name="downstream_entity_id"/>
    <x:tableColumn id="8" name="downstream_name"/>
    <x:tableColumn id="9" name="path_forming_flag"/>
    <x:tableColumn id="10" name="path_nature"/>
    <x:tableColumn id="11" name="direct_or_indirect"/>
    <x:tableColumn id="12" name="event_id"/>
    <x:tableColumn id="13" name="valid_from_event_id"/>
    <x:tableColumn id="14" name="valid_to_event_id"/>
    <x:tableColumn id="15" name="relationship_ratio_disclosed"/>
    <x:tableColumn id="16" name="relationship_ratio_value"/>
    <x:tableColumn id="17" name="evidence_id"/>
    <x:tableColumn id="18" name="pdf_pages"/>
    <x:tableColumn id="19" name="printed_pages"/>
    <x:tableColumn id="20" name="confidence"/>
    <x:tableColumn id="21" name="review_status"/>
  </x:tableColumns>
  <x:tableStyleInfo name="TableStyleMedium2" showRowStripes="1"/>
</x:table>
</file>

<file path=xl/tables/table5.xml><?xml version="1.0" encoding="utf-8"?>
<x:table xmlns:x="http://schemas.openxmlformats.org/spreadsheetml/2006/main" id="5" name="Stage08EvidenceTable" displayName="Stage08EvidenceTable" ref="A4:M27">
  <x:tableColumns count="13">
    <x:tableColumn id="1" name="evidence_id"/>
    <x:tableColumn id="2" name="evidence_object_type"/>
    <x:tableColumn id="3" name="evidence_object_id"/>
    <x:tableColumn id="4" name="pdf_page"/>
    <x:tableColumn id="5" name="printed_page"/>
    <x:tableColumn id="6" name="chapter_section"/>
    <x:tableColumn id="7" name="original_quote"/>
    <x:tableColumn id="8" name="context_note"/>
    <x:tableColumn id="9" name="evidence_level"/>
    <x:tableColumn id="10" name="supported_field"/>
    <x:tableColumn id="11" name="source_event_id"/>
    <x:tableColumn id="12" name="source_file"/>
    <x:tableColumn id="13" name="manual_verified_flag"/>
  </x:tableColumns>
  <x:tableStyleInfo name="TableStyleMedium2" showRowStripes="1"/>
</x:table>
</file>

<file path=xl/tables/table6.xml><?xml version="1.0" encoding="utf-8"?>
<x:table xmlns:x="http://schemas.openxmlformats.org/spreadsheetml/2006/main" id="6" name="Stage08ReviewTable" displayName="Stage08ReviewTable" ref="A4:K18">
  <x:tableColumns count="11">
    <x:tableColumn id="1" name="review_id"/>
    <x:tableColumn id="2" name="object_type"/>
    <x:tableColumn id="3" name="object_id"/>
    <x:tableColumn id="4" name="issue_code"/>
    <x:tableColumn id="5" name="issue_description"/>
    <x:tableColumn id="6" name="conflicting_or_supporting_evidence_ids"/>
    <x:tableColumn id="7" name="missing_information"/>
    <x:tableColumn id="8" name="proposed_action"/>
    <x:tableColumn id="9" name="reviewer_decision"/>
    <x:tableColumn id="10" name="reviewer_note"/>
    <x:tableColumn id="11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Stage08QATable" displayName="Stage08QATable" ref="A4:F15">
  <x:tableColumns count="6">
    <x:tableColumn id="1" name="check_id"/>
    <x:tableColumn id="2" name="check_description"/>
    <x:tableColumn id="3" name="check_logic"/>
    <x:tableColumn id="4" name="result"/>
    <x:tableColumn id="5" name="details"/>
    <x:tableColumn id="6" name="acceptance_status"/>
  </x:tableColumns>
  <x:tableStyleInfo name="TableStyleMedium2" showRowStripes="1"/>
</x:table>
</file>

<file path=xl/tables/table8.xml><?xml version="1.0" encoding="utf-8"?>
<x:table xmlns:x="http://schemas.openxmlformats.org/spreadsheetml/2006/main" id="8" name="Stage08FinalIdentificationTable" displayName="Stage08FinalIdentificationTable" ref="A6:T51" headerRowCount="1">
  <x:tableColumns count="20">
    <x:tableColumn id="1" name="final_record_id"/>
    <x:tableColumn id="2" name="entity_id"/>
    <x:tableColumn id="3" name="canonical_name"/>
    <x:tableColumn id="4" name="entity_type"/>
    <x:tableColumn id="5" name="pevc_status"/>
    <x:tableColumn id="6" name="final_inclusion"/>
    <x:tableColumn id="7" name="pevc_role"/>
    <x:tableColumn id="8" name="direct_shareholder_flag"/>
    <x:tableColumn id="9" name="first_entry_event_id"/>
    <x:tableColumn id="10" name="last_exit_event_id"/>
    <x:tableColumn id="11" name="current_or_final_status"/>
    <x:tableColumn id="12" name="investment_event_ids"/>
    <x:tableColumn id="13" name="entry_and_exit_methods"/>
    <x:tableColumn id="14" name="path_or_relation_summary"/>
    <x:tableColumn id="15" name="evidence_ids"/>
    <x:tableColumn id="16" name="pdf_pages"/>
    <x:tableColumn id="17" name="printed_pages"/>
    <x:tableColumn id="18" name="confidence"/>
    <x:tableColumn id="19" name="final_review_conclusion"/>
    <x:tableColumn id="20" name="remaining_unknown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d55fbd811844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33351670054e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97bd80aee940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8342e5dde240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f35b4a65674a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f97b838df64e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436c98333b4f9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d20114fa6d50418f" /></Relationships>
</file>

<file path=xl/worksheets/sheet1.xml><?xml version="1.0" encoding="utf-8"?>
<x:worksheet xmlns:x="http://schemas.openxmlformats.org/spreadsheetml/2006/main">
  <x:sheetFormatPr defaultRowHeight="14"/>
  <x:cols>
    <x:col min="1" max="1" width="14" customWidth="1"/>
    <x:col min="2" max="2" width="34" customWidth="1"/>
    <x:col min="3" max="3" width="14" customWidth="1"/>
    <x:col min="4" max="4" width="42" customWidth="1"/>
    <x:col min="5" max="5" width="16" customWidth="1"/>
    <x:col min="6" max="6" width="25" customWidth="1"/>
    <x:col min="7" max="7" width="14" customWidth="1"/>
    <x:col min="8" max="8" width="28" customWidth="1"/>
  </x:cols>
  <x:sheetData>
    <x:row r="1" ht="20" customHeight="1">
      <x:c r="A1" s="37" t="str">
        <x:v>阶段八：PE/VC主体及投资路径识别（最终验收版）</x:v>
      </x:c>
      <x:c r="B1" s="37"/>
      <x:c r="C1" s="37"/>
      <x:c r="D1" s="37"/>
      <x:c r="E1" s="37"/>
      <x:c r="F1" s="37"/>
      <x:c r="G1" s="37"/>
      <x:c r="H1" s="37"/>
    </x:row>
    <x:row r="2" ht="24" customHeight="1">
      <x:c r="A2" s="38" t="str">
        <x:v>本工作簿已完成用户复核与审查闭环：主体判断、投资事件、路径边和证据链均已固化；未披露事项继续保持未知，不进行推算。</x:v>
      </x:c>
      <x:c r="B2" s="38"/>
      <x:c r="C2" s="38"/>
      <x:c r="D2" s="38"/>
      <x:c r="E2" s="38"/>
      <x:c r="F2" s="38"/>
      <x:c r="G2" s="38"/>
      <x:c r="H2" s="38"/>
    </x:row>
    <x:row r="4">
      <x:c r="A4" s="10" t="s">
        <x:v>0</x:v>
      </x:c>
      <x:c r="B4" s="2" t="s">
        <x:v>1</x:v>
      </x:c>
      <x:c r="C4" s="10" t="s">
        <x:v>2</x:v>
      </x:c>
      <x:c r="D4" s="2" t="str">
        <x:v>FINAL_APPROVED</x:v>
      </x:c>
      <x:c r="E4" s="10" t="s">
        <x:v>3</x:v>
      </x:c>
      <x:c r="F4" s="2" t="s">
        <x:v>4</x:v>
      </x:c>
      <x:c r="G4" s="10" t="s">
        <x:v>5</x:v>
      </x:c>
      <x:c r="H4" s="3" t="s">
        <x:v>6</x:v>
      </x:c>
    </x:row>
    <x:row r="5">
      <x:c r="A5" s="11" t="s">
        <x:v>7</x:v>
      </x:c>
      <x:c r="B5" s="5" t="s">
        <x:v>8</x:v>
      </x:c>
      <x:c r="C5" s="11" t="s">
        <x:v>9</x:v>
      </x:c>
      <x:c r="D5" s="5" t="s">
        <x:v>10</x:v>
      </x:c>
      <x:c r="E5" s="11" t="s">
        <x:v>11</x:v>
      </x:c>
      <x:c r="F5" s="5" t="s">
        <x:v>12</x:v>
      </x:c>
      <x:c r="G5" s="11" t="s">
        <x:v>13</x:v>
      </x:c>
      <x:c r="H5" s="6" t="s">
        <x:v>14</x:v>
      </x:c>
    </x:row>
    <x:row r="6" ht="23">
      <x:c r="A6" s="11" t="s">
        <x:v>15</x:v>
      </x:c>
      <x:c r="B6" s="5" t="s">
        <x:v>16</x:v>
      </x:c>
      <x:c r="C6" s="11" t="s">
        <x:v>17</x:v>
      </x:c>
      <x:c r="D6" s="5" t="s">
        <x:v>18</x:v>
      </x:c>
      <x:c r="E6" s="11" t="s">
        <x:v>19</x:v>
      </x:c>
      <x:c r="F6" s="5" t="s">
        <x:v>20</x:v>
      </x:c>
      <x:c r="G6" s="11" t="s">
        <x:v>21</x:v>
      </x:c>
      <x:c r="H6" s="6" t="s">
        <x:v>22</x:v>
      </x:c>
    </x:row>
    <x:row r="7">
      <x:c r="A7" s="11" t="s">
        <x:v>23</x:v>
      </x:c>
      <x:c r="B7" s="5" t="s">
        <x:v>24</x:v>
      </x:c>
      <x:c r="C7" s="11" t="s">
        <x:v>25</x:v>
      </x:c>
      <x:c r="D7" s="5" t="s">
        <x:v>26</x:v>
      </x:c>
      <x:c r="E7" s="11" t="s">
        <x:v>27</x:v>
      </x:c>
      <x:c r="F7" s="5" t="s">
        <x:v>28</x:v>
      </x:c>
      <x:c r="G7" s="11" t="s">
        <x:v>29</x:v>
      </x:c>
      <x:c r="H7" s="6" t="s">
        <x:v>30</x:v>
      </x:c>
    </x:row>
    <x:row r="8" ht="23">
      <x:c r="A8" s="12" t="s">
        <x:v>31</x:v>
      </x:c>
      <x:c r="B8" s="8" t="s">
        <x:v>32</x:v>
      </x:c>
      <x:c r="C8" s="12" t="str">
        <x:v>最终输出</x:v>
      </x:c>
      <x:c r="D8" s="8" t="str">
        <x:v>最终PE/VC识别表、合并JSON、校验脚本和GitHub精简提交包</x:v>
      </x:c>
      <x:c r="E8" s="12" t="s">
        <x:v>33</x:v>
      </x:c>
      <x:c r="F8" s="8" t="s">
        <x:v>34</x:v>
      </x:c>
      <x:c r="G8" s="12" t="str">
        <x:v>验收结论</x:v>
      </x:c>
      <x:c r="H8" s="9" t="str">
        <x:v>阶段八已完成并通过验收</x:v>
      </x:c>
    </x:row>
    <x:row r="10">
      <x:c r="A10" s="39" t="s">
        <x:v>35</x:v>
      </x:c>
      <x:c r="B10" s="40"/>
      <x:c r="C10" s="40"/>
      <x:c r="D10" s="40"/>
      <x:c r="E10" s="40"/>
      <x:c r="F10" s="40"/>
      <x:c r="G10" s="40"/>
      <x:c r="H10" s="41"/>
    </x:row>
    <x:row r="11">
      <x:c r="A11" s="16" t="s">
        <x:v>36</x:v>
      </x:c>
      <x:c r="B11" s="18" t="n">
        <x:f>COUNTA('01_主体主表'!A5:A80)</x:f>
        <x:v>45</x:v>
      </x:c>
      <x:c r="C11" s="17" t="s">
        <x:v>37</x:v>
      </x:c>
      <x:c r="D11" s="18" t="n">
        <x:f>COUNTIF('01_主体主表'!G5:G80,"CONFIRMED")</x:f>
        <x:v>12</x:v>
      </x:c>
      <x:c r="E11" s="17" t="s">
        <x:v>38</x:v>
      </x:c>
      <x:c r="F11" s="18" t="n">
        <x:f>COUNTIF('01_主体主表'!G5:G80,"CANDIDATE")</x:f>
        <x:v>6</x:v>
      </x:c>
      <x:c r="G11" s="17" t="s">
        <x:v>39</x:v>
      </x:c>
      <x:c r="H11" s="18" t="n">
        <x:f>COUNTIF('01_主体主表'!G5:G80,"RELATED")</x:f>
        <x:v>8</x:v>
      </x:c>
    </x:row>
    <x:row r="12">
      <x:c r="A12" s="16" t="s">
        <x:v>40</x:v>
      </x:c>
      <x:c r="B12" s="18" t="n">
        <x:f>COUNTIF('01_主体主表'!G5:G80,"EXCLUDED")</x:f>
        <x:v>17</x:v>
      </x:c>
      <x:c r="C12" s="17" t="s">
        <x:v>41</x:v>
      </x:c>
      <x:c r="D12" s="18" t="n">
        <x:f>COUNTIF('01_主体主表'!G5:G80,"UNRESOLVED")</x:f>
        <x:v>2</x:v>
      </x:c>
      <x:c r="E12" s="17" t="s">
        <x:v>42</x:v>
      </x:c>
      <x:c r="F12" s="18" t="n">
        <x:f>COUNTA('03_投资事件'!A5:A100)</x:f>
        <x:v>33</x:v>
      </x:c>
      <x:c r="G12" s="17" t="s">
        <x:v>43</x:v>
      </x:c>
      <x:c r="H12" s="18" t="n">
        <x:f>COUNTA('04_投资路径边'!B5:B150)</x:f>
        <x:v>65</x:v>
      </x:c>
    </x:row>
    <x:row r="13">
      <x:c r="A13" s="16" t="s">
        <x:v>44</x:v>
      </x:c>
      <x:c r="B13" s="18" t="n">
        <x:f>COUNTA('06_待人工复核'!A5:A100)</x:f>
        <x:v>14</x:v>
      </x:c>
      <x:c r="C13" s="17" t="s">
        <x:v>45</x:v>
      </x:c>
      <x:c r="D13" s="18" t="n">
        <x:f>COUNTIF('06_待人工复核'!K5:K100,"未关闭")</x:f>
        <x:v>0</x:v>
      </x:c>
      <x:c r="E13" s="17" t="s">
        <x:v>46</x:v>
      </x:c>
      <x:c r="F13" s="19" t="str">
        <x:v>FINAL_APPROVED</x:v>
      </x:c>
      <x:c r="G13" s="18"/>
      <x:c r="H13" s="18"/>
    </x:row>
    <x:row r="15">
      <x:c r="A15" s="39" t="s">
        <x:v>47</x:v>
      </x:c>
      <x:c r="B15" s="40"/>
      <x:c r="C15" s="40"/>
      <x:c r="D15" s="40"/>
      <x:c r="E15" s="40"/>
      <x:c r="F15" s="40"/>
      <x:c r="G15" s="40"/>
      <x:c r="H15" s="41"/>
    </x:row>
    <x:row r="16" ht="23">
      <x:c r="A16" s="10" t="s">
        <x:v>48</x:v>
      </x:c>
      <x:c r="B16" s="2" t="s">
        <x:v>49</x:v>
      </x:c>
      <x:c r="C16" s="10" t="s">
        <x:v>50</x:v>
      </x:c>
      <x:c r="D16" s="2" t="s">
        <x:v>51</x:v>
      </x:c>
      <x:c r="E16" s="2"/>
      <x:c r="F16" s="2"/>
      <x:c r="G16" s="2"/>
      <x:c r="H16" s="3"/>
    </x:row>
    <x:row r="17" ht="23">
      <x:c r="A17" s="11" t="s">
        <x:v>52</x:v>
      </x:c>
      <x:c r="B17" s="5" t="s">
        <x:v>53</x:v>
      </x:c>
      <x:c r="C17" s="11" t="s">
        <x:v>54</x:v>
      </x:c>
      <x:c r="D17" s="5" t="s">
        <x:v>55</x:v>
      </x:c>
      <x:c r="E17" s="5"/>
      <x:c r="F17" s="5"/>
      <x:c r="G17" s="5"/>
      <x:c r="H17" s="6"/>
    </x:row>
    <x:row r="18" ht="23">
      <x:c r="A18" s="11" t="s">
        <x:v>56</x:v>
      </x:c>
      <x:c r="B18" s="5" t="s">
        <x:v>57</x:v>
      </x:c>
      <x:c r="C18" s="11" t="s">
        <x:v>54</x:v>
      </x:c>
      <x:c r="D18" s="5" t="s">
        <x:v>58</x:v>
      </x:c>
      <x:c r="E18" s="5"/>
      <x:c r="F18" s="5"/>
      <x:c r="G18" s="5"/>
      <x:c r="H18" s="6"/>
    </x:row>
    <x:row r="19" ht="23">
      <x:c r="A19" s="12" t="s">
        <x:v>59</x:v>
      </x:c>
      <x:c r="B19" s="8" t="s">
        <x:v>60</x:v>
      </x:c>
      <x:c r="C19" s="12" t="s">
        <x:v>61</x:v>
      </x:c>
      <x:c r="D19" s="8" t="s">
        <x:v>62</x:v>
      </x:c>
      <x:c r="E19" s="8"/>
      <x:c r="F19" s="8"/>
      <x:c r="G19" s="8"/>
      <x:c r="H19" s="9"/>
    </x:row>
  </x:sheetData>
  <x:mergeCells>
    <x:mergeCell ref="A1:H1"/>
    <x:mergeCell ref="A2:H2"/>
    <x:mergeCell ref="A10:H10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2" width="13" customWidth="1"/>
    <x:col min="3" max="3" width="34" customWidth="1"/>
    <x:col min="4" max="4" width="22" customWidth="1"/>
    <x:col min="5" max="5" width="12" customWidth="1"/>
    <x:col min="6" max="6" width="16" customWidth="1"/>
    <x:col min="7" max="7" width="14" customWidth="1"/>
    <x:col min="8" max="8" width="24" customWidth="1"/>
    <x:col min="9" max="10" width="13" customWidth="1"/>
    <x:col min="11" max="12" width="15" customWidth="1"/>
    <x:col min="13" max="13" width="18" customWidth="1"/>
    <x:col min="14" max="14" width="42" customWidth="1"/>
    <x:col min="15" max="15" width="24" customWidth="1"/>
    <x:col min="16" max="16" width="11" customWidth="1"/>
    <x:col min="17" max="18" width="14" customWidth="1"/>
    <x:col min="19" max="19" width="16" customWidth="1"/>
    <x:col min="20" max="20" width="32" customWidth="1"/>
  </x:cols>
  <x:sheetData>
    <x:row r="1" ht="12" customHeight="1">
      <x:c r="A1" s="37" t="s">
        <x:v>63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</x:row>
    <x:row r="2" ht="24" customHeight="1">
      <x:c r="A2" s="38" t="s">
        <x:v>64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</x:row>
    <x:row r="4" ht="28" customHeight="1">
      <x:c r="A4" s="13" t="s">
        <x:v>65</x:v>
      </x:c>
      <x:c r="B4" s="14" t="s">
        <x:v>66</x:v>
      </x:c>
      <x:c r="C4" s="14" t="s">
        <x:v>67</x:v>
      </x:c>
      <x:c r="D4" s="14" t="s">
        <x:v>68</x:v>
      </x:c>
      <x:c r="E4" s="14" t="s">
        <x:v>69</x:v>
      </x:c>
      <x:c r="F4" s="14" t="s">
        <x:v>70</x:v>
      </x:c>
      <x:c r="G4" s="14" t="s">
        <x:v>71</x:v>
      </x:c>
      <x:c r="H4" s="14" t="s">
        <x:v>72</x:v>
      </x:c>
      <x:c r="I4" s="14" t="s">
        <x:v>73</x:v>
      </x:c>
      <x:c r="J4" s="14" t="s">
        <x:v>74</x:v>
      </x:c>
      <x:c r="K4" s="14" t="s">
        <x:v>75</x:v>
      </x:c>
      <x:c r="L4" s="14" t="s">
        <x:v>76</x:v>
      </x:c>
      <x:c r="M4" s="14" t="s">
        <x:v>77</x:v>
      </x:c>
      <x:c r="N4" s="14" t="s">
        <x:v>78</x:v>
      </x:c>
      <x:c r="O4" s="14" t="s">
        <x:v>79</x:v>
      </x:c>
      <x:c r="P4" s="14" t="s">
        <x:v>80</x:v>
      </x:c>
      <x:c r="Q4" s="14" t="s">
        <x:v>81</x:v>
      </x:c>
      <x:c r="R4" s="14" t="s">
        <x:v>82</x:v>
      </x:c>
      <x:c r="S4" s="14" t="s">
        <x:v>83</x:v>
      </x:c>
      <x:c r="T4" s="15" t="s">
        <x:v>84</x:v>
      </x:c>
    </x:row>
    <x:row r="5">
      <x:c r="A5" s="1" t="s">
        <x:v>85</x:v>
      </x:c>
      <x:c r="B5" s="2"/>
      <x:c r="C5" s="2" t="s">
        <x:v>86</x:v>
      </x:c>
      <x:c r="D5" s="2" t="s">
        <x:v>87</x:v>
      </x:c>
      <x:c r="E5" s="2" t="s">
        <x:v>88</x:v>
      </x:c>
      <x:c r="F5" s="2" t="s">
        <x:v>88</x:v>
      </x:c>
      <x:c r="G5" s="2" t="s">
        <x:v>40</x:v>
      </x:c>
      <x:c r="H5" s="2" t="s">
        <x:v>89</x:v>
      </x:c>
      <x:c r="I5" s="2" t="s">
        <x:v>90</x:v>
      </x:c>
      <x:c r="J5" s="2" t="s">
        <x:v>90</x:v>
      </x:c>
      <x:c r="K5" s="2"/>
      <x:c r="L5" s="2"/>
      <x:c r="M5" s="2" t="s">
        <x:v>91</x:v>
      </x:c>
      <x:c r="N5" s="2" t="s">
        <x:v>92</x:v>
      </x:c>
      <x:c r="O5" s="2" t="s">
        <x:v>93</x:v>
      </x:c>
      <x:c r="P5" s="2" t="s">
        <x:v>94</x:v>
      </x:c>
      <x:c r="Q5" s="2" t="s">
        <x:v>95</x:v>
      </x:c>
      <x:c r="R5" s="2" t="s">
        <x:v>96</x:v>
      </x:c>
      <x:c r="S5" s="20" t="str">
        <x:v>确认通过</x:v>
      </x:c>
      <x:c r="T5" s="22" t="str">
        <x:v>用户确认排除PE/VC识别范围；如属交易对手或产业投资者，仍保留事件记录。</x:v>
      </x:c>
    </x:row>
    <x:row r="6">
      <x:c r="A6" s="4" t="s">
        <x:v>97</x:v>
      </x:c>
      <x:c r="B6" s="5" t="s">
        <x:v>98</x:v>
      </x:c>
      <x:c r="C6" s="5" t="s">
        <x:v>99</x:v>
      </x:c>
      <x:c r="D6" s="5" t="s">
        <x:v>100</x:v>
      </x:c>
      <x:c r="E6" s="5" t="s">
        <x:v>101</x:v>
      </x:c>
      <x:c r="F6" s="5" t="s">
        <x:v>102</x:v>
      </x:c>
      <x:c r="G6" s="5" t="s">
        <x:v>40</x:v>
      </x:c>
      <x:c r="H6" s="5" t="s">
        <x:v>103</x:v>
      </x:c>
      <x:c r="I6" s="5" t="s">
        <x:v>104</x:v>
      </x:c>
      <x:c r="J6" s="5" t="s">
        <x:v>105</x:v>
      </x:c>
      <x:c r="K6" s="5" t="s">
        <x:v>106</x:v>
      </x:c>
      <x:c r="L6" s="5" t="s">
        <x:v>107</x:v>
      </x:c>
      <x:c r="M6" s="5" t="s">
        <x:v>108</x:v>
      </x:c>
      <x:c r="N6" s="5" t="s">
        <x:v>109</x:v>
      </x:c>
      <x:c r="O6" s="5" t="s">
        <x:v>110</x:v>
      </x:c>
      <x:c r="P6" s="5" t="s">
        <x:v>94</x:v>
      </x:c>
      <x:c r="Q6" s="5" t="s">
        <x:v>111</x:v>
      </x:c>
      <x:c r="R6" s="5" t="s">
        <x:v>112</x:v>
      </x:c>
      <x:c r="S6" s="19" t="str">
        <x:v>确认通过</x:v>
      </x:c>
      <x:c r="T6" s="23" t="str">
        <x:v>用户确认排除PE/VC识别范围；如属交易对手或产业投资者，仍保留事件记录。</x:v>
      </x:c>
    </x:row>
    <x:row r="7">
      <x:c r="A7" s="4" t="s">
        <x:v>113</x:v>
      </x:c>
      <x:c r="B7" s="5" t="s">
        <x:v>114</x:v>
      </x:c>
      <x:c r="C7" s="5" t="s">
        <x:v>115</x:v>
      </x:c>
      <x:c r="D7" s="5" t="s">
        <x:v>115</x:v>
      </x:c>
      <x:c r="E7" s="5" t="s">
        <x:v>116</x:v>
      </x:c>
      <x:c r="F7" s="5" t="s">
        <x:v>102</x:v>
      </x:c>
      <x:c r="G7" s="5" t="s">
        <x:v>40</x:v>
      </x:c>
      <x:c r="H7" s="5" t="s">
        <x:v>117</x:v>
      </x:c>
      <x:c r="I7" s="5" t="s">
        <x:v>105</x:v>
      </x:c>
      <x:c r="J7" s="5" t="s">
        <x:v>105</x:v>
      </x:c>
      <x:c r="K7" s="5" t="s">
        <x:v>106</x:v>
      </x:c>
      <x:c r="L7" s="5"/>
      <x:c r="M7" s="5" t="s">
        <x:v>118</x:v>
      </x:c>
      <x:c r="N7" s="5" t="s">
        <x:v>119</x:v>
      </x:c>
      <x:c r="O7" s="5" t="s">
        <x:v>120</x:v>
      </x:c>
      <x:c r="P7" s="5" t="s">
        <x:v>94</x:v>
      </x:c>
      <x:c r="Q7" s="5" t="s">
        <x:v>111</x:v>
      </x:c>
      <x:c r="R7" s="5" t="s">
        <x:v>112</x:v>
      </x:c>
      <x:c r="S7" s="19" t="str">
        <x:v>确认通过</x:v>
      </x:c>
      <x:c r="T7" s="23" t="str">
        <x:v>用户确认排除PE/VC识别范围；如属交易对手或产业投资者，仍保留事件记录。</x:v>
      </x:c>
    </x:row>
    <x:row r="8">
      <x:c r="A8" s="4" t="s">
        <x:v>121</x:v>
      </x:c>
      <x:c r="B8" s="5" t="s">
        <x:v>122</x:v>
      </x:c>
      <x:c r="C8" s="5" t="s">
        <x:v>123</x:v>
      </x:c>
      <x:c r="D8" s="5" t="s">
        <x:v>123</x:v>
      </x:c>
      <x:c r="E8" s="5" t="s">
        <x:v>116</x:v>
      </x:c>
      <x:c r="F8" s="5" t="s">
        <x:v>102</x:v>
      </x:c>
      <x:c r="G8" s="5" t="s">
        <x:v>40</x:v>
      </x:c>
      <x:c r="H8" s="5" t="s">
        <x:v>117</x:v>
      </x:c>
      <x:c r="I8" s="5" t="s">
        <x:v>105</x:v>
      </x:c>
      <x:c r="J8" s="5" t="s">
        <x:v>105</x:v>
      </x:c>
      <x:c r="K8" s="5" t="s">
        <x:v>107</x:v>
      </x:c>
      <x:c r="L8" s="5"/>
      <x:c r="M8" s="5" t="s">
        <x:v>118</x:v>
      </x:c>
      <x:c r="N8" s="5" t="s">
        <x:v>119</x:v>
      </x:c>
      <x:c r="O8" s="5" t="s">
        <x:v>120</x:v>
      </x:c>
      <x:c r="P8" s="5" t="s">
        <x:v>94</x:v>
      </x:c>
      <x:c r="Q8" s="5" t="s">
        <x:v>111</x:v>
      </x:c>
      <x:c r="R8" s="5" t="s">
        <x:v>112</x:v>
      </x:c>
      <x:c r="S8" s="19" t="str">
        <x:v>确认通过</x:v>
      </x:c>
      <x:c r="T8" s="23" t="str">
        <x:v>用户确认排除PE/VC识别范围；如属交易对手或产业投资者，仍保留事件记录。</x:v>
      </x:c>
    </x:row>
    <x:row r="9" ht="23">
      <x:c r="A9" s="4" t="s">
        <x:v>124</x:v>
      </x:c>
      <x:c r="B9" s="5" t="s">
        <x:v>125</x:v>
      </x:c>
      <x:c r="C9" s="5" t="s">
        <x:v>126</x:v>
      </x:c>
      <x:c r="D9" s="5" t="s">
        <x:v>127</x:v>
      </x:c>
      <x:c r="E9" s="5" t="s">
        <x:v>128</x:v>
      </x:c>
      <x:c r="F9" s="5" t="s">
        <x:v>102</x:v>
      </x:c>
      <x:c r="G9" s="5" t="s">
        <x:v>40</x:v>
      </x:c>
      <x:c r="H9" s="5" t="s">
        <x:v>129</x:v>
      </x:c>
      <x:c r="I9" s="5" t="s">
        <x:v>105</x:v>
      </x:c>
      <x:c r="J9" s="5" t="s">
        <x:v>105</x:v>
      </x:c>
      <x:c r="K9" s="5" t="s">
        <x:v>130</x:v>
      </x:c>
      <x:c r="L9" s="5" t="s">
        <x:v>131</x:v>
      </x:c>
      <x:c r="M9" s="5" t="s">
        <x:v>132</x:v>
      </x:c>
      <x:c r="N9" s="5" t="s">
        <x:v>133</x:v>
      </x:c>
      <x:c r="O9" s="5" t="s">
        <x:v>134</x:v>
      </x:c>
      <x:c r="P9" s="5" t="s">
        <x:v>135</x:v>
      </x:c>
      <x:c r="Q9" s="5" t="s">
        <x:v>136</x:v>
      </x:c>
      <x:c r="R9" s="5" t="s">
        <x:v>137</x:v>
      </x:c>
      <x:c r="S9" s="19" t="str">
        <x:v>确认通过</x:v>
      </x:c>
      <x:c r="T9" s="23" t="str">
        <x:v>用户确认排除PE/VC识别范围；如属交易对手或产业投资者，仍保留事件记录。</x:v>
      </x:c>
    </x:row>
    <x:row r="10">
      <x:c r="A10" s="4" t="s">
        <x:v>138</x:v>
      </x:c>
      <x:c r="B10" s="5" t="s">
        <x:v>139</x:v>
      </x:c>
      <x:c r="C10" s="5" t="s">
        <x:v>140</x:v>
      </x:c>
      <x:c r="D10" s="5" t="s">
        <x:v>141</x:v>
      </x:c>
      <x:c r="E10" s="5" t="s">
        <x:v>101</x:v>
      </x:c>
      <x:c r="F10" s="5" t="s">
        <x:v>102</x:v>
      </x:c>
      <x:c r="G10" s="5" t="s">
        <x:v>40</x:v>
      </x:c>
      <x:c r="H10" s="5" t="s">
        <x:v>142</x:v>
      </x:c>
      <x:c r="I10" s="5" t="s">
        <x:v>105</x:v>
      </x:c>
      <x:c r="J10" s="5" t="s">
        <x:v>105</x:v>
      </x:c>
      <x:c r="K10" s="5" t="s">
        <x:v>143</x:v>
      </x:c>
      <x:c r="L10" s="5"/>
      <x:c r="M10" s="5" t="s">
        <x:v>118</x:v>
      </x:c>
      <x:c r="N10" s="5" t="s">
        <x:v>144</x:v>
      </x:c>
      <x:c r="O10" s="5" t="s">
        <x:v>145</x:v>
      </x:c>
      <x:c r="P10" s="5" t="s">
        <x:v>94</x:v>
      </x:c>
      <x:c r="Q10" s="5" t="s">
        <x:v>146</x:v>
      </x:c>
      <x:c r="R10" s="5" t="s">
        <x:v>147</x:v>
      </x:c>
      <x:c r="S10" s="19" t="str">
        <x:v>确认通过</x:v>
      </x:c>
      <x:c r="T10" s="23" t="str">
        <x:v>用户确认排除PE/VC识别范围；如属交易对手或产业投资者，仍保留事件记录。</x:v>
      </x:c>
    </x:row>
    <x:row r="11">
      <x:c r="A11" s="4" t="s">
        <x:v>148</x:v>
      </x:c>
      <x:c r="B11" s="5" t="s">
        <x:v>149</x:v>
      </x:c>
      <x:c r="C11" s="5" t="s">
        <x:v>150</x:v>
      </x:c>
      <x:c r="D11" s="5" t="s">
        <x:v>151</x:v>
      </x:c>
      <x:c r="E11" s="5" t="s">
        <x:v>128</x:v>
      </x:c>
      <x:c r="F11" s="5" t="s">
        <x:v>152</x:v>
      </x:c>
      <x:c r="G11" s="5" t="s">
        <x:v>37</x:v>
      </x:c>
      <x:c r="H11" s="5" t="s">
        <x:v>153</x:v>
      </x:c>
      <x:c r="I11" s="5" t="s">
        <x:v>105</x:v>
      </x:c>
      <x:c r="J11" s="5" t="s">
        <x:v>105</x:v>
      </x:c>
      <x:c r="K11" s="5" t="s">
        <x:v>143</x:v>
      </x:c>
      <x:c r="L11" s="5"/>
      <x:c r="M11" s="5" t="s">
        <x:v>118</x:v>
      </x:c>
      <x:c r="N11" s="5" t="s">
        <x:v>154</x:v>
      </x:c>
      <x:c r="O11" s="5" t="s">
        <x:v>155</x:v>
      </x:c>
      <x:c r="P11" s="5" t="s">
        <x:v>94</x:v>
      </x:c>
      <x:c r="Q11" s="5" t="s">
        <x:v>156</x:v>
      </x:c>
      <x:c r="R11" s="5" t="s">
        <x:v>157</x:v>
      </x:c>
      <x:c r="S11" s="19" t="str">
        <x:v>确认通过</x:v>
      </x:c>
      <x:c r="T11" s="23" t="str">
        <x:v>用户确认主体性质及证据链，纳入PE/VC核心识别结果。</x:v>
      </x:c>
    </x:row>
    <x:row r="12" ht="23">
      <x:c r="A12" s="4" t="s">
        <x:v>158</x:v>
      </x:c>
      <x:c r="B12" s="5" t="s">
        <x:v>159</x:v>
      </x:c>
      <x:c r="C12" s="5" t="s">
        <x:v>160</x:v>
      </x:c>
      <x:c r="D12" s="5" t="s">
        <x:v>161</x:v>
      </x:c>
      <x:c r="E12" s="5" t="s">
        <x:v>128</x:v>
      </x:c>
      <x:c r="F12" s="5" t="s">
        <x:v>152</x:v>
      </x:c>
      <x:c r="G12" s="5" t="s">
        <x:v>37</x:v>
      </x:c>
      <x:c r="H12" s="5" t="s">
        <x:v>162</x:v>
      </x:c>
      <x:c r="I12" s="5" t="s">
        <x:v>105</x:v>
      </x:c>
      <x:c r="J12" s="5" t="s">
        <x:v>105</x:v>
      </x:c>
      <x:c r="K12" s="5" t="s">
        <x:v>143</x:v>
      </x:c>
      <x:c r="L12" s="5"/>
      <x:c r="M12" s="5" t="s">
        <x:v>118</x:v>
      </x:c>
      <x:c r="N12" s="5" t="s">
        <x:v>163</x:v>
      </x:c>
      <x:c r="O12" s="5" t="s">
        <x:v>145</x:v>
      </x:c>
      <x:c r="P12" s="5" t="s">
        <x:v>94</x:v>
      </x:c>
      <x:c r="Q12" s="5" t="s">
        <x:v>164</x:v>
      </x:c>
      <x:c r="R12" s="5" t="s">
        <x:v>165</x:v>
      </x:c>
      <x:c r="S12" s="19" t="str">
        <x:v>确认通过</x:v>
      </x:c>
      <x:c r="T12" s="23" t="str">
        <x:v>用户确认主体性质及证据链，纳入PE/VC核心识别结果。</x:v>
      </x:c>
    </x:row>
    <x:row r="13" ht="23">
      <x:c r="A13" s="4" t="s">
        <x:v>166</x:v>
      </x:c>
      <x:c r="B13" s="5" t="s">
        <x:v>167</x:v>
      </x:c>
      <x:c r="C13" s="5" t="s">
        <x:v>168</x:v>
      </x:c>
      <x:c r="D13" s="5" t="s">
        <x:v>169</x:v>
      </x:c>
      <x:c r="E13" s="5" t="s">
        <x:v>101</x:v>
      </x:c>
      <x:c r="F13" s="5" t="s">
        <x:v>152</x:v>
      </x:c>
      <x:c r="G13" s="5" t="s">
        <x:v>38</x:v>
      </x:c>
      <x:c r="H13" s="5" t="s">
        <x:v>170</x:v>
      </x:c>
      <x:c r="I13" s="5" t="s">
        <x:v>105</x:v>
      </x:c>
      <x:c r="J13" s="5" t="s">
        <x:v>105</x:v>
      </x:c>
      <x:c r="K13" s="5" t="s">
        <x:v>171</x:v>
      </x:c>
      <x:c r="L13" s="5"/>
      <x:c r="M13" s="5" t="s">
        <x:v>118</x:v>
      </x:c>
      <x:c r="N13" s="5" t="s">
        <x:v>172</x:v>
      </x:c>
      <x:c r="O13" s="5" t="s">
        <x:v>173</x:v>
      </x:c>
      <x:c r="P13" s="5" t="s">
        <x:v>135</x:v>
      </x:c>
      <x:c r="Q13" s="5" t="s">
        <x:v>174</x:v>
      </x:c>
      <x:c r="R13" s="5" t="s">
        <x:v>175</x:v>
      </x:c>
      <x:c r="S13" s="19" t="str">
        <x:v>确认通过</x:v>
      </x:c>
      <x:c r="T13" s="23" t="str">
        <x:v>用户确认维持CANDIDATE，不使用外部信息补充或升级判断。</x:v>
      </x:c>
    </x:row>
    <x:row r="14" ht="23">
      <x:c r="A14" s="4" t="s">
        <x:v>176</x:v>
      </x:c>
      <x:c r="B14" s="5" t="s">
        <x:v>177</x:v>
      </x:c>
      <x:c r="C14" s="5" t="s">
        <x:v>178</x:v>
      </x:c>
      <x:c r="D14" s="5" t="s">
        <x:v>179</x:v>
      </x:c>
      <x:c r="E14" s="5" t="s">
        <x:v>101</x:v>
      </x:c>
      <x:c r="F14" s="5" t="s">
        <x:v>152</x:v>
      </x:c>
      <x:c r="G14" s="5" t="s">
        <x:v>39</x:v>
      </x:c>
      <x:c r="H14" s="5" t="s">
        <x:v>180</x:v>
      </x:c>
      <x:c r="I14" s="5" t="s">
        <x:v>105</x:v>
      </x:c>
      <x:c r="J14" s="5" t="s">
        <x:v>105</x:v>
      </x:c>
      <x:c r="K14" s="5" t="s">
        <x:v>171</x:v>
      </x:c>
      <x:c r="L14" s="5" t="s">
        <x:v>181</x:v>
      </x:c>
      <x:c r="M14" s="5" t="s">
        <x:v>108</x:v>
      </x:c>
      <x:c r="N14" s="5" t="s">
        <x:v>182</x:v>
      </x:c>
      <x:c r="O14" s="5" t="s">
        <x:v>183</x:v>
      </x:c>
      <x:c r="P14" s="5" t="s">
        <x:v>94</x:v>
      </x:c>
      <x:c r="Q14" s="5" t="s">
        <x:v>184</x:v>
      </x:c>
      <x:c r="R14" s="5" t="s">
        <x:v>185</x:v>
      </x:c>
      <x:c r="S14" s="19" t="str">
        <x:v>确认通过</x:v>
      </x:c>
      <x:c r="T14" s="23" t="str">
        <x:v>用户确认仅作为PE/VC相关主体记录，不等同于发行人直接或间接投资主体。</x:v>
      </x:c>
    </x:row>
    <x:row r="15" ht="23">
      <x:c r="A15" s="4" t="s">
        <x:v>186</x:v>
      </x:c>
      <x:c r="B15" s="5" t="s">
        <x:v>187</x:v>
      </x:c>
      <x:c r="C15" s="5" t="s">
        <x:v>188</x:v>
      </x:c>
      <x:c r="D15" s="5" t="s">
        <x:v>189</x:v>
      </x:c>
      <x:c r="E15" s="5" t="s">
        <x:v>101</x:v>
      </x:c>
      <x:c r="F15" s="5" t="s">
        <x:v>152</x:v>
      </x:c>
      <x:c r="G15" s="5" t="s">
        <x:v>38</x:v>
      </x:c>
      <x:c r="H15" s="5" t="s">
        <x:v>170</x:v>
      </x:c>
      <x:c r="I15" s="5" t="s">
        <x:v>105</x:v>
      </x:c>
      <x:c r="J15" s="5" t="s">
        <x:v>105</x:v>
      </x:c>
      <x:c r="K15" s="5" t="s">
        <x:v>171</x:v>
      </x:c>
      <x:c r="L15" s="5"/>
      <x:c r="M15" s="5" t="s">
        <x:v>118</x:v>
      </x:c>
      <x:c r="N15" s="5" t="s">
        <x:v>190</x:v>
      </x:c>
      <x:c r="O15" s="5" t="s">
        <x:v>173</x:v>
      </x:c>
      <x:c r="P15" s="5" t="s">
        <x:v>135</x:v>
      </x:c>
      <x:c r="Q15" s="5" t="s">
        <x:v>174</x:v>
      </x:c>
      <x:c r="R15" s="5" t="s">
        <x:v>175</x:v>
      </x:c>
      <x:c r="S15" s="19" t="str">
        <x:v>确认通过</x:v>
      </x:c>
      <x:c r="T15" s="23" t="str">
        <x:v>用户确认维持CANDIDATE，不使用外部信息补充或升级判断。</x:v>
      </x:c>
    </x:row>
    <x:row r="16" ht="23">
      <x:c r="A16" s="4" t="s">
        <x:v>191</x:v>
      </x:c>
      <x:c r="B16" s="5" t="s">
        <x:v>192</x:v>
      </x:c>
      <x:c r="C16" s="5" t="s">
        <x:v>193</x:v>
      </x:c>
      <x:c r="D16" s="5" t="s">
        <x:v>194</x:v>
      </x:c>
      <x:c r="E16" s="5" t="s">
        <x:v>101</x:v>
      </x:c>
      <x:c r="F16" s="5" t="s">
        <x:v>152</x:v>
      </x:c>
      <x:c r="G16" s="5" t="s">
        <x:v>38</x:v>
      </x:c>
      <x:c r="H16" s="5" t="s">
        <x:v>170</x:v>
      </x:c>
      <x:c r="I16" s="5" t="s">
        <x:v>105</x:v>
      </x:c>
      <x:c r="J16" s="5" t="s">
        <x:v>105</x:v>
      </x:c>
      <x:c r="K16" s="5" t="s">
        <x:v>171</x:v>
      </x:c>
      <x:c r="L16" s="5"/>
      <x:c r="M16" s="5" t="s">
        <x:v>118</x:v>
      </x:c>
      <x:c r="N16" s="5" t="s">
        <x:v>195</x:v>
      </x:c>
      <x:c r="O16" s="5" t="s">
        <x:v>173</x:v>
      </x:c>
      <x:c r="P16" s="5" t="s">
        <x:v>135</x:v>
      </x:c>
      <x:c r="Q16" s="5" t="s">
        <x:v>174</x:v>
      </x:c>
      <x:c r="R16" s="5" t="s">
        <x:v>175</x:v>
      </x:c>
      <x:c r="S16" s="19" t="str">
        <x:v>确认通过</x:v>
      </x:c>
      <x:c r="T16" s="23" t="str">
        <x:v>用户确认维持CANDIDATE，不使用外部信息补充或升级判断。</x:v>
      </x:c>
    </x:row>
    <x:row r="17" ht="23">
      <x:c r="A17" s="4" t="s">
        <x:v>196</x:v>
      </x:c>
      <x:c r="B17" s="5" t="s">
        <x:v>197</x:v>
      </x:c>
      <x:c r="C17" s="5" t="s">
        <x:v>198</x:v>
      </x:c>
      <x:c r="D17" s="5" t="s">
        <x:v>199</x:v>
      </x:c>
      <x:c r="E17" s="5" t="s">
        <x:v>128</x:v>
      </x:c>
      <x:c r="F17" s="5" t="s">
        <x:v>152</x:v>
      </x:c>
      <x:c r="G17" s="5" t="s">
        <x:v>37</x:v>
      </x:c>
      <x:c r="H17" s="5" t="s">
        <x:v>200</x:v>
      </x:c>
      <x:c r="I17" s="5" t="s">
        <x:v>105</x:v>
      </x:c>
      <x:c r="J17" s="5" t="s">
        <x:v>105</x:v>
      </x:c>
      <x:c r="K17" s="5" t="s">
        <x:v>171</x:v>
      </x:c>
      <x:c r="L17" s="5"/>
      <x:c r="M17" s="5" t="s">
        <x:v>118</x:v>
      </x:c>
      <x:c r="N17" s="5" t="s">
        <x:v>201</x:v>
      </x:c>
      <x:c r="O17" s="5" t="s">
        <x:v>202</x:v>
      </x:c>
      <x:c r="P17" s="5" t="s">
        <x:v>94</x:v>
      </x:c>
      <x:c r="Q17" s="5" t="s">
        <x:v>203</x:v>
      </x:c>
      <x:c r="R17" s="5" t="s">
        <x:v>204</x:v>
      </x:c>
      <x:c r="S17" s="19" t="str">
        <x:v>确认通过</x:v>
      </x:c>
      <x:c r="T17" s="23" t="str">
        <x:v>用户确认主体性质及证据链，纳入PE/VC核心识别结果。</x:v>
      </x:c>
    </x:row>
    <x:row r="18">
      <x:c r="A18" s="4" t="s">
        <x:v>205</x:v>
      </x:c>
      <x:c r="B18" s="5" t="s">
        <x:v>206</x:v>
      </x:c>
      <x:c r="C18" s="5" t="s">
        <x:v>207</x:v>
      </x:c>
      <x:c r="D18" s="5" t="s">
        <x:v>208</x:v>
      </x:c>
      <x:c r="E18" s="5" t="s">
        <x:v>128</x:v>
      </x:c>
      <x:c r="F18" s="5" t="s">
        <x:v>152</x:v>
      </x:c>
      <x:c r="G18" s="5" t="s">
        <x:v>37</x:v>
      </x:c>
      <x:c r="H18" s="5" t="s">
        <x:v>209</x:v>
      </x:c>
      <x:c r="I18" s="5" t="s">
        <x:v>105</x:v>
      </x:c>
      <x:c r="J18" s="5" t="s">
        <x:v>105</x:v>
      </x:c>
      <x:c r="K18" s="5" t="s">
        <x:v>181</x:v>
      </x:c>
      <x:c r="L18" s="5"/>
      <x:c r="M18" s="5" t="s">
        <x:v>118</x:v>
      </x:c>
      <x:c r="N18" s="5" t="s">
        <x:v>210</x:v>
      </x:c>
      <x:c r="O18" s="5" t="s">
        <x:v>211</x:v>
      </x:c>
      <x:c r="P18" s="5" t="s">
        <x:v>94</x:v>
      </x:c>
      <x:c r="Q18" s="5" t="s">
        <x:v>212</x:v>
      </x:c>
      <x:c r="R18" s="5" t="s">
        <x:v>174</x:v>
      </x:c>
      <x:c r="S18" s="19" t="str">
        <x:v>确认通过</x:v>
      </x:c>
      <x:c r="T18" s="23" t="str">
        <x:v>用户确认主体性质及证据链，纳入PE/VC核心识别结果。</x:v>
      </x:c>
    </x:row>
    <x:row r="19" ht="23">
      <x:c r="A19" s="4" t="s">
        <x:v>213</x:v>
      </x:c>
      <x:c r="B19" s="5" t="s">
        <x:v>214</x:v>
      </x:c>
      <x:c r="C19" s="5" t="s">
        <x:v>215</x:v>
      </x:c>
      <x:c r="D19" s="5" t="s">
        <x:v>216</x:v>
      </x:c>
      <x:c r="E19" s="5" t="s">
        <x:v>128</x:v>
      </x:c>
      <x:c r="F19" s="5" t="s">
        <x:v>152</x:v>
      </x:c>
      <x:c r="G19" s="5" t="s">
        <x:v>37</x:v>
      </x:c>
      <x:c r="H19" s="5" t="s">
        <x:v>217</x:v>
      </x:c>
      <x:c r="I19" s="5" t="s">
        <x:v>105</x:v>
      </x:c>
      <x:c r="J19" s="5" t="s">
        <x:v>105</x:v>
      </x:c>
      <x:c r="K19" s="5" t="s">
        <x:v>218</x:v>
      </x:c>
      <x:c r="L19" s="5"/>
      <x:c r="M19" s="5" t="s">
        <x:v>118</x:v>
      </x:c>
      <x:c r="N19" s="5" t="s">
        <x:v>219</x:v>
      </x:c>
      <x:c r="O19" s="5" t="s">
        <x:v>220</x:v>
      </x:c>
      <x:c r="P19" s="5" t="s">
        <x:v>94</x:v>
      </x:c>
      <x:c r="Q19" s="5" t="s">
        <x:v>221</x:v>
      </x:c>
      <x:c r="R19" s="5" t="s">
        <x:v>222</x:v>
      </x:c>
      <x:c r="S19" s="19" t="str">
        <x:v>确认通过</x:v>
      </x:c>
      <x:c r="T19" s="23" t="str">
        <x:v>用户确认主体性质及证据链，纳入PE/VC核心识别结果。</x:v>
      </x:c>
    </x:row>
    <x:row r="20" ht="23">
      <x:c r="A20" s="4" t="s">
        <x:v>223</x:v>
      </x:c>
      <x:c r="B20" s="5" t="s">
        <x:v>224</x:v>
      </x:c>
      <x:c r="C20" s="5" t="s">
        <x:v>225</x:v>
      </x:c>
      <x:c r="D20" s="5" t="s">
        <x:v>226</x:v>
      </x:c>
      <x:c r="E20" s="5" t="s">
        <x:v>128</x:v>
      </x:c>
      <x:c r="F20" s="5" t="s">
        <x:v>152</x:v>
      </x:c>
      <x:c r="G20" s="5" t="s">
        <x:v>38</x:v>
      </x:c>
      <x:c r="H20" s="5" t="s">
        <x:v>227</x:v>
      </x:c>
      <x:c r="I20" s="5" t="s">
        <x:v>105</x:v>
      </x:c>
      <x:c r="J20" s="5" t="s">
        <x:v>105</x:v>
      </x:c>
      <x:c r="K20" s="5" t="s">
        <x:v>218</x:v>
      </x:c>
      <x:c r="L20" s="5"/>
      <x:c r="M20" s="5" t="s">
        <x:v>118</x:v>
      </x:c>
      <x:c r="N20" s="5" t="s">
        <x:v>228</x:v>
      </x:c>
      <x:c r="O20" s="5" t="s">
        <x:v>229</x:v>
      </x:c>
      <x:c r="P20" s="5" t="s">
        <x:v>135</x:v>
      </x:c>
      <x:c r="Q20" s="5" t="s">
        <x:v>230</x:v>
      </x:c>
      <x:c r="R20" s="5" t="s">
        <x:v>231</x:v>
      </x:c>
      <x:c r="S20" s="19" t="str">
        <x:v>确认通过</x:v>
      </x:c>
      <x:c r="T20" s="23" t="str">
        <x:v>用户确认维持CANDIDATE，不使用外部信息补充或升级判断。</x:v>
      </x:c>
    </x:row>
    <x:row r="21">
      <x:c r="A21" s="4" t="s">
        <x:v>232</x:v>
      </x:c>
      <x:c r="B21" s="5" t="s">
        <x:v>233</x:v>
      </x:c>
      <x:c r="C21" s="5" t="s">
        <x:v>234</x:v>
      </x:c>
      <x:c r="D21" s="5" t="s">
        <x:v>235</x:v>
      </x:c>
      <x:c r="E21" s="5" t="s">
        <x:v>128</x:v>
      </x:c>
      <x:c r="F21" s="5" t="s">
        <x:v>152</x:v>
      </x:c>
      <x:c r="G21" s="5" t="s">
        <x:v>37</x:v>
      </x:c>
      <x:c r="H21" s="5" t="s">
        <x:v>217</x:v>
      </x:c>
      <x:c r="I21" s="5" t="s">
        <x:v>105</x:v>
      </x:c>
      <x:c r="J21" s="5" t="s">
        <x:v>105</x:v>
      </x:c>
      <x:c r="K21" s="5" t="s">
        <x:v>218</x:v>
      </x:c>
      <x:c r="L21" s="5"/>
      <x:c r="M21" s="5" t="s">
        <x:v>118</x:v>
      </x:c>
      <x:c r="N21" s="5" t="s">
        <x:v>236</x:v>
      </x:c>
      <x:c r="O21" s="5" t="s">
        <x:v>220</x:v>
      </x:c>
      <x:c r="P21" s="5" t="s">
        <x:v>94</x:v>
      </x:c>
      <x:c r="Q21" s="5" t="s">
        <x:v>237</x:v>
      </x:c>
      <x:c r="R21" s="5" t="s">
        <x:v>238</x:v>
      </x:c>
      <x:c r="S21" s="19" t="str">
        <x:v>确认通过</x:v>
      </x:c>
      <x:c r="T21" s="23" t="str">
        <x:v>用户确认主体性质及证据链，纳入PE/VC核心识别结果。</x:v>
      </x:c>
    </x:row>
    <x:row r="22">
      <x:c r="A22" s="4" t="s">
        <x:v>239</x:v>
      </x:c>
      <x:c r="B22" s="5" t="s">
        <x:v>240</x:v>
      </x:c>
      <x:c r="C22" s="5" t="s">
        <x:v>241</x:v>
      </x:c>
      <x:c r="D22" s="5" t="s">
        <x:v>241</x:v>
      </x:c>
      <x:c r="E22" s="5" t="s">
        <x:v>116</x:v>
      </x:c>
      <x:c r="F22" s="5" t="s">
        <x:v>102</x:v>
      </x:c>
      <x:c r="G22" s="5" t="s">
        <x:v>40</x:v>
      </x:c>
      <x:c r="H22" s="5" t="s">
        <x:v>242</x:v>
      </x:c>
      <x:c r="I22" s="5" t="s">
        <x:v>105</x:v>
      </x:c>
      <x:c r="J22" s="5" t="s">
        <x:v>105</x:v>
      </x:c>
      <x:c r="K22" s="5" t="s">
        <x:v>218</x:v>
      </x:c>
      <x:c r="L22" s="5"/>
      <x:c r="M22" s="5" t="s">
        <x:v>118</x:v>
      </x:c>
      <x:c r="N22" s="5" t="s">
        <x:v>243</x:v>
      </x:c>
      <x:c r="O22" s="5" t="s">
        <x:v>244</x:v>
      </x:c>
      <x:c r="P22" s="5" t="s">
        <x:v>94</x:v>
      </x:c>
      <x:c r="Q22" s="5" t="s">
        <x:v>245</x:v>
      </x:c>
      <x:c r="R22" s="5" t="s">
        <x:v>246</x:v>
      </x:c>
      <x:c r="S22" s="19" t="str">
        <x:v>确认通过</x:v>
      </x:c>
      <x:c r="T22" s="23" t="str">
        <x:v>用户确认排除PE/VC识别范围；如属交易对手或产业投资者，仍保留事件记录。</x:v>
      </x:c>
    </x:row>
    <x:row r="23" ht="23">
      <x:c r="A23" s="4" t="s">
        <x:v>247</x:v>
      </x:c>
      <x:c r="B23" s="5" t="s">
        <x:v>248</x:v>
      </x:c>
      <x:c r="C23" s="5" t="s">
        <x:v>249</x:v>
      </x:c>
      <x:c r="D23" s="5" t="s">
        <x:v>250</x:v>
      </x:c>
      <x:c r="E23" s="5" t="s">
        <x:v>128</x:v>
      </x:c>
      <x:c r="F23" s="5" t="s">
        <x:v>152</x:v>
      </x:c>
      <x:c r="G23" s="5" t="s">
        <x:v>37</x:v>
      </x:c>
      <x:c r="H23" s="5" t="s">
        <x:v>251</x:v>
      </x:c>
      <x:c r="I23" s="5" t="s">
        <x:v>105</x:v>
      </x:c>
      <x:c r="J23" s="5" t="s">
        <x:v>105</x:v>
      </x:c>
      <x:c r="K23" s="5" t="s">
        <x:v>218</x:v>
      </x:c>
      <x:c r="L23" s="5"/>
      <x:c r="M23" s="5" t="s">
        <x:v>118</x:v>
      </x:c>
      <x:c r="N23" s="5" t="s">
        <x:v>252</x:v>
      </x:c>
      <x:c r="O23" s="5" t="s">
        <x:v>253</x:v>
      </x:c>
      <x:c r="P23" s="5" t="s">
        <x:v>94</x:v>
      </x:c>
      <x:c r="Q23" s="5" t="s">
        <x:v>254</x:v>
      </x:c>
      <x:c r="R23" s="5" t="s">
        <x:v>255</x:v>
      </x:c>
      <x:c r="S23" s="19" t="str">
        <x:v>确认通过</x:v>
      </x:c>
      <x:c r="T23" s="23" t="str">
        <x:v>用户确认主体性质及证据链，纳入PE/VC核心识别结果。</x:v>
      </x:c>
    </x:row>
    <x:row r="24">
      <x:c r="A24" s="4" t="s">
        <x:v>256</x:v>
      </x:c>
      <x:c r="B24" s="5" t="s">
        <x:v>257</x:v>
      </x:c>
      <x:c r="C24" s="5" t="s">
        <x:v>258</x:v>
      </x:c>
      <x:c r="D24" s="5" t="s">
        <x:v>259</x:v>
      </x:c>
      <x:c r="E24" s="5" t="s">
        <x:v>128</x:v>
      </x:c>
      <x:c r="F24" s="5" t="s">
        <x:v>152</x:v>
      </x:c>
      <x:c r="G24" s="5" t="s">
        <x:v>37</x:v>
      </x:c>
      <x:c r="H24" s="5" t="s">
        <x:v>260</x:v>
      </x:c>
      <x:c r="I24" s="5" t="s">
        <x:v>105</x:v>
      </x:c>
      <x:c r="J24" s="5" t="s">
        <x:v>105</x:v>
      </x:c>
      <x:c r="K24" s="5" t="s">
        <x:v>218</x:v>
      </x:c>
      <x:c r="L24" s="5"/>
      <x:c r="M24" s="5" t="s">
        <x:v>118</x:v>
      </x:c>
      <x:c r="N24" s="5" t="s">
        <x:v>261</x:v>
      </x:c>
      <x:c r="O24" s="5" t="s">
        <x:v>262</x:v>
      </x:c>
      <x:c r="P24" s="5" t="s">
        <x:v>94</x:v>
      </x:c>
      <x:c r="Q24" s="5" t="s">
        <x:v>245</x:v>
      </x:c>
      <x:c r="R24" s="5" t="s">
        <x:v>246</x:v>
      </x:c>
      <x:c r="S24" s="19" t="str">
        <x:v>确认通过</x:v>
      </x:c>
      <x:c r="T24" s="23" t="str">
        <x:v>用户确认主体性质及证据链，纳入PE/VC核心识别结果。</x:v>
      </x:c>
    </x:row>
    <x:row r="25">
      <x:c r="A25" s="4" t="s">
        <x:v>263</x:v>
      </x:c>
      <x:c r="B25" s="5" t="s">
        <x:v>264</x:v>
      </x:c>
      <x:c r="C25" s="5" t="s">
        <x:v>265</x:v>
      </x:c>
      <x:c r="D25" s="5" t="s">
        <x:v>265</x:v>
      </x:c>
      <x:c r="E25" s="5" t="s">
        <x:v>116</x:v>
      </x:c>
      <x:c r="F25" s="5" t="s">
        <x:v>102</x:v>
      </x:c>
      <x:c r="G25" s="5" t="s">
        <x:v>40</x:v>
      </x:c>
      <x:c r="H25" s="5" t="s">
        <x:v>266</x:v>
      </x:c>
      <x:c r="I25" s="5" t="s">
        <x:v>105</x:v>
      </x:c>
      <x:c r="J25" s="5" t="s">
        <x:v>105</x:v>
      </x:c>
      <x:c r="K25" s="5" t="s">
        <x:v>267</x:v>
      </x:c>
      <x:c r="L25" s="5"/>
      <x:c r="M25" s="5" t="s">
        <x:v>118</x:v>
      </x:c>
      <x:c r="N25" s="5" t="s">
        <x:v>268</x:v>
      </x:c>
      <x:c r="O25" s="5" t="s">
        <x:v>269</x:v>
      </x:c>
      <x:c r="P25" s="5" t="s">
        <x:v>94</x:v>
      </x:c>
      <x:c r="Q25" s="5" t="s">
        <x:v>111</x:v>
      </x:c>
      <x:c r="R25" s="5" t="s">
        <x:v>112</x:v>
      </x:c>
      <x:c r="S25" s="19" t="str">
        <x:v>确认通过</x:v>
      </x:c>
      <x:c r="T25" s="23" t="str">
        <x:v>用户确认排除PE/VC识别范围；如属交易对手或产业投资者，仍保留事件记录。</x:v>
      </x:c>
    </x:row>
    <x:row r="26">
      <x:c r="A26" s="4" t="s">
        <x:v>270</x:v>
      </x:c>
      <x:c r="B26" s="5" t="s">
        <x:v>271</x:v>
      </x:c>
      <x:c r="C26" s="5" t="s">
        <x:v>272</x:v>
      </x:c>
      <x:c r="D26" s="5" t="s">
        <x:v>272</x:v>
      </x:c>
      <x:c r="E26" s="5" t="s">
        <x:v>116</x:v>
      </x:c>
      <x:c r="F26" s="5" t="s">
        <x:v>102</x:v>
      </x:c>
      <x:c r="G26" s="5" t="s">
        <x:v>40</x:v>
      </x:c>
      <x:c r="H26" s="5" t="s">
        <x:v>266</x:v>
      </x:c>
      <x:c r="I26" s="5" t="s">
        <x:v>105</x:v>
      </x:c>
      <x:c r="J26" s="5" t="s">
        <x:v>105</x:v>
      </x:c>
      <x:c r="K26" s="5" t="s">
        <x:v>267</x:v>
      </x:c>
      <x:c r="L26" s="5"/>
      <x:c r="M26" s="5" t="s">
        <x:v>118</x:v>
      </x:c>
      <x:c r="N26" s="5" t="s">
        <x:v>268</x:v>
      </x:c>
      <x:c r="O26" s="5" t="s">
        <x:v>269</x:v>
      </x:c>
      <x:c r="P26" s="5" t="s">
        <x:v>94</x:v>
      </x:c>
      <x:c r="Q26" s="5" t="s">
        <x:v>111</x:v>
      </x:c>
      <x:c r="R26" s="5" t="s">
        <x:v>112</x:v>
      </x:c>
      <x:c r="S26" s="19" t="str">
        <x:v>确认通过</x:v>
      </x:c>
      <x:c r="T26" s="23" t="str">
        <x:v>用户确认排除PE/VC识别范围；如属交易对手或产业投资者，仍保留事件记录。</x:v>
      </x:c>
    </x:row>
    <x:row r="27">
      <x:c r="A27" s="4" t="s">
        <x:v>273</x:v>
      </x:c>
      <x:c r="B27" s="5" t="s">
        <x:v>274</x:v>
      </x:c>
      <x:c r="C27" s="5" t="s">
        <x:v>275</x:v>
      </x:c>
      <x:c r="D27" s="5" t="s">
        <x:v>275</x:v>
      </x:c>
      <x:c r="E27" s="5" t="s">
        <x:v>116</x:v>
      </x:c>
      <x:c r="F27" s="5" t="s">
        <x:v>102</x:v>
      </x:c>
      <x:c r="G27" s="5" t="s">
        <x:v>40</x:v>
      </x:c>
      <x:c r="H27" s="5" t="s">
        <x:v>276</x:v>
      </x:c>
      <x:c r="I27" s="5" t="s">
        <x:v>105</x:v>
      </x:c>
      <x:c r="J27" s="5" t="s">
        <x:v>105</x:v>
      </x:c>
      <x:c r="K27" s="5" t="s">
        <x:v>267</x:v>
      </x:c>
      <x:c r="L27" s="5"/>
      <x:c r="M27" s="5" t="s">
        <x:v>118</x:v>
      </x:c>
      <x:c r="N27" s="5" t="s">
        <x:v>268</x:v>
      </x:c>
      <x:c r="O27" s="5" t="s">
        <x:v>244</x:v>
      </x:c>
      <x:c r="P27" s="5" t="s">
        <x:v>94</x:v>
      </x:c>
      <x:c r="Q27" s="5" t="s">
        <x:v>111</x:v>
      </x:c>
      <x:c r="R27" s="5" t="s">
        <x:v>112</x:v>
      </x:c>
      <x:c r="S27" s="19" t="str">
        <x:v>确认通过</x:v>
      </x:c>
      <x:c r="T27" s="23" t="str">
        <x:v>用户确认排除PE/VC识别范围；如属交易对手或产业投资者，仍保留事件记录。</x:v>
      </x:c>
    </x:row>
    <x:row r="28">
      <x:c r="A28" s="4" t="s">
        <x:v>277</x:v>
      </x:c>
      <x:c r="B28" s="5" t="s">
        <x:v>278</x:v>
      </x:c>
      <x:c r="C28" s="5" t="s">
        <x:v>279</x:v>
      </x:c>
      <x:c r="D28" s="5" t="s">
        <x:v>279</x:v>
      </x:c>
      <x:c r="E28" s="5" t="s">
        <x:v>116</x:v>
      </x:c>
      <x:c r="F28" s="5" t="s">
        <x:v>102</x:v>
      </x:c>
      <x:c r="G28" s="5" t="s">
        <x:v>40</x:v>
      </x:c>
      <x:c r="H28" s="5" t="s">
        <x:v>276</x:v>
      </x:c>
      <x:c r="I28" s="5" t="s">
        <x:v>105</x:v>
      </x:c>
      <x:c r="J28" s="5" t="s">
        <x:v>105</x:v>
      </x:c>
      <x:c r="K28" s="5" t="s">
        <x:v>267</x:v>
      </x:c>
      <x:c r="L28" s="5"/>
      <x:c r="M28" s="5" t="s">
        <x:v>118</x:v>
      </x:c>
      <x:c r="N28" s="5" t="s">
        <x:v>268</x:v>
      </x:c>
      <x:c r="O28" s="5" t="s">
        <x:v>244</x:v>
      </x:c>
      <x:c r="P28" s="5" t="s">
        <x:v>94</x:v>
      </x:c>
      <x:c r="Q28" s="5" t="s">
        <x:v>111</x:v>
      </x:c>
      <x:c r="R28" s="5" t="s">
        <x:v>112</x:v>
      </x:c>
      <x:c r="S28" s="19" t="str">
        <x:v>确认通过</x:v>
      </x:c>
      <x:c r="T28" s="23" t="str">
        <x:v>用户确认排除PE/VC识别范围；如属交易对手或产业投资者，仍保留事件记录。</x:v>
      </x:c>
    </x:row>
    <x:row r="29" ht="23">
      <x:c r="A29" s="4" t="s">
        <x:v>280</x:v>
      </x:c>
      <x:c r="B29" s="5" t="s">
        <x:v>281</x:v>
      </x:c>
      <x:c r="C29" s="5" t="s">
        <x:v>282</x:v>
      </x:c>
      <x:c r="D29" s="5" t="s">
        <x:v>283</x:v>
      </x:c>
      <x:c r="E29" s="5" t="s">
        <x:v>128</x:v>
      </x:c>
      <x:c r="F29" s="5" t="s">
        <x:v>152</x:v>
      </x:c>
      <x:c r="G29" s="5" t="s">
        <x:v>37</x:v>
      </x:c>
      <x:c r="H29" s="5" t="s">
        <x:v>251</x:v>
      </x:c>
      <x:c r="I29" s="5" t="s">
        <x:v>105</x:v>
      </x:c>
      <x:c r="J29" s="5" t="s">
        <x:v>105</x:v>
      </x:c>
      <x:c r="K29" s="5" t="s">
        <x:v>284</x:v>
      </x:c>
      <x:c r="L29" s="5"/>
      <x:c r="M29" s="5" t="s">
        <x:v>118</x:v>
      </x:c>
      <x:c r="N29" s="5" t="s">
        <x:v>285</x:v>
      </x:c>
      <x:c r="O29" s="5" t="s">
        <x:v>286</x:v>
      </x:c>
      <x:c r="P29" s="5" t="s">
        <x:v>94</x:v>
      </x:c>
      <x:c r="Q29" s="5" t="s">
        <x:v>245</x:v>
      </x:c>
      <x:c r="R29" s="5" t="s">
        <x:v>246</x:v>
      </x:c>
      <x:c r="S29" s="19" t="str">
        <x:v>确认通过</x:v>
      </x:c>
      <x:c r="T29" s="23" t="str">
        <x:v>用户确认主体性质及证据链，纳入PE/VC核心识别结果。</x:v>
      </x:c>
    </x:row>
    <x:row r="30">
      <x:c r="A30" s="4" t="s">
        <x:v>287</x:v>
      </x:c>
      <x:c r="B30" s="5" t="s">
        <x:v>288</x:v>
      </x:c>
      <x:c r="C30" s="5" t="s">
        <x:v>289</x:v>
      </x:c>
      <x:c r="D30" s="5" t="s">
        <x:v>290</x:v>
      </x:c>
      <x:c r="E30" s="5" t="s">
        <x:v>128</x:v>
      </x:c>
      <x:c r="F30" s="5" t="s">
        <x:v>152</x:v>
      </x:c>
      <x:c r="G30" s="5" t="s">
        <x:v>37</x:v>
      </x:c>
      <x:c r="H30" s="5" t="s">
        <x:v>260</x:v>
      </x:c>
      <x:c r="I30" s="5" t="s">
        <x:v>105</x:v>
      </x:c>
      <x:c r="J30" s="5" t="s">
        <x:v>105</x:v>
      </x:c>
      <x:c r="K30" s="5" t="s">
        <x:v>284</x:v>
      </x:c>
      <x:c r="L30" s="5"/>
      <x:c r="M30" s="5" t="s">
        <x:v>118</x:v>
      </x:c>
      <x:c r="N30" s="5" t="s">
        <x:v>261</x:v>
      </x:c>
      <x:c r="O30" s="5" t="s">
        <x:v>286</x:v>
      </x:c>
      <x:c r="P30" s="5" t="s">
        <x:v>94</x:v>
      </x:c>
      <x:c r="Q30" s="5" t="s">
        <x:v>245</x:v>
      </x:c>
      <x:c r="R30" s="5" t="s">
        <x:v>246</x:v>
      </x:c>
      <x:c r="S30" s="19" t="str">
        <x:v>确认通过</x:v>
      </x:c>
      <x:c r="T30" s="23" t="str">
        <x:v>用户确认主体性质及证据链，纳入PE/VC核心识别结果。</x:v>
      </x:c>
    </x:row>
    <x:row r="31">
      <x:c r="A31" s="4" t="s">
        <x:v>291</x:v>
      </x:c>
      <x:c r="B31" s="5" t="s">
        <x:v>292</x:v>
      </x:c>
      <x:c r="C31" s="5" t="s">
        <x:v>293</x:v>
      </x:c>
      <x:c r="D31" s="5" t="s">
        <x:v>294</x:v>
      </x:c>
      <x:c r="E31" s="5" t="s">
        <x:v>101</x:v>
      </x:c>
      <x:c r="F31" s="5" t="s">
        <x:v>152</x:v>
      </x:c>
      <x:c r="G31" s="5" t="s">
        <x:v>38</x:v>
      </x:c>
      <x:c r="H31" s="5" t="s">
        <x:v>170</x:v>
      </x:c>
      <x:c r="I31" s="5" t="s">
        <x:v>105</x:v>
      </x:c>
      <x:c r="J31" s="5" t="s">
        <x:v>105</x:v>
      </x:c>
      <x:c r="K31" s="5" t="s">
        <x:v>284</x:v>
      </x:c>
      <x:c r="L31" s="5"/>
      <x:c r="M31" s="5" t="s">
        <x:v>118</x:v>
      </x:c>
      <x:c r="N31" s="5" t="s">
        <x:v>295</x:v>
      </x:c>
      <x:c r="O31" s="5" t="s">
        <x:v>296</x:v>
      </x:c>
      <x:c r="P31" s="5" t="s">
        <x:v>135</x:v>
      </x:c>
      <x:c r="Q31" s="5" t="s">
        <x:v>297</x:v>
      </x:c>
      <x:c r="R31" s="5" t="s">
        <x:v>298</x:v>
      </x:c>
      <x:c r="S31" s="19" t="str">
        <x:v>确认通过</x:v>
      </x:c>
      <x:c r="T31" s="23" t="str">
        <x:v>用户确认维持CANDIDATE，不使用外部信息补充或升级判断。</x:v>
      </x:c>
    </x:row>
    <x:row r="32" ht="23">
      <x:c r="A32" s="4" t="s">
        <x:v>299</x:v>
      </x:c>
      <x:c r="B32" s="5" t="s">
        <x:v>300</x:v>
      </x:c>
      <x:c r="C32" s="5" t="s">
        <x:v>301</x:v>
      </x:c>
      <x:c r="D32" s="5" t="s">
        <x:v>302</x:v>
      </x:c>
      <x:c r="E32" s="5" t="s">
        <x:v>101</x:v>
      </x:c>
      <x:c r="F32" s="5" t="s">
        <x:v>102</x:v>
      </x:c>
      <x:c r="G32" s="5" t="s">
        <x:v>40</x:v>
      </x:c>
      <x:c r="H32" s="5" t="s">
        <x:v>303</x:v>
      </x:c>
      <x:c r="I32" s="5" t="s">
        <x:v>105</x:v>
      </x:c>
      <x:c r="J32" s="5" t="s">
        <x:v>105</x:v>
      </x:c>
      <x:c r="K32" s="5" t="s">
        <x:v>304</x:v>
      </x:c>
      <x:c r="L32" s="5"/>
      <x:c r="M32" s="5" t="s">
        <x:v>118</x:v>
      </x:c>
      <x:c r="N32" s="5" t="s">
        <x:v>305</x:v>
      </x:c>
      <x:c r="O32" s="5" t="s">
        <x:v>306</x:v>
      </x:c>
      <x:c r="P32" s="5" t="s">
        <x:v>135</x:v>
      </x:c>
      <x:c r="Q32" s="5" t="s">
        <x:v>307</x:v>
      </x:c>
      <x:c r="R32" s="5" t="s">
        <x:v>308</x:v>
      </x:c>
      <x:c r="S32" s="19" t="str">
        <x:v>确认通过</x:v>
      </x:c>
      <x:c r="T32" s="23" t="str">
        <x:v>用户确认排除PE/VC识别范围；如属交易对手或产业投资者，仍保留事件记录。</x:v>
      </x:c>
    </x:row>
    <x:row r="33" ht="23">
      <x:c r="A33" s="4" t="s">
        <x:v>309</x:v>
      </x:c>
      <x:c r="B33" s="5" t="s">
        <x:v>310</x:v>
      </x:c>
      <x:c r="C33" s="5" t="s">
        <x:v>311</x:v>
      </x:c>
      <x:c r="D33" s="5" t="s">
        <x:v>312</x:v>
      </x:c>
      <x:c r="E33" s="5" t="s">
        <x:v>128</x:v>
      </x:c>
      <x:c r="F33" s="5" t="s">
        <x:v>152</x:v>
      </x:c>
      <x:c r="G33" s="5" t="s">
        <x:v>38</x:v>
      </x:c>
      <x:c r="H33" s="5" t="s">
        <x:v>313</x:v>
      </x:c>
      <x:c r="I33" s="5" t="s">
        <x:v>105</x:v>
      </x:c>
      <x:c r="J33" s="5" t="s">
        <x:v>105</x:v>
      </x:c>
      <x:c r="K33" s="5" t="s">
        <x:v>314</x:v>
      </x:c>
      <x:c r="L33" s="5"/>
      <x:c r="M33" s="5" t="s">
        <x:v>118</x:v>
      </x:c>
      <x:c r="N33" s="5" t="s">
        <x:v>315</x:v>
      </x:c>
      <x:c r="O33" s="5" t="s">
        <x:v>316</x:v>
      </x:c>
      <x:c r="P33" s="5" t="s">
        <x:v>135</x:v>
      </x:c>
      <x:c r="Q33" s="5" t="s">
        <x:v>317</x:v>
      </x:c>
      <x:c r="R33" s="5" t="s">
        <x:v>318</x:v>
      </x:c>
      <x:c r="S33" s="19" t="str">
        <x:v>确认通过</x:v>
      </x:c>
      <x:c r="T33" s="23" t="str">
        <x:v>用户确认维持CANDIDATE，不使用外部信息补充或升级判断。</x:v>
      </x:c>
    </x:row>
    <x:row r="34" ht="23">
      <x:c r="A34" s="4" t="s">
        <x:v>319</x:v>
      </x:c>
      <x:c r="B34" s="5" t="s">
        <x:v>320</x:v>
      </x:c>
      <x:c r="C34" s="5" t="s">
        <x:v>321</x:v>
      </x:c>
      <x:c r="D34" s="5" t="s">
        <x:v>322</x:v>
      </x:c>
      <x:c r="E34" s="5" t="s">
        <x:v>128</x:v>
      </x:c>
      <x:c r="F34" s="5" t="s">
        <x:v>152</x:v>
      </x:c>
      <x:c r="G34" s="5" t="s">
        <x:v>37</x:v>
      </x:c>
      <x:c r="H34" s="5" t="s">
        <x:v>323</x:v>
      </x:c>
      <x:c r="I34" s="5" t="s">
        <x:v>105</x:v>
      </x:c>
      <x:c r="J34" s="5" t="s">
        <x:v>105</x:v>
      </x:c>
      <x:c r="K34" s="5" t="s">
        <x:v>314</x:v>
      </x:c>
      <x:c r="L34" s="5"/>
      <x:c r="M34" s="5" t="s">
        <x:v>118</x:v>
      </x:c>
      <x:c r="N34" s="5" t="s">
        <x:v>324</x:v>
      </x:c>
      <x:c r="O34" s="5" t="s">
        <x:v>325</x:v>
      </x:c>
      <x:c r="P34" s="5" t="s">
        <x:v>94</x:v>
      </x:c>
      <x:c r="Q34" s="5" t="s">
        <x:v>326</x:v>
      </x:c>
      <x:c r="R34" s="5" t="s">
        <x:v>327</x:v>
      </x:c>
      <x:c r="S34" s="19" t="str">
        <x:v>确认通过</x:v>
      </x:c>
      <x:c r="T34" s="23" t="str">
        <x:v>用户确认主体性质及证据链，纳入PE/VC核心识别结果。</x:v>
      </x:c>
    </x:row>
    <x:row r="35">
      <x:c r="A35" s="4" t="s">
        <x:v>328</x:v>
      </x:c>
      <x:c r="B35" s="5" t="s">
        <x:v>329</x:v>
      </x:c>
      <x:c r="C35" s="5" t="s">
        <x:v>330</x:v>
      </x:c>
      <x:c r="D35" s="5" t="s">
        <x:v>330</x:v>
      </x:c>
      <x:c r="E35" s="5" t="s">
        <x:v>116</x:v>
      </x:c>
      <x:c r="F35" s="5" t="s">
        <x:v>102</x:v>
      </x:c>
      <x:c r="G35" s="5" t="s">
        <x:v>40</x:v>
      </x:c>
      <x:c r="H35" s="5" t="s">
        <x:v>331</x:v>
      </x:c>
      <x:c r="I35" s="5" t="s">
        <x:v>105</x:v>
      </x:c>
      <x:c r="J35" s="5" t="s">
        <x:v>105</x:v>
      </x:c>
      <x:c r="K35" s="5" t="s">
        <x:v>332</x:v>
      </x:c>
      <x:c r="L35" s="5"/>
      <x:c r="M35" s="5" t="s">
        <x:v>118</x:v>
      </x:c>
      <x:c r="N35" s="5" t="s">
        <x:v>243</x:v>
      </x:c>
      <x:c r="O35" s="5" t="s">
        <x:v>333</x:v>
      </x:c>
      <x:c r="P35" s="5" t="s">
        <x:v>94</x:v>
      </x:c>
      <x:c r="Q35" s="5" t="s">
        <x:v>111</x:v>
      </x:c>
      <x:c r="R35" s="5" t="s">
        <x:v>112</x:v>
      </x:c>
      <x:c r="S35" s="19" t="str">
        <x:v>确认通过</x:v>
      </x:c>
      <x:c r="T35" s="23" t="str">
        <x:v>用户确认排除PE/VC识别范围；如属交易对手或产业投资者，仍保留事件记录。</x:v>
      </x:c>
    </x:row>
    <x:row r="36" ht="23">
      <x:c r="A36" s="4" t="s">
        <x:v>334</x:v>
      </x:c>
      <x:c r="B36" s="5" t="s">
        <x:v>335</x:v>
      </x:c>
      <x:c r="C36" s="5" t="s">
        <x:v>336</x:v>
      </x:c>
      <x:c r="D36" s="5" t="s">
        <x:v>337</x:v>
      </x:c>
      <x:c r="E36" s="5" t="s">
        <x:v>101</x:v>
      </x:c>
      <x:c r="F36" s="5" t="s">
        <x:v>152</x:v>
      </x:c>
      <x:c r="G36" s="5" t="s">
        <x:v>41</x:v>
      </x:c>
      <x:c r="H36" s="5" t="s">
        <x:v>338</x:v>
      </x:c>
      <x:c r="I36" s="5" t="s">
        <x:v>105</x:v>
      </x:c>
      <x:c r="J36" s="5" t="s">
        <x:v>105</x:v>
      </x:c>
      <x:c r="K36" s="5" t="s">
        <x:v>332</x:v>
      </x:c>
      <x:c r="L36" s="5"/>
      <x:c r="M36" s="5" t="s">
        <x:v>118</x:v>
      </x:c>
      <x:c r="N36" s="5" t="s">
        <x:v>339</x:v>
      </x:c>
      <x:c r="O36" s="5" t="s">
        <x:v>340</x:v>
      </x:c>
      <x:c r="P36" s="5" t="s">
        <x:v>341</x:v>
      </x:c>
      <x:c r="Q36" s="5" t="s">
        <x:v>342</x:v>
      </x:c>
      <x:c r="R36" s="5" t="s">
        <x:v>343</x:v>
      </x:c>
      <x:c r="S36" s="19" t="str">
        <x:v>确认通过</x:v>
      </x:c>
      <x:c r="T36" s="23" t="str">
        <x:v>用户确认维持UNRESOLVED，不使用外部信息补充或升级判断。</x:v>
      </x:c>
    </x:row>
    <x:row r="37">
      <x:c r="A37" s="4" t="s">
        <x:v>344</x:v>
      </x:c>
      <x:c r="B37" s="5" t="s">
        <x:v>345</x:v>
      </x:c>
      <x:c r="C37" s="5" t="s">
        <x:v>346</x:v>
      </x:c>
      <x:c r="D37" s="5" t="s">
        <x:v>346</x:v>
      </x:c>
      <x:c r="E37" s="5" t="s">
        <x:v>116</x:v>
      </x:c>
      <x:c r="F37" s="5" t="s">
        <x:v>102</x:v>
      </x:c>
      <x:c r="G37" s="5" t="s">
        <x:v>40</x:v>
      </x:c>
      <x:c r="H37" s="5" t="s">
        <x:v>331</x:v>
      </x:c>
      <x:c r="I37" s="5" t="s">
        <x:v>105</x:v>
      </x:c>
      <x:c r="J37" s="5" t="s">
        <x:v>105</x:v>
      </x:c>
      <x:c r="K37" s="5" t="s">
        <x:v>332</x:v>
      </x:c>
      <x:c r="L37" s="5"/>
      <x:c r="M37" s="5" t="s">
        <x:v>118</x:v>
      </x:c>
      <x:c r="N37" s="5" t="s">
        <x:v>243</x:v>
      </x:c>
      <x:c r="O37" s="5" t="s">
        <x:v>333</x:v>
      </x:c>
      <x:c r="P37" s="5" t="s">
        <x:v>94</x:v>
      </x:c>
      <x:c r="Q37" s="5" t="s">
        <x:v>111</x:v>
      </x:c>
      <x:c r="R37" s="5" t="s">
        <x:v>112</x:v>
      </x:c>
      <x:c r="S37" s="19" t="str">
        <x:v>确认通过</x:v>
      </x:c>
      <x:c r="T37" s="23" t="str">
        <x:v>用户确认排除PE/VC识别范围；如属交易对手或产业投资者，仍保留事件记录。</x:v>
      </x:c>
    </x:row>
    <x:row r="38">
      <x:c r="A38" s="4" t="s">
        <x:v>347</x:v>
      </x:c>
      <x:c r="B38" s="5" t="s">
        <x:v>348</x:v>
      </x:c>
      <x:c r="C38" s="5" t="s">
        <x:v>349</x:v>
      </x:c>
      <x:c r="D38" s="5" t="s">
        <x:v>349</x:v>
      </x:c>
      <x:c r="E38" s="5" t="s">
        <x:v>116</x:v>
      </x:c>
      <x:c r="F38" s="5" t="s">
        <x:v>102</x:v>
      </x:c>
      <x:c r="G38" s="5" t="s">
        <x:v>40</x:v>
      </x:c>
      <x:c r="H38" s="5" t="s">
        <x:v>331</x:v>
      </x:c>
      <x:c r="I38" s="5" t="s">
        <x:v>105</x:v>
      </x:c>
      <x:c r="J38" s="5" t="s">
        <x:v>105</x:v>
      </x:c>
      <x:c r="K38" s="5" t="s">
        <x:v>332</x:v>
      </x:c>
      <x:c r="L38" s="5"/>
      <x:c r="M38" s="5" t="s">
        <x:v>118</x:v>
      </x:c>
      <x:c r="N38" s="5" t="s">
        <x:v>243</x:v>
      </x:c>
      <x:c r="O38" s="5" t="s">
        <x:v>333</x:v>
      </x:c>
      <x:c r="P38" s="5" t="s">
        <x:v>94</x:v>
      </x:c>
      <x:c r="Q38" s="5" t="s">
        <x:v>111</x:v>
      </x:c>
      <x:c r="R38" s="5" t="s">
        <x:v>112</x:v>
      </x:c>
      <x:c r="S38" s="19" t="str">
        <x:v>确认通过</x:v>
      </x:c>
      <x:c r="T38" s="23" t="str">
        <x:v>用户确认排除PE/VC识别范围；如属交易对手或产业投资者，仍保留事件记录。</x:v>
      </x:c>
    </x:row>
    <x:row r="39">
      <x:c r="A39" s="4" t="s">
        <x:v>350</x:v>
      </x:c>
      <x:c r="B39" s="5" t="s">
        <x:v>351</x:v>
      </x:c>
      <x:c r="C39" s="5" t="s">
        <x:v>352</x:v>
      </x:c>
      <x:c r="D39" s="5" t="s">
        <x:v>352</x:v>
      </x:c>
      <x:c r="E39" s="5" t="s">
        <x:v>116</x:v>
      </x:c>
      <x:c r="F39" s="5" t="s">
        <x:v>102</x:v>
      </x:c>
      <x:c r="G39" s="5" t="s">
        <x:v>40</x:v>
      </x:c>
      <x:c r="H39" s="5" t="s">
        <x:v>331</x:v>
      </x:c>
      <x:c r="I39" s="5" t="s">
        <x:v>105</x:v>
      </x:c>
      <x:c r="J39" s="5" t="s">
        <x:v>105</x:v>
      </x:c>
      <x:c r="K39" s="5" t="s">
        <x:v>332</x:v>
      </x:c>
      <x:c r="L39" s="5"/>
      <x:c r="M39" s="5" t="s">
        <x:v>118</x:v>
      </x:c>
      <x:c r="N39" s="5" t="s">
        <x:v>243</x:v>
      </x:c>
      <x:c r="O39" s="5" t="s">
        <x:v>333</x:v>
      </x:c>
      <x:c r="P39" s="5" t="s">
        <x:v>94</x:v>
      </x:c>
      <x:c r="Q39" s="5" t="s">
        <x:v>111</x:v>
      </x:c>
      <x:c r="R39" s="5" t="s">
        <x:v>112</x:v>
      </x:c>
      <x:c r="S39" s="19" t="str">
        <x:v>确认通过</x:v>
      </x:c>
      <x:c r="T39" s="23" t="str">
        <x:v>用户确认排除PE/VC识别范围；如属交易对手或产业投资者，仍保留事件记录。</x:v>
      </x:c>
    </x:row>
    <x:row r="40">
      <x:c r="A40" s="4" t="s">
        <x:v>353</x:v>
      </x:c>
      <x:c r="B40" s="5" t="s">
        <x:v>354</x:v>
      </x:c>
      <x:c r="C40" s="5" t="s">
        <x:v>355</x:v>
      </x:c>
      <x:c r="D40" s="5" t="s">
        <x:v>355</x:v>
      </x:c>
      <x:c r="E40" s="5" t="s">
        <x:v>116</x:v>
      </x:c>
      <x:c r="F40" s="5" t="s">
        <x:v>102</x:v>
      </x:c>
      <x:c r="G40" s="5" t="s">
        <x:v>40</x:v>
      </x:c>
      <x:c r="H40" s="5" t="s">
        <x:v>331</x:v>
      </x:c>
      <x:c r="I40" s="5" t="s">
        <x:v>105</x:v>
      </x:c>
      <x:c r="J40" s="5" t="s">
        <x:v>105</x:v>
      </x:c>
      <x:c r="K40" s="5" t="s">
        <x:v>332</x:v>
      </x:c>
      <x:c r="L40" s="5"/>
      <x:c r="M40" s="5" t="s">
        <x:v>118</x:v>
      </x:c>
      <x:c r="N40" s="5" t="s">
        <x:v>243</x:v>
      </x:c>
      <x:c r="O40" s="5" t="s">
        <x:v>333</x:v>
      </x:c>
      <x:c r="P40" s="5" t="s">
        <x:v>94</x:v>
      </x:c>
      <x:c r="Q40" s="5" t="s">
        <x:v>111</x:v>
      </x:c>
      <x:c r="R40" s="5" t="s">
        <x:v>112</x:v>
      </x:c>
      <x:c r="S40" s="19" t="str">
        <x:v>确认通过</x:v>
      </x:c>
      <x:c r="T40" s="23" t="str">
        <x:v>用户确认排除PE/VC识别范围；如属交易对手或产业投资者，仍保留事件记录。</x:v>
      </x:c>
    </x:row>
    <x:row r="41" ht="23">
      <x:c r="A41" s="4" t="s">
        <x:v>356</x:v>
      </x:c>
      <x:c r="B41" s="5" t="s">
        <x:v>357</x:v>
      </x:c>
      <x:c r="C41" s="5" t="s">
        <x:v>358</x:v>
      </x:c>
      <x:c r="D41" s="5" t="s">
        <x:v>359</x:v>
      </x:c>
      <x:c r="E41" s="5" t="s">
        <x:v>128</x:v>
      </x:c>
      <x:c r="F41" s="5" t="s">
        <x:v>152</x:v>
      </x:c>
      <x:c r="G41" s="5" t="s">
        <x:v>41</x:v>
      </x:c>
      <x:c r="H41" s="5" t="s">
        <x:v>360</x:v>
      </x:c>
      <x:c r="I41" s="5" t="s">
        <x:v>105</x:v>
      </x:c>
      <x:c r="J41" s="5" t="s">
        <x:v>105</x:v>
      </x:c>
      <x:c r="K41" s="5" t="s">
        <x:v>332</x:v>
      </x:c>
      <x:c r="L41" s="5"/>
      <x:c r="M41" s="5" t="s">
        <x:v>118</x:v>
      </x:c>
      <x:c r="N41" s="5" t="s">
        <x:v>361</x:v>
      </x:c>
      <x:c r="O41" s="5" t="s">
        <x:v>340</x:v>
      </x:c>
      <x:c r="P41" s="5" t="s">
        <x:v>341</x:v>
      </x:c>
      <x:c r="Q41" s="5" t="s">
        <x:v>342</x:v>
      </x:c>
      <x:c r="R41" s="5" t="s">
        <x:v>343</x:v>
      </x:c>
      <x:c r="S41" s="19" t="str">
        <x:v>确认通过</x:v>
      </x:c>
      <x:c r="T41" s="23" t="str">
        <x:v>用户确认维持UNRESOLVED，不使用外部信息补充或升级判断。</x:v>
      </x:c>
    </x:row>
    <x:row r="42" ht="23">
      <x:c r="A42" s="4" t="s">
        <x:v>362</x:v>
      </x:c>
      <x:c r="B42" s="5"/>
      <x:c r="C42" s="5" t="s">
        <x:v>363</x:v>
      </x:c>
      <x:c r="D42" s="5" t="s">
        <x:v>363</x:v>
      </x:c>
      <x:c r="E42" s="5" t="s">
        <x:v>364</x:v>
      </x:c>
      <x:c r="F42" s="5" t="s">
        <x:v>365</x:v>
      </x:c>
      <x:c r="G42" s="5" t="s">
        <x:v>37</x:v>
      </x:c>
      <x:c r="H42" s="5" t="s">
        <x:v>366</x:v>
      </x:c>
      <x:c r="I42" s="5" t="s">
        <x:v>367</x:v>
      </x:c>
      <x:c r="J42" s="5" t="s">
        <x:v>367</x:v>
      </x:c>
      <x:c r="K42" s="5" t="s">
        <x:v>171</x:v>
      </x:c>
      <x:c r="L42" s="5" t="s">
        <x:v>181</x:v>
      </x:c>
      <x:c r="M42" s="5" t="s">
        <x:v>368</x:v>
      </x:c>
      <x:c r="N42" s="5" t="s">
        <x:v>369</x:v>
      </x:c>
      <x:c r="O42" s="5" t="s">
        <x:v>183</x:v>
      </x:c>
      <x:c r="P42" s="5" t="s">
        <x:v>94</x:v>
      </x:c>
      <x:c r="Q42" s="5" t="s">
        <x:v>212</x:v>
      </x:c>
      <x:c r="R42" s="5" t="s">
        <x:v>174</x:v>
      </x:c>
      <x:c r="S42" s="19" t="str">
        <x:v>确认通过</x:v>
      </x:c>
      <x:c r="T42" s="23" t="str">
        <x:v>用户确认主体性质及证据链，纳入PE/VC核心识别结果。</x:v>
      </x:c>
    </x:row>
    <x:row r="43" ht="23">
      <x:c r="A43" s="4" t="s">
        <x:v>370</x:v>
      </x:c>
      <x:c r="B43" s="5"/>
      <x:c r="C43" s="5" t="s">
        <x:v>371</x:v>
      </x:c>
      <x:c r="D43" s="5" t="s">
        <x:v>371</x:v>
      </x:c>
      <x:c r="E43" s="5" t="s">
        <x:v>128</x:v>
      </x:c>
      <x:c r="F43" s="5" t="s">
        <x:v>365</x:v>
      </x:c>
      <x:c r="G43" s="5" t="s">
        <x:v>39</x:v>
      </x:c>
      <x:c r="H43" s="5" t="s">
        <x:v>372</x:v>
      </x:c>
      <x:c r="I43" s="5" t="s">
        <x:v>367</x:v>
      </x:c>
      <x:c r="J43" s="5" t="s">
        <x:v>367</x:v>
      </x:c>
      <x:c r="K43" s="5" t="s">
        <x:v>181</x:v>
      </x:c>
      <x:c r="L43" s="5"/>
      <x:c r="M43" s="5" t="s">
        <x:v>373</x:v>
      </x:c>
      <x:c r="N43" s="5" t="s">
        <x:v>374</x:v>
      </x:c>
      <x:c r="O43" s="5" t="s">
        <x:v>375</x:v>
      </x:c>
      <x:c r="P43" s="5" t="s">
        <x:v>94</x:v>
      </x:c>
      <x:c r="Q43" s="5" t="s">
        <x:v>376</x:v>
      </x:c>
      <x:c r="R43" s="5" t="s">
        <x:v>377</x:v>
      </x:c>
      <x:c r="S43" s="19" t="str">
        <x:v>确认通过</x:v>
      </x:c>
      <x:c r="T43" s="23" t="str">
        <x:v>用户确认仅作为PE/VC相关主体记录，不等同于发行人直接或间接投资主体。</x:v>
      </x:c>
    </x:row>
    <x:row r="44" ht="23">
      <x:c r="A44" s="4" t="s">
        <x:v>378</x:v>
      </x:c>
      <x:c r="B44" s="5"/>
      <x:c r="C44" s="5" t="s">
        <x:v>379</x:v>
      </x:c>
      <x:c r="D44" s="5" t="s">
        <x:v>379</x:v>
      </x:c>
      <x:c r="E44" s="5" t="s">
        <x:v>128</x:v>
      </x:c>
      <x:c r="F44" s="5" t="s">
        <x:v>365</x:v>
      </x:c>
      <x:c r="G44" s="5" t="s">
        <x:v>39</x:v>
      </x:c>
      <x:c r="H44" s="5" t="s">
        <x:v>380</x:v>
      </x:c>
      <x:c r="I44" s="5" t="s">
        <x:v>367</x:v>
      </x:c>
      <x:c r="J44" s="5" t="s">
        <x:v>367</x:v>
      </x:c>
      <x:c r="K44" s="5" t="s">
        <x:v>181</x:v>
      </x:c>
      <x:c r="L44" s="5"/>
      <x:c r="M44" s="5" t="s">
        <x:v>373</x:v>
      </x:c>
      <x:c r="N44" s="5" t="s">
        <x:v>381</x:v>
      </x:c>
      <x:c r="O44" s="5" t="s">
        <x:v>382</x:v>
      </x:c>
      <x:c r="P44" s="5" t="s">
        <x:v>94</x:v>
      </x:c>
      <x:c r="Q44" s="5" t="s">
        <x:v>212</x:v>
      </x:c>
      <x:c r="R44" s="5" t="s">
        <x:v>174</x:v>
      </x:c>
      <x:c r="S44" s="19" t="str">
        <x:v>确认通过</x:v>
      </x:c>
      <x:c r="T44" s="23" t="str">
        <x:v>用户确认仅作为PE/VC相关主体记录，不等同于发行人直接或间接投资主体。</x:v>
      </x:c>
    </x:row>
    <x:row r="45" ht="23">
      <x:c r="A45" s="4" t="s">
        <x:v>383</x:v>
      </x:c>
      <x:c r="B45" s="5"/>
      <x:c r="C45" s="5" t="s">
        <x:v>384</x:v>
      </x:c>
      <x:c r="D45" s="5" t="s">
        <x:v>384</x:v>
      </x:c>
      <x:c r="E45" s="5" t="s">
        <x:v>128</x:v>
      </x:c>
      <x:c r="F45" s="5" t="s">
        <x:v>365</x:v>
      </x:c>
      <x:c r="G45" s="5" t="s">
        <x:v>39</x:v>
      </x:c>
      <x:c r="H45" s="5" t="s">
        <x:v>385</x:v>
      </x:c>
      <x:c r="I45" s="5" t="s">
        <x:v>367</x:v>
      </x:c>
      <x:c r="J45" s="5" t="s">
        <x:v>367</x:v>
      </x:c>
      <x:c r="K45" s="5" t="s">
        <x:v>143</x:v>
      </x:c>
      <x:c r="L45" s="5"/>
      <x:c r="M45" s="5" t="s">
        <x:v>373</x:v>
      </x:c>
      <x:c r="N45" s="5" t="s">
        <x:v>386</x:v>
      </x:c>
      <x:c r="O45" s="5" t="s">
        <x:v>387</x:v>
      </x:c>
      <x:c r="P45" s="5" t="s">
        <x:v>94</x:v>
      </x:c>
      <x:c r="Q45" s="5" t="s">
        <x:v>388</x:v>
      </x:c>
      <x:c r="R45" s="5" t="s">
        <x:v>389</x:v>
      </x:c>
      <x:c r="S45" s="19" t="str">
        <x:v>确认通过</x:v>
      </x:c>
      <x:c r="T45" s="23" t="str">
        <x:v>用户确认仅作为PE/VC相关主体记录，不等同于发行人直接或间接投资主体。</x:v>
      </x:c>
    </x:row>
    <x:row r="46" ht="23">
      <x:c r="A46" s="4" t="s">
        <x:v>390</x:v>
      </x:c>
      <x:c r="B46" s="5"/>
      <x:c r="C46" s="5" t="s">
        <x:v>391</x:v>
      </x:c>
      <x:c r="D46" s="5" t="s">
        <x:v>391</x:v>
      </x:c>
      <x:c r="E46" s="5" t="s">
        <x:v>101</x:v>
      </x:c>
      <x:c r="F46" s="5" t="s">
        <x:v>365</x:v>
      </x:c>
      <x:c r="G46" s="5" t="s">
        <x:v>39</x:v>
      </x:c>
      <x:c r="H46" s="5" t="s">
        <x:v>385</x:v>
      </x:c>
      <x:c r="I46" s="5" t="s">
        <x:v>367</x:v>
      </x:c>
      <x:c r="J46" s="5" t="s">
        <x:v>367</x:v>
      </x:c>
      <x:c r="K46" s="5" t="s">
        <x:v>143</x:v>
      </x:c>
      <x:c r="L46" s="5"/>
      <x:c r="M46" s="5" t="s">
        <x:v>373</x:v>
      </x:c>
      <x:c r="N46" s="5" t="s">
        <x:v>392</x:v>
      </x:c>
      <x:c r="O46" s="5" t="s">
        <x:v>393</x:v>
      </x:c>
      <x:c r="P46" s="5" t="s">
        <x:v>94</x:v>
      </x:c>
      <x:c r="Q46" s="5" t="s">
        <x:v>389</x:v>
      </x:c>
      <x:c r="R46" s="5" t="s">
        <x:v>394</x:v>
      </x:c>
      <x:c r="S46" s="19" t="str">
        <x:v>确认通过</x:v>
      </x:c>
      <x:c r="T46" s="23" t="str">
        <x:v>用户确认仅作为PE/VC相关主体记录，不等同于发行人直接或间接投资主体。</x:v>
      </x:c>
    </x:row>
    <x:row r="47" ht="23">
      <x:c r="A47" s="4" t="s">
        <x:v>395</x:v>
      </x:c>
      <x:c r="B47" s="5"/>
      <x:c r="C47" s="5" t="s">
        <x:v>396</x:v>
      </x:c>
      <x:c r="D47" s="5" t="s">
        <x:v>396</x:v>
      </x:c>
      <x:c r="E47" s="5" t="s">
        <x:v>101</x:v>
      </x:c>
      <x:c r="F47" s="5" t="s">
        <x:v>365</x:v>
      </x:c>
      <x:c r="G47" s="5" t="s">
        <x:v>39</x:v>
      </x:c>
      <x:c r="H47" s="5" t="s">
        <x:v>385</x:v>
      </x:c>
      <x:c r="I47" s="5" t="s">
        <x:v>367</x:v>
      </x:c>
      <x:c r="J47" s="5" t="s">
        <x:v>367</x:v>
      </x:c>
      <x:c r="K47" s="5" t="s">
        <x:v>218</x:v>
      </x:c>
      <x:c r="L47" s="5"/>
      <x:c r="M47" s="5" t="s">
        <x:v>373</x:v>
      </x:c>
      <x:c r="N47" s="5" t="s">
        <x:v>397</x:v>
      </x:c>
      <x:c r="O47" s="5" t="s">
        <x:v>398</x:v>
      </x:c>
      <x:c r="P47" s="5" t="s">
        <x:v>94</x:v>
      </x:c>
      <x:c r="Q47" s="5" t="s">
        <x:v>399</x:v>
      </x:c>
      <x:c r="R47" s="5" t="s">
        <x:v>388</x:v>
      </x:c>
      <x:c r="S47" s="19" t="str">
        <x:v>确认通过</x:v>
      </x:c>
      <x:c r="T47" s="23" t="str">
        <x:v>用户确认仅作为PE/VC相关主体记录，不等同于发行人直接或间接投资主体。</x:v>
      </x:c>
    </x:row>
    <x:row r="48">
      <x:c r="A48" s="4" t="s">
        <x:v>400</x:v>
      </x:c>
      <x:c r="B48" s="5"/>
      <x:c r="C48" s="5" t="s">
        <x:v>401</x:v>
      </x:c>
      <x:c r="D48" s="5" t="s">
        <x:v>401</x:v>
      </x:c>
      <x:c r="E48" s="5" t="s">
        <x:v>101</x:v>
      </x:c>
      <x:c r="F48" s="5" t="s">
        <x:v>365</x:v>
      </x:c>
      <x:c r="G48" s="5" t="s">
        <x:v>39</x:v>
      </x:c>
      <x:c r="H48" s="5" t="s">
        <x:v>385</x:v>
      </x:c>
      <x:c r="I48" s="5" t="s">
        <x:v>367</x:v>
      </x:c>
      <x:c r="J48" s="5" t="s">
        <x:v>367</x:v>
      </x:c>
      <x:c r="K48" s="5" t="s">
        <x:v>218</x:v>
      </x:c>
      <x:c r="L48" s="5"/>
      <x:c r="M48" s="5" t="s">
        <x:v>373</x:v>
      </x:c>
      <x:c r="N48" s="5" t="s">
        <x:v>402</x:v>
      </x:c>
      <x:c r="O48" s="5" t="s">
        <x:v>403</x:v>
      </x:c>
      <x:c r="P48" s="5" t="s">
        <x:v>94</x:v>
      </x:c>
      <x:c r="Q48" s="5" t="s">
        <x:v>404</x:v>
      </x:c>
      <x:c r="R48" s="5" t="s">
        <x:v>405</x:v>
      </x:c>
      <x:c r="S48" s="19" t="str">
        <x:v>确认通过</x:v>
      </x:c>
      <x:c r="T48" s="23" t="str">
        <x:v>用户确认仅作为PE/VC相关主体记录，不等同于发行人直接或间接投资主体。</x:v>
      </x:c>
    </x:row>
    <x:row r="49" ht="23">
      <x:c r="A49" s="7" t="s">
        <x:v>406</x:v>
      </x:c>
      <x:c r="B49" s="8"/>
      <x:c r="C49" s="8" t="s">
        <x:v>407</x:v>
      </x:c>
      <x:c r="D49" s="8" t="s">
        <x:v>407</x:v>
      </x:c>
      <x:c r="E49" s="8" t="s">
        <x:v>101</x:v>
      </x:c>
      <x:c r="F49" s="8" t="s">
        <x:v>365</x:v>
      </x:c>
      <x:c r="G49" s="8" t="s">
        <x:v>39</x:v>
      </x:c>
      <x:c r="H49" s="8" t="s">
        <x:v>385</x:v>
      </x:c>
      <x:c r="I49" s="8" t="s">
        <x:v>367</x:v>
      </x:c>
      <x:c r="J49" s="8" t="s">
        <x:v>367</x:v>
      </x:c>
      <x:c r="K49" s="8" t="s">
        <x:v>314</x:v>
      </x:c>
      <x:c r="L49" s="8"/>
      <x:c r="M49" s="8" t="s">
        <x:v>373</x:v>
      </x:c>
      <x:c r="N49" s="8" t="s">
        <x:v>408</x:v>
      </x:c>
      <x:c r="O49" s="8" t="s">
        <x:v>409</x:v>
      </x:c>
      <x:c r="P49" s="8" t="s">
        <x:v>94</x:v>
      </x:c>
      <x:c r="Q49" s="8" t="s">
        <x:v>410</x:v>
      </x:c>
      <x:c r="R49" s="8" t="s">
        <x:v>411</x:v>
      </x:c>
      <x:c r="S49" s="21" t="str">
        <x:v>确认通过</x:v>
      </x:c>
      <x:c r="T49" s="24" t="str">
        <x:v>用户确认仅作为PE/VC相关主体记录，不等同于发行人直接或间接投资主体。</x:v>
      </x:c>
    </x:row>
  </x:sheetData>
  <x:mergeCells>
    <x:mergeCell ref="A1:T1"/>
    <x:mergeCell ref="A2:T2"/>
  </x:mergeCells>
  <x:conditionalFormatting sqref="G5:G49">
    <x:cfRule type="expression" dxfId="10" priority="1">
      <x:formula>G5="CONFIRMED"</x:formula>
    </x:cfRule>
    <x:cfRule type="expression" dxfId="9" priority="2">
      <x:formula>G5="CANDIDATE"</x:formula>
    </x:cfRule>
    <x:cfRule type="expression" dxfId="8" priority="3">
      <x:formula>G5="RELATED"</x:formula>
    </x:cfRule>
    <x:cfRule type="expression" dxfId="7" priority="4">
      <x:formula>G5="EXCLUDED"</x:formula>
    </x:cfRule>
    <x:cfRule type="expression" dxfId="6" priority="5">
      <x:formula>G5="UNRESOLVED"</x:formula>
    </x:cfRule>
  </x:conditionalFormatting>
  <x:dataValidations count="2">
    <x:dataValidation type="list" sqref="G5:G49">
      <x:formula1>"CONFIRMED,CANDIDATE,RELATED,EXCLUDED,UNRESOLVED"</x:formula1>
    </x:dataValidation>
    <x:dataValidation type="list" sqref="S5:S49">
      <x:formula1>"未复核,确认通过,修改后通过,信息不足保留未知,退回复核"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d55fbd81184450"/>
  </x:tableParts>
</x:worksheet>
</file>

<file path=xl/worksheets/sheet3.xml><?xml version="1.0" encoding="utf-8"?>
<x:worksheet xmlns:x="http://schemas.openxmlformats.org/spreadsheetml/2006/main">
  <x:sheetFormatPr defaultRowHeight="14"/>
  <x:cols>
    <x:col min="1" max="2" width="13" customWidth="1"/>
    <x:col min="3" max="5" width="34" customWidth="1"/>
    <x:col min="6" max="6" width="14" customWidth="1"/>
    <x:col min="7" max="7" width="11" customWidth="1"/>
    <x:col min="8" max="8" width="36" customWidth="1"/>
    <x:col min="9" max="9" width="20" customWidth="1"/>
    <x:col min="10" max="10" width="11" customWidth="1"/>
    <x:col min="11" max="11" width="16" customWidth="1"/>
    <x:col min="12" max="12" width="30" customWidth="1"/>
  </x:cols>
  <x:sheetData>
    <x:row r="1" ht="12" customHeight="1">
      <x:c r="A1" s="37" t="s">
        <x:v>412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</x:row>
    <x:row r="2" ht="24" customHeight="1">
      <x:c r="A2" s="38" t="s">
        <x:v>413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</x:row>
    <x:row r="4" ht="28" customHeight="1">
      <x:c r="A4" s="13" t="s">
        <x:v>414</x:v>
      </x:c>
      <x:c r="B4" s="14" t="s">
        <x:v>65</x:v>
      </x:c>
      <x:c r="C4" s="14" t="s">
        <x:v>415</x:v>
      </x:c>
      <x:c r="D4" s="14" t="s">
        <x:v>416</x:v>
      </x:c>
      <x:c r="E4" s="14" t="s">
        <x:v>67</x:v>
      </x:c>
      <x:c r="F4" s="14" t="s">
        <x:v>417</x:v>
      </x:c>
      <x:c r="G4" s="14" t="s">
        <x:v>418</x:v>
      </x:c>
      <x:c r="H4" s="14" t="s">
        <x:v>419</x:v>
      </x:c>
      <x:c r="I4" s="14" t="s">
        <x:v>420</x:v>
      </x:c>
      <x:c r="J4" s="14" t="s">
        <x:v>80</x:v>
      </x:c>
      <x:c r="K4" s="14" t="s">
        <x:v>83</x:v>
      </x:c>
      <x:c r="L4" s="15" t="s">
        <x:v>421</x:v>
      </x:c>
    </x:row>
    <x:row r="5">
      <x:c r="A5" s="1" t="s">
        <x:v>422</x:v>
      </x:c>
      <x:c r="B5" s="2" t="s">
        <x:v>85</x:v>
      </x:c>
      <x:c r="C5" s="2" t="s">
        <x:v>87</x:v>
      </x:c>
      <x:c r="D5" s="2" t="s">
        <x:v>87</x:v>
      </x:c>
      <x:c r="E5" s="2" t="s">
        <x:v>86</x:v>
      </x:c>
      <x:c r="F5" s="2" t="s">
        <x:v>423</x:v>
      </x:c>
      <x:c r="G5" s="2" t="s">
        <x:v>105</x:v>
      </x:c>
      <x:c r="H5" s="2" t="s">
        <x:v>424</x:v>
      </x:c>
      <x:c r="I5" s="2" t="s">
        <x:v>425</x:v>
      </x:c>
      <x:c r="J5" s="2" t="s">
        <x:v>94</x:v>
      </x:c>
      <x:c r="K5" s="20" t="str">
        <x:v>确认通过</x:v>
      </x:c>
      <x:c r="L5" s="22" t="str">
        <x:v>名称映射依据招股说明书释义、事件正文或明确曾用名，审查通过。</x:v>
      </x:c>
    </x:row>
    <x:row r="6">
      <x:c r="A6" s="4" t="s">
        <x:v>426</x:v>
      </x:c>
      <x:c r="B6" s="5" t="s">
        <x:v>97</x:v>
      </x:c>
      <x:c r="C6" s="5" t="s">
        <x:v>100</x:v>
      </x:c>
      <x:c r="D6" s="5" t="s">
        <x:v>100</x:v>
      </x:c>
      <x:c r="E6" s="5" t="s">
        <x:v>99</x:v>
      </x:c>
      <x:c r="F6" s="5" t="s">
        <x:v>423</x:v>
      </x:c>
      <x:c r="G6" s="5" t="s">
        <x:v>105</x:v>
      </x:c>
      <x:c r="H6" s="5" t="s">
        <x:v>424</x:v>
      </x:c>
      <x:c r="I6" s="5" t="s">
        <x:v>425</x:v>
      </x:c>
      <x:c r="J6" s="5" t="s">
        <x:v>94</x:v>
      </x:c>
      <x:c r="K6" s="19" t="str">
        <x:v>确认通过</x:v>
      </x:c>
      <x:c r="L6" s="23" t="str">
        <x:v>名称映射依据招股说明书释义、事件正文或明确曾用名，审查通过。</x:v>
      </x:c>
    </x:row>
    <x:row r="7">
      <x:c r="A7" s="4" t="s">
        <x:v>427</x:v>
      </x:c>
      <x:c r="B7" s="5" t="s">
        <x:v>113</x:v>
      </x:c>
      <x:c r="C7" s="5" t="s">
        <x:v>115</x:v>
      </x:c>
      <x:c r="D7" s="5" t="s">
        <x:v>115</x:v>
      </x:c>
      <x:c r="E7" s="5" t="s">
        <x:v>115</x:v>
      </x:c>
      <x:c r="F7" s="5" t="s">
        <x:v>428</x:v>
      </x:c>
      <x:c r="G7" s="5" t="s">
        <x:v>105</x:v>
      </x:c>
      <x:c r="H7" s="5" t="s">
        <x:v>424</x:v>
      </x:c>
      <x:c r="I7" s="5" t="s">
        <x:v>425</x:v>
      </x:c>
      <x:c r="J7" s="5" t="s">
        <x:v>94</x:v>
      </x:c>
      <x:c r="K7" s="19" t="str">
        <x:v>确认通过</x:v>
      </x:c>
      <x:c r="L7" s="23" t="str">
        <x:v>名称映射依据招股说明书释义、事件正文或明确曾用名，审查通过。</x:v>
      </x:c>
    </x:row>
    <x:row r="8">
      <x:c r="A8" s="4" t="s">
        <x:v>429</x:v>
      </x:c>
      <x:c r="B8" s="5" t="s">
        <x:v>121</x:v>
      </x:c>
      <x:c r="C8" s="5" t="s">
        <x:v>123</x:v>
      </x:c>
      <x:c r="D8" s="5" t="s">
        <x:v>123</x:v>
      </x:c>
      <x:c r="E8" s="5" t="s">
        <x:v>123</x:v>
      </x:c>
      <x:c r="F8" s="5" t="s">
        <x:v>428</x:v>
      </x:c>
      <x:c r="G8" s="5" t="s">
        <x:v>105</x:v>
      </x:c>
      <x:c r="H8" s="5" t="s">
        <x:v>424</x:v>
      </x:c>
      <x:c r="I8" s="5" t="s">
        <x:v>425</x:v>
      </x:c>
      <x:c r="J8" s="5" t="s">
        <x:v>94</x:v>
      </x:c>
      <x:c r="K8" s="19" t="str">
        <x:v>确认通过</x:v>
      </x:c>
      <x:c r="L8" s="23" t="str">
        <x:v>名称映射依据招股说明书释义、事件正文或明确曾用名，审查通过。</x:v>
      </x:c>
    </x:row>
    <x:row r="9">
      <x:c r="A9" s="4" t="s">
        <x:v>430</x:v>
      </x:c>
      <x:c r="B9" s="5" t="s">
        <x:v>124</x:v>
      </x:c>
      <x:c r="C9" s="5" t="s">
        <x:v>127</x:v>
      </x:c>
      <x:c r="D9" s="5" t="s">
        <x:v>127</x:v>
      </x:c>
      <x:c r="E9" s="5" t="s">
        <x:v>126</x:v>
      </x:c>
      <x:c r="F9" s="5" t="s">
        <x:v>423</x:v>
      </x:c>
      <x:c r="G9" s="5" t="s">
        <x:v>105</x:v>
      </x:c>
      <x:c r="H9" s="5" t="s">
        <x:v>424</x:v>
      </x:c>
      <x:c r="I9" s="5" t="s">
        <x:v>425</x:v>
      </x:c>
      <x:c r="J9" s="5" t="s">
        <x:v>94</x:v>
      </x:c>
      <x:c r="K9" s="19" t="str">
        <x:v>确认通过</x:v>
      </x:c>
      <x:c r="L9" s="23" t="str">
        <x:v>名称映射依据招股说明书释义、事件正文或明确曾用名，审查通过。</x:v>
      </x:c>
    </x:row>
    <x:row r="10">
      <x:c r="A10" s="4" t="s">
        <x:v>431</x:v>
      </x:c>
      <x:c r="B10" s="5" t="s">
        <x:v>138</x:v>
      </x:c>
      <x:c r="C10" s="5" t="s">
        <x:v>141</x:v>
      </x:c>
      <x:c r="D10" s="5" t="s">
        <x:v>141</x:v>
      </x:c>
      <x:c r="E10" s="5" t="s">
        <x:v>140</x:v>
      </x:c>
      <x:c r="F10" s="5" t="s">
        <x:v>423</x:v>
      </x:c>
      <x:c r="G10" s="5" t="s">
        <x:v>105</x:v>
      </x:c>
      <x:c r="H10" s="5" t="s">
        <x:v>424</x:v>
      </x:c>
      <x:c r="I10" s="5" t="s">
        <x:v>425</x:v>
      </x:c>
      <x:c r="J10" s="5" t="s">
        <x:v>94</x:v>
      </x:c>
      <x:c r="K10" s="19" t="str">
        <x:v>确认通过</x:v>
      </x:c>
      <x:c r="L10" s="23" t="str">
        <x:v>名称映射依据招股说明书释义、事件正文或明确曾用名，审查通过。</x:v>
      </x:c>
    </x:row>
    <x:row r="11">
      <x:c r="A11" s="4" t="s">
        <x:v>432</x:v>
      </x:c>
      <x:c r="B11" s="5" t="s">
        <x:v>148</x:v>
      </x:c>
      <x:c r="C11" s="5" t="s">
        <x:v>151</x:v>
      </x:c>
      <x:c r="D11" s="5" t="s">
        <x:v>151</x:v>
      </x:c>
      <x:c r="E11" s="5" t="s">
        <x:v>150</x:v>
      </x:c>
      <x:c r="F11" s="5" t="s">
        <x:v>423</x:v>
      </x:c>
      <x:c r="G11" s="5" t="s">
        <x:v>105</x:v>
      </x:c>
      <x:c r="H11" s="5" t="s">
        <x:v>424</x:v>
      </x:c>
      <x:c r="I11" s="5" t="s">
        <x:v>425</x:v>
      </x:c>
      <x:c r="J11" s="5" t="s">
        <x:v>94</x:v>
      </x:c>
      <x:c r="K11" s="19" t="str">
        <x:v>确认通过</x:v>
      </x:c>
      <x:c r="L11" s="23" t="str">
        <x:v>名称映射依据招股说明书释义、事件正文或明确曾用名，审查通过。</x:v>
      </x:c>
    </x:row>
    <x:row r="12">
      <x:c r="A12" s="4" t="s">
        <x:v>433</x:v>
      </x:c>
      <x:c r="B12" s="5" t="s">
        <x:v>158</x:v>
      </x:c>
      <x:c r="C12" s="5" t="s">
        <x:v>161</x:v>
      </x:c>
      <x:c r="D12" s="5" t="s">
        <x:v>161</x:v>
      </x:c>
      <x:c r="E12" s="5" t="s">
        <x:v>160</x:v>
      </x:c>
      <x:c r="F12" s="5" t="s">
        <x:v>423</x:v>
      </x:c>
      <x:c r="G12" s="5" t="s">
        <x:v>105</x:v>
      </x:c>
      <x:c r="H12" s="5" t="s">
        <x:v>424</x:v>
      </x:c>
      <x:c r="I12" s="5" t="s">
        <x:v>425</x:v>
      </x:c>
      <x:c r="J12" s="5" t="s">
        <x:v>94</x:v>
      </x:c>
      <x:c r="K12" s="19" t="str">
        <x:v>确认通过</x:v>
      </x:c>
      <x:c r="L12" s="23" t="str">
        <x:v>名称映射依据招股说明书释义、事件正文或明确曾用名，审查通过。</x:v>
      </x:c>
    </x:row>
    <x:row r="13">
      <x:c r="A13" s="4" t="s">
        <x:v>434</x:v>
      </x:c>
      <x:c r="B13" s="5" t="s">
        <x:v>166</x:v>
      </x:c>
      <x:c r="C13" s="5" t="s">
        <x:v>169</x:v>
      </x:c>
      <x:c r="D13" s="5" t="s">
        <x:v>169</x:v>
      </x:c>
      <x:c r="E13" s="5" t="s">
        <x:v>168</x:v>
      </x:c>
      <x:c r="F13" s="5" t="s">
        <x:v>423</x:v>
      </x:c>
      <x:c r="G13" s="5" t="s">
        <x:v>105</x:v>
      </x:c>
      <x:c r="H13" s="5" t="s">
        <x:v>424</x:v>
      </x:c>
      <x:c r="I13" s="5" t="s">
        <x:v>425</x:v>
      </x:c>
      <x:c r="J13" s="5" t="s">
        <x:v>94</x:v>
      </x:c>
      <x:c r="K13" s="19" t="str">
        <x:v>确认通过</x:v>
      </x:c>
      <x:c r="L13" s="23" t="str">
        <x:v>名称映射依据招股说明书释义、事件正文或明确曾用名，审查通过。</x:v>
      </x:c>
    </x:row>
    <x:row r="14">
      <x:c r="A14" s="4" t="s">
        <x:v>435</x:v>
      </x:c>
      <x:c r="B14" s="5" t="s">
        <x:v>176</x:v>
      </x:c>
      <x:c r="C14" s="5" t="s">
        <x:v>179</x:v>
      </x:c>
      <x:c r="D14" s="5" t="s">
        <x:v>179</x:v>
      </x:c>
      <x:c r="E14" s="5" t="s">
        <x:v>178</x:v>
      </x:c>
      <x:c r="F14" s="5" t="s">
        <x:v>423</x:v>
      </x:c>
      <x:c r="G14" s="5" t="s">
        <x:v>105</x:v>
      </x:c>
      <x:c r="H14" s="5" t="s">
        <x:v>424</x:v>
      </x:c>
      <x:c r="I14" s="5" t="s">
        <x:v>425</x:v>
      </x:c>
      <x:c r="J14" s="5" t="s">
        <x:v>94</x:v>
      </x:c>
      <x:c r="K14" s="19" t="str">
        <x:v>确认通过</x:v>
      </x:c>
      <x:c r="L14" s="23" t="str">
        <x:v>名称映射依据招股说明书释义、事件正文或明确曾用名，审查通过。</x:v>
      </x:c>
    </x:row>
    <x:row r="15">
      <x:c r="A15" s="4" t="s">
        <x:v>436</x:v>
      </x:c>
      <x:c r="B15" s="5" t="s">
        <x:v>186</x:v>
      </x:c>
      <x:c r="C15" s="5" t="s">
        <x:v>189</x:v>
      </x:c>
      <x:c r="D15" s="5" t="s">
        <x:v>189</x:v>
      </x:c>
      <x:c r="E15" s="5" t="s">
        <x:v>188</x:v>
      </x:c>
      <x:c r="F15" s="5" t="s">
        <x:v>423</x:v>
      </x:c>
      <x:c r="G15" s="5" t="s">
        <x:v>105</x:v>
      </x:c>
      <x:c r="H15" s="5" t="s">
        <x:v>424</x:v>
      </x:c>
      <x:c r="I15" s="5" t="s">
        <x:v>425</x:v>
      </x:c>
      <x:c r="J15" s="5" t="s">
        <x:v>94</x:v>
      </x:c>
      <x:c r="K15" s="19" t="str">
        <x:v>确认通过</x:v>
      </x:c>
      <x:c r="L15" s="23" t="str">
        <x:v>名称映射依据招股说明书释义、事件正文或明确曾用名，审查通过。</x:v>
      </x:c>
    </x:row>
    <x:row r="16">
      <x:c r="A16" s="4" t="s">
        <x:v>437</x:v>
      </x:c>
      <x:c r="B16" s="5" t="s">
        <x:v>191</x:v>
      </x:c>
      <x:c r="C16" s="5" t="s">
        <x:v>194</x:v>
      </x:c>
      <x:c r="D16" s="5" t="s">
        <x:v>194</x:v>
      </x:c>
      <x:c r="E16" s="5" t="s">
        <x:v>193</x:v>
      </x:c>
      <x:c r="F16" s="5" t="s">
        <x:v>423</x:v>
      </x:c>
      <x:c r="G16" s="5" t="s">
        <x:v>105</x:v>
      </x:c>
      <x:c r="H16" s="5" t="s">
        <x:v>424</x:v>
      </x:c>
      <x:c r="I16" s="5" t="s">
        <x:v>425</x:v>
      </x:c>
      <x:c r="J16" s="5" t="s">
        <x:v>94</x:v>
      </x:c>
      <x:c r="K16" s="19" t="str">
        <x:v>确认通过</x:v>
      </x:c>
      <x:c r="L16" s="23" t="str">
        <x:v>名称映射依据招股说明书释义、事件正文或明确曾用名，审查通过。</x:v>
      </x:c>
    </x:row>
    <x:row r="17" ht="23">
      <x:c r="A17" s="4" t="s">
        <x:v>438</x:v>
      </x:c>
      <x:c r="B17" s="5" t="s">
        <x:v>196</x:v>
      </x:c>
      <x:c r="C17" s="5" t="s">
        <x:v>199</x:v>
      </x:c>
      <x:c r="D17" s="5" t="s">
        <x:v>199</x:v>
      </x:c>
      <x:c r="E17" s="5" t="s">
        <x:v>198</x:v>
      </x:c>
      <x:c r="F17" s="5" t="s">
        <x:v>423</x:v>
      </x:c>
      <x:c r="G17" s="5" t="s">
        <x:v>105</x:v>
      </x:c>
      <x:c r="H17" s="5" t="s">
        <x:v>424</x:v>
      </x:c>
      <x:c r="I17" s="5" t="s">
        <x:v>425</x:v>
      </x:c>
      <x:c r="J17" s="5" t="s">
        <x:v>94</x:v>
      </x:c>
      <x:c r="K17" s="19" t="str">
        <x:v>确认通过</x:v>
      </x:c>
      <x:c r="L17" s="23" t="str">
        <x:v>名称映射依据招股说明书释义、事件正文或明确曾用名，审查通过。</x:v>
      </x:c>
    </x:row>
    <x:row r="18">
      <x:c r="A18" s="4" t="s">
        <x:v>439</x:v>
      </x:c>
      <x:c r="B18" s="5" t="s">
        <x:v>205</x:v>
      </x:c>
      <x:c r="C18" s="5" t="s">
        <x:v>208</x:v>
      </x:c>
      <x:c r="D18" s="5" t="s">
        <x:v>208</x:v>
      </x:c>
      <x:c r="E18" s="5" t="s">
        <x:v>207</x:v>
      </x:c>
      <x:c r="F18" s="5" t="s">
        <x:v>423</x:v>
      </x:c>
      <x:c r="G18" s="5" t="s">
        <x:v>105</x:v>
      </x:c>
      <x:c r="H18" s="5" t="s">
        <x:v>424</x:v>
      </x:c>
      <x:c r="I18" s="5" t="s">
        <x:v>425</x:v>
      </x:c>
      <x:c r="J18" s="5" t="s">
        <x:v>94</x:v>
      </x:c>
      <x:c r="K18" s="19" t="str">
        <x:v>确认通过</x:v>
      </x:c>
      <x:c r="L18" s="23" t="str">
        <x:v>名称映射依据招股说明书释义、事件正文或明确曾用名，审查通过。</x:v>
      </x:c>
    </x:row>
    <x:row r="19" ht="23">
      <x:c r="A19" s="4" t="s">
        <x:v>440</x:v>
      </x:c>
      <x:c r="B19" s="5" t="s">
        <x:v>213</x:v>
      </x:c>
      <x:c r="C19" s="5" t="s">
        <x:v>216</x:v>
      </x:c>
      <x:c r="D19" s="5" t="s">
        <x:v>216</x:v>
      </x:c>
      <x:c r="E19" s="5" t="s">
        <x:v>215</x:v>
      </x:c>
      <x:c r="F19" s="5" t="s">
        <x:v>423</x:v>
      </x:c>
      <x:c r="G19" s="5" t="s">
        <x:v>105</x:v>
      </x:c>
      <x:c r="H19" s="5" t="s">
        <x:v>424</x:v>
      </x:c>
      <x:c r="I19" s="5" t="s">
        <x:v>425</x:v>
      </x:c>
      <x:c r="J19" s="5" t="s">
        <x:v>94</x:v>
      </x:c>
      <x:c r="K19" s="19" t="str">
        <x:v>确认通过</x:v>
      </x:c>
      <x:c r="L19" s="23" t="str">
        <x:v>名称映射依据招股说明书释义、事件正文或明确曾用名，审查通过。</x:v>
      </x:c>
    </x:row>
    <x:row r="20">
      <x:c r="A20" s="4" t="s">
        <x:v>441</x:v>
      </x:c>
      <x:c r="B20" s="5" t="s">
        <x:v>223</x:v>
      </x:c>
      <x:c r="C20" s="5" t="s">
        <x:v>226</x:v>
      </x:c>
      <x:c r="D20" s="5" t="s">
        <x:v>226</x:v>
      </x:c>
      <x:c r="E20" s="5" t="s">
        <x:v>225</x:v>
      </x:c>
      <x:c r="F20" s="5" t="s">
        <x:v>423</x:v>
      </x:c>
      <x:c r="G20" s="5" t="s">
        <x:v>105</x:v>
      </x:c>
      <x:c r="H20" s="5" t="s">
        <x:v>424</x:v>
      </x:c>
      <x:c r="I20" s="5" t="s">
        <x:v>425</x:v>
      </x:c>
      <x:c r="J20" s="5" t="s">
        <x:v>94</x:v>
      </x:c>
      <x:c r="K20" s="19" t="str">
        <x:v>确认通过</x:v>
      </x:c>
      <x:c r="L20" s="23" t="str">
        <x:v>名称映射依据招股说明书释义、事件正文或明确曾用名，审查通过。</x:v>
      </x:c>
    </x:row>
    <x:row r="21">
      <x:c r="A21" s="4" t="s">
        <x:v>442</x:v>
      </x:c>
      <x:c r="B21" s="5" t="s">
        <x:v>232</x:v>
      </x:c>
      <x:c r="C21" s="5" t="s">
        <x:v>235</x:v>
      </x:c>
      <x:c r="D21" s="5" t="s">
        <x:v>235</x:v>
      </x:c>
      <x:c r="E21" s="5" t="s">
        <x:v>234</x:v>
      </x:c>
      <x:c r="F21" s="5" t="s">
        <x:v>423</x:v>
      </x:c>
      <x:c r="G21" s="5" t="s">
        <x:v>105</x:v>
      </x:c>
      <x:c r="H21" s="5" t="s">
        <x:v>424</x:v>
      </x:c>
      <x:c r="I21" s="5" t="s">
        <x:v>425</x:v>
      </x:c>
      <x:c r="J21" s="5" t="s">
        <x:v>94</x:v>
      </x:c>
      <x:c r="K21" s="19" t="str">
        <x:v>确认通过</x:v>
      </x:c>
      <x:c r="L21" s="23" t="str">
        <x:v>名称映射依据招股说明书释义、事件正文或明确曾用名，审查通过。</x:v>
      </x:c>
    </x:row>
    <x:row r="22">
      <x:c r="A22" s="4" t="s">
        <x:v>443</x:v>
      </x:c>
      <x:c r="B22" s="5" t="s">
        <x:v>239</x:v>
      </x:c>
      <x:c r="C22" s="5" t="s">
        <x:v>241</x:v>
      </x:c>
      <x:c r="D22" s="5" t="s">
        <x:v>241</x:v>
      </x:c>
      <x:c r="E22" s="5" t="s">
        <x:v>241</x:v>
      </x:c>
      <x:c r="F22" s="5" t="s">
        <x:v>428</x:v>
      </x:c>
      <x:c r="G22" s="5" t="s">
        <x:v>105</x:v>
      </x:c>
      <x:c r="H22" s="5" t="s">
        <x:v>424</x:v>
      </x:c>
      <x:c r="I22" s="5" t="s">
        <x:v>425</x:v>
      </x:c>
      <x:c r="J22" s="5" t="s">
        <x:v>94</x:v>
      </x:c>
      <x:c r="K22" s="19" t="str">
        <x:v>确认通过</x:v>
      </x:c>
      <x:c r="L22" s="23" t="str">
        <x:v>名称映射依据招股说明书释义、事件正文或明确曾用名，审查通过。</x:v>
      </x:c>
    </x:row>
    <x:row r="23" ht="23">
      <x:c r="A23" s="4" t="s">
        <x:v>444</x:v>
      </x:c>
      <x:c r="B23" s="5" t="s">
        <x:v>247</x:v>
      </x:c>
      <x:c r="C23" s="5" t="s">
        <x:v>250</x:v>
      </x:c>
      <x:c r="D23" s="5" t="s">
        <x:v>250</x:v>
      </x:c>
      <x:c r="E23" s="5" t="s">
        <x:v>249</x:v>
      </x:c>
      <x:c r="F23" s="5" t="s">
        <x:v>423</x:v>
      </x:c>
      <x:c r="G23" s="5" t="s">
        <x:v>105</x:v>
      </x:c>
      <x:c r="H23" s="5" t="s">
        <x:v>424</x:v>
      </x:c>
      <x:c r="I23" s="5" t="s">
        <x:v>425</x:v>
      </x:c>
      <x:c r="J23" s="5" t="s">
        <x:v>94</x:v>
      </x:c>
      <x:c r="K23" s="19" t="str">
        <x:v>确认通过</x:v>
      </x:c>
      <x:c r="L23" s="23" t="str">
        <x:v>名称映射依据招股说明书释义、事件正文或明确曾用名，审查通过。</x:v>
      </x:c>
    </x:row>
    <x:row r="24">
      <x:c r="A24" s="4" t="s">
        <x:v>445</x:v>
      </x:c>
      <x:c r="B24" s="5" t="s">
        <x:v>256</x:v>
      </x:c>
      <x:c r="C24" s="5" t="s">
        <x:v>259</x:v>
      </x:c>
      <x:c r="D24" s="5" t="s">
        <x:v>259</x:v>
      </x:c>
      <x:c r="E24" s="5" t="s">
        <x:v>258</x:v>
      </x:c>
      <x:c r="F24" s="5" t="s">
        <x:v>423</x:v>
      </x:c>
      <x:c r="G24" s="5" t="s">
        <x:v>105</x:v>
      </x:c>
      <x:c r="H24" s="5" t="s">
        <x:v>424</x:v>
      </x:c>
      <x:c r="I24" s="5" t="s">
        <x:v>425</x:v>
      </x:c>
      <x:c r="J24" s="5" t="s">
        <x:v>94</x:v>
      </x:c>
      <x:c r="K24" s="19" t="str">
        <x:v>确认通过</x:v>
      </x:c>
      <x:c r="L24" s="23" t="str">
        <x:v>名称映射依据招股说明书释义、事件正文或明确曾用名，审查通过。</x:v>
      </x:c>
    </x:row>
    <x:row r="25">
      <x:c r="A25" s="4" t="s">
        <x:v>446</x:v>
      </x:c>
      <x:c r="B25" s="5" t="s">
        <x:v>263</x:v>
      </x:c>
      <x:c r="C25" s="5" t="s">
        <x:v>265</x:v>
      </x:c>
      <x:c r="D25" s="5" t="s">
        <x:v>265</x:v>
      </x:c>
      <x:c r="E25" s="5" t="s">
        <x:v>265</x:v>
      </x:c>
      <x:c r="F25" s="5" t="s">
        <x:v>428</x:v>
      </x:c>
      <x:c r="G25" s="5" t="s">
        <x:v>105</x:v>
      </x:c>
      <x:c r="H25" s="5" t="s">
        <x:v>424</x:v>
      </x:c>
      <x:c r="I25" s="5" t="s">
        <x:v>425</x:v>
      </x:c>
      <x:c r="J25" s="5" t="s">
        <x:v>94</x:v>
      </x:c>
      <x:c r="K25" s="19" t="str">
        <x:v>确认通过</x:v>
      </x:c>
      <x:c r="L25" s="23" t="str">
        <x:v>名称映射依据招股说明书释义、事件正文或明确曾用名，审查通过。</x:v>
      </x:c>
    </x:row>
    <x:row r="26">
      <x:c r="A26" s="4" t="s">
        <x:v>447</x:v>
      </x:c>
      <x:c r="B26" s="5" t="s">
        <x:v>270</x:v>
      </x:c>
      <x:c r="C26" s="5" t="s">
        <x:v>272</x:v>
      </x:c>
      <x:c r="D26" s="5" t="s">
        <x:v>272</x:v>
      </x:c>
      <x:c r="E26" s="5" t="s">
        <x:v>272</x:v>
      </x:c>
      <x:c r="F26" s="5" t="s">
        <x:v>428</x:v>
      </x:c>
      <x:c r="G26" s="5" t="s">
        <x:v>105</x:v>
      </x:c>
      <x:c r="H26" s="5" t="s">
        <x:v>424</x:v>
      </x:c>
      <x:c r="I26" s="5" t="s">
        <x:v>425</x:v>
      </x:c>
      <x:c r="J26" s="5" t="s">
        <x:v>94</x:v>
      </x:c>
      <x:c r="K26" s="19" t="str">
        <x:v>确认通过</x:v>
      </x:c>
      <x:c r="L26" s="23" t="str">
        <x:v>名称映射依据招股说明书释义、事件正文或明确曾用名，审查通过。</x:v>
      </x:c>
    </x:row>
    <x:row r="27">
      <x:c r="A27" s="4" t="s">
        <x:v>448</x:v>
      </x:c>
      <x:c r="B27" s="5" t="s">
        <x:v>273</x:v>
      </x:c>
      <x:c r="C27" s="5" t="s">
        <x:v>275</x:v>
      </x:c>
      <x:c r="D27" s="5" t="s">
        <x:v>275</x:v>
      </x:c>
      <x:c r="E27" s="5" t="s">
        <x:v>275</x:v>
      </x:c>
      <x:c r="F27" s="5" t="s">
        <x:v>428</x:v>
      </x:c>
      <x:c r="G27" s="5" t="s">
        <x:v>105</x:v>
      </x:c>
      <x:c r="H27" s="5" t="s">
        <x:v>424</x:v>
      </x:c>
      <x:c r="I27" s="5" t="s">
        <x:v>425</x:v>
      </x:c>
      <x:c r="J27" s="5" t="s">
        <x:v>94</x:v>
      </x:c>
      <x:c r="K27" s="19" t="str">
        <x:v>确认通过</x:v>
      </x:c>
      <x:c r="L27" s="23" t="str">
        <x:v>名称映射依据招股说明书释义、事件正文或明确曾用名，审查通过。</x:v>
      </x:c>
    </x:row>
    <x:row r="28">
      <x:c r="A28" s="4" t="s">
        <x:v>449</x:v>
      </x:c>
      <x:c r="B28" s="5" t="s">
        <x:v>277</x:v>
      </x:c>
      <x:c r="C28" s="5" t="s">
        <x:v>279</x:v>
      </x:c>
      <x:c r="D28" s="5" t="s">
        <x:v>279</x:v>
      </x:c>
      <x:c r="E28" s="5" t="s">
        <x:v>279</x:v>
      </x:c>
      <x:c r="F28" s="5" t="s">
        <x:v>428</x:v>
      </x:c>
      <x:c r="G28" s="5" t="s">
        <x:v>105</x:v>
      </x:c>
      <x:c r="H28" s="5" t="s">
        <x:v>424</x:v>
      </x:c>
      <x:c r="I28" s="5" t="s">
        <x:v>425</x:v>
      </x:c>
      <x:c r="J28" s="5" t="s">
        <x:v>94</x:v>
      </x:c>
      <x:c r="K28" s="19" t="str">
        <x:v>确认通过</x:v>
      </x:c>
      <x:c r="L28" s="23" t="str">
        <x:v>名称映射依据招股说明书释义、事件正文或明确曾用名，审查通过。</x:v>
      </x:c>
    </x:row>
    <x:row r="29" ht="23">
      <x:c r="A29" s="4" t="s">
        <x:v>450</x:v>
      </x:c>
      <x:c r="B29" s="5" t="s">
        <x:v>280</x:v>
      </x:c>
      <x:c r="C29" s="5" t="s">
        <x:v>283</x:v>
      </x:c>
      <x:c r="D29" s="5" t="s">
        <x:v>283</x:v>
      </x:c>
      <x:c r="E29" s="5" t="s">
        <x:v>282</x:v>
      </x:c>
      <x:c r="F29" s="5" t="s">
        <x:v>423</x:v>
      </x:c>
      <x:c r="G29" s="5" t="s">
        <x:v>105</x:v>
      </x:c>
      <x:c r="H29" s="5" t="s">
        <x:v>424</x:v>
      </x:c>
      <x:c r="I29" s="5" t="s">
        <x:v>425</x:v>
      </x:c>
      <x:c r="J29" s="5" t="s">
        <x:v>94</x:v>
      </x:c>
      <x:c r="K29" s="19" t="str">
        <x:v>确认通过</x:v>
      </x:c>
      <x:c r="L29" s="23" t="str">
        <x:v>名称映射依据招股说明书释义、事件正文或明确曾用名，审查通过。</x:v>
      </x:c>
    </x:row>
    <x:row r="30">
      <x:c r="A30" s="4" t="s">
        <x:v>451</x:v>
      </x:c>
      <x:c r="B30" s="5" t="s">
        <x:v>287</x:v>
      </x:c>
      <x:c r="C30" s="5" t="s">
        <x:v>290</x:v>
      </x:c>
      <x:c r="D30" s="5" t="s">
        <x:v>290</x:v>
      </x:c>
      <x:c r="E30" s="5" t="s">
        <x:v>289</x:v>
      </x:c>
      <x:c r="F30" s="5" t="s">
        <x:v>423</x:v>
      </x:c>
      <x:c r="G30" s="5" t="s">
        <x:v>105</x:v>
      </x:c>
      <x:c r="H30" s="5" t="s">
        <x:v>424</x:v>
      </x:c>
      <x:c r="I30" s="5" t="s">
        <x:v>425</x:v>
      </x:c>
      <x:c r="J30" s="5" t="s">
        <x:v>94</x:v>
      </x:c>
      <x:c r="K30" s="19" t="str">
        <x:v>确认通过</x:v>
      </x:c>
      <x:c r="L30" s="23" t="str">
        <x:v>名称映射依据招股说明书释义、事件正文或明确曾用名，审查通过。</x:v>
      </x:c>
    </x:row>
    <x:row r="31">
      <x:c r="A31" s="4" t="s">
        <x:v>452</x:v>
      </x:c>
      <x:c r="B31" s="5" t="s">
        <x:v>291</x:v>
      </x:c>
      <x:c r="C31" s="5" t="s">
        <x:v>294</x:v>
      </x:c>
      <x:c r="D31" s="5" t="s">
        <x:v>294</x:v>
      </x:c>
      <x:c r="E31" s="5" t="s">
        <x:v>293</x:v>
      </x:c>
      <x:c r="F31" s="5" t="s">
        <x:v>423</x:v>
      </x:c>
      <x:c r="G31" s="5" t="s">
        <x:v>105</x:v>
      </x:c>
      <x:c r="H31" s="5" t="s">
        <x:v>424</x:v>
      </x:c>
      <x:c r="I31" s="5" t="s">
        <x:v>425</x:v>
      </x:c>
      <x:c r="J31" s="5" t="s">
        <x:v>94</x:v>
      </x:c>
      <x:c r="K31" s="19" t="str">
        <x:v>确认通过</x:v>
      </x:c>
      <x:c r="L31" s="23" t="str">
        <x:v>名称映射依据招股说明书释义、事件正文或明确曾用名，审查通过。</x:v>
      </x:c>
    </x:row>
    <x:row r="32">
      <x:c r="A32" s="4" t="s">
        <x:v>453</x:v>
      </x:c>
      <x:c r="B32" s="5" t="s">
        <x:v>299</x:v>
      </x:c>
      <x:c r="C32" s="5" t="s">
        <x:v>302</x:v>
      </x:c>
      <x:c r="D32" s="5" t="s">
        <x:v>302</x:v>
      </x:c>
      <x:c r="E32" s="5" t="s">
        <x:v>301</x:v>
      </x:c>
      <x:c r="F32" s="5" t="s">
        <x:v>423</x:v>
      </x:c>
      <x:c r="G32" s="5" t="s">
        <x:v>105</x:v>
      </x:c>
      <x:c r="H32" s="5" t="s">
        <x:v>424</x:v>
      </x:c>
      <x:c r="I32" s="5" t="s">
        <x:v>425</x:v>
      </x:c>
      <x:c r="J32" s="5" t="s">
        <x:v>94</x:v>
      </x:c>
      <x:c r="K32" s="19" t="str">
        <x:v>确认通过</x:v>
      </x:c>
      <x:c r="L32" s="23" t="str">
        <x:v>名称映射依据招股说明书释义、事件正文或明确曾用名，审查通过。</x:v>
      </x:c>
    </x:row>
    <x:row r="33">
      <x:c r="A33" s="4" t="s">
        <x:v>454</x:v>
      </x:c>
      <x:c r="B33" s="5" t="s">
        <x:v>309</x:v>
      </x:c>
      <x:c r="C33" s="5" t="s">
        <x:v>312</x:v>
      </x:c>
      <x:c r="D33" s="5" t="s">
        <x:v>312</x:v>
      </x:c>
      <x:c r="E33" s="5" t="s">
        <x:v>311</x:v>
      </x:c>
      <x:c r="F33" s="5" t="s">
        <x:v>423</x:v>
      </x:c>
      <x:c r="G33" s="5" t="s">
        <x:v>105</x:v>
      </x:c>
      <x:c r="H33" s="5" t="s">
        <x:v>424</x:v>
      </x:c>
      <x:c r="I33" s="5" t="s">
        <x:v>425</x:v>
      </x:c>
      <x:c r="J33" s="5" t="s">
        <x:v>94</x:v>
      </x:c>
      <x:c r="K33" s="19" t="str">
        <x:v>确认通过</x:v>
      </x:c>
      <x:c r="L33" s="23" t="str">
        <x:v>名称映射依据招股说明书释义、事件正文或明确曾用名，审查通过。</x:v>
      </x:c>
    </x:row>
    <x:row r="34">
      <x:c r="A34" s="4" t="s">
        <x:v>455</x:v>
      </x:c>
      <x:c r="B34" s="5" t="s">
        <x:v>319</x:v>
      </x:c>
      <x:c r="C34" s="5" t="s">
        <x:v>322</x:v>
      </x:c>
      <x:c r="D34" s="5" t="s">
        <x:v>322</x:v>
      </x:c>
      <x:c r="E34" s="5" t="s">
        <x:v>321</x:v>
      </x:c>
      <x:c r="F34" s="5" t="s">
        <x:v>423</x:v>
      </x:c>
      <x:c r="G34" s="5" t="s">
        <x:v>105</x:v>
      </x:c>
      <x:c r="H34" s="5" t="s">
        <x:v>424</x:v>
      </x:c>
      <x:c r="I34" s="5" t="s">
        <x:v>425</x:v>
      </x:c>
      <x:c r="J34" s="5" t="s">
        <x:v>94</x:v>
      </x:c>
      <x:c r="K34" s="19" t="str">
        <x:v>确认通过</x:v>
      </x:c>
      <x:c r="L34" s="23" t="str">
        <x:v>名称映射依据招股说明书释义、事件正文或明确曾用名，审查通过。</x:v>
      </x:c>
    </x:row>
    <x:row r="35">
      <x:c r="A35" s="4" t="s">
        <x:v>456</x:v>
      </x:c>
      <x:c r="B35" s="5" t="s">
        <x:v>328</x:v>
      </x:c>
      <x:c r="C35" s="5" t="s">
        <x:v>330</x:v>
      </x:c>
      <x:c r="D35" s="5" t="s">
        <x:v>330</x:v>
      </x:c>
      <x:c r="E35" s="5" t="s">
        <x:v>330</x:v>
      </x:c>
      <x:c r="F35" s="5" t="s">
        <x:v>428</x:v>
      </x:c>
      <x:c r="G35" s="5" t="s">
        <x:v>105</x:v>
      </x:c>
      <x:c r="H35" s="5" t="s">
        <x:v>424</x:v>
      </x:c>
      <x:c r="I35" s="5" t="s">
        <x:v>425</x:v>
      </x:c>
      <x:c r="J35" s="5" t="s">
        <x:v>94</x:v>
      </x:c>
      <x:c r="K35" s="19" t="str">
        <x:v>确认通过</x:v>
      </x:c>
      <x:c r="L35" s="23" t="str">
        <x:v>名称映射依据招股说明书释义、事件正文或明确曾用名，审查通过。</x:v>
      </x:c>
    </x:row>
    <x:row r="36">
      <x:c r="A36" s="4" t="s">
        <x:v>457</x:v>
      </x:c>
      <x:c r="B36" s="5" t="s">
        <x:v>334</x:v>
      </x:c>
      <x:c r="C36" s="5" t="s">
        <x:v>337</x:v>
      </x:c>
      <x:c r="D36" s="5" t="s">
        <x:v>337</x:v>
      </x:c>
      <x:c r="E36" s="5" t="s">
        <x:v>336</x:v>
      </x:c>
      <x:c r="F36" s="5" t="s">
        <x:v>423</x:v>
      </x:c>
      <x:c r="G36" s="5" t="s">
        <x:v>105</x:v>
      </x:c>
      <x:c r="H36" s="5" t="s">
        <x:v>424</x:v>
      </x:c>
      <x:c r="I36" s="5" t="s">
        <x:v>425</x:v>
      </x:c>
      <x:c r="J36" s="5" t="s">
        <x:v>94</x:v>
      </x:c>
      <x:c r="K36" s="19" t="str">
        <x:v>确认通过</x:v>
      </x:c>
      <x:c r="L36" s="23" t="str">
        <x:v>名称映射依据招股说明书释义、事件正文或明确曾用名，审查通过。</x:v>
      </x:c>
    </x:row>
    <x:row r="37">
      <x:c r="A37" s="4" t="s">
        <x:v>458</x:v>
      </x:c>
      <x:c r="B37" s="5" t="s">
        <x:v>344</x:v>
      </x:c>
      <x:c r="C37" s="5" t="s">
        <x:v>346</x:v>
      </x:c>
      <x:c r="D37" s="5" t="s">
        <x:v>346</x:v>
      </x:c>
      <x:c r="E37" s="5" t="s">
        <x:v>346</x:v>
      </x:c>
      <x:c r="F37" s="5" t="s">
        <x:v>428</x:v>
      </x:c>
      <x:c r="G37" s="5" t="s">
        <x:v>105</x:v>
      </x:c>
      <x:c r="H37" s="5" t="s">
        <x:v>424</x:v>
      </x:c>
      <x:c r="I37" s="5" t="s">
        <x:v>425</x:v>
      </x:c>
      <x:c r="J37" s="5" t="s">
        <x:v>94</x:v>
      </x:c>
      <x:c r="K37" s="19" t="str">
        <x:v>确认通过</x:v>
      </x:c>
      <x:c r="L37" s="23" t="str">
        <x:v>名称映射依据招股说明书释义、事件正文或明确曾用名，审查通过。</x:v>
      </x:c>
    </x:row>
    <x:row r="38">
      <x:c r="A38" s="4" t="s">
        <x:v>459</x:v>
      </x:c>
      <x:c r="B38" s="5" t="s">
        <x:v>347</x:v>
      </x:c>
      <x:c r="C38" s="5" t="s">
        <x:v>349</x:v>
      </x:c>
      <x:c r="D38" s="5" t="s">
        <x:v>349</x:v>
      </x:c>
      <x:c r="E38" s="5" t="s">
        <x:v>349</x:v>
      </x:c>
      <x:c r="F38" s="5" t="s">
        <x:v>428</x:v>
      </x:c>
      <x:c r="G38" s="5" t="s">
        <x:v>105</x:v>
      </x:c>
      <x:c r="H38" s="5" t="s">
        <x:v>424</x:v>
      </x:c>
      <x:c r="I38" s="5" t="s">
        <x:v>425</x:v>
      </x:c>
      <x:c r="J38" s="5" t="s">
        <x:v>94</x:v>
      </x:c>
      <x:c r="K38" s="19" t="str">
        <x:v>确认通过</x:v>
      </x:c>
      <x:c r="L38" s="23" t="str">
        <x:v>名称映射依据招股说明书释义、事件正文或明确曾用名，审查通过。</x:v>
      </x:c>
    </x:row>
    <x:row r="39">
      <x:c r="A39" s="4" t="s">
        <x:v>460</x:v>
      </x:c>
      <x:c r="B39" s="5" t="s">
        <x:v>350</x:v>
      </x:c>
      <x:c r="C39" s="5" t="s">
        <x:v>352</x:v>
      </x:c>
      <x:c r="D39" s="5" t="s">
        <x:v>352</x:v>
      </x:c>
      <x:c r="E39" s="5" t="s">
        <x:v>352</x:v>
      </x:c>
      <x:c r="F39" s="5" t="s">
        <x:v>428</x:v>
      </x:c>
      <x:c r="G39" s="5" t="s">
        <x:v>105</x:v>
      </x:c>
      <x:c r="H39" s="5" t="s">
        <x:v>424</x:v>
      </x:c>
      <x:c r="I39" s="5" t="s">
        <x:v>425</x:v>
      </x:c>
      <x:c r="J39" s="5" t="s">
        <x:v>94</x:v>
      </x:c>
      <x:c r="K39" s="19" t="str">
        <x:v>确认通过</x:v>
      </x:c>
      <x:c r="L39" s="23" t="str">
        <x:v>名称映射依据招股说明书释义、事件正文或明确曾用名，审查通过。</x:v>
      </x:c>
    </x:row>
    <x:row r="40">
      <x:c r="A40" s="4" t="s">
        <x:v>461</x:v>
      </x:c>
      <x:c r="B40" s="5" t="s">
        <x:v>353</x:v>
      </x:c>
      <x:c r="C40" s="5" t="s">
        <x:v>355</x:v>
      </x:c>
      <x:c r="D40" s="5" t="s">
        <x:v>355</x:v>
      </x:c>
      <x:c r="E40" s="5" t="s">
        <x:v>355</x:v>
      </x:c>
      <x:c r="F40" s="5" t="s">
        <x:v>428</x:v>
      </x:c>
      <x:c r="G40" s="5" t="s">
        <x:v>105</x:v>
      </x:c>
      <x:c r="H40" s="5" t="s">
        <x:v>424</x:v>
      </x:c>
      <x:c r="I40" s="5" t="s">
        <x:v>425</x:v>
      </x:c>
      <x:c r="J40" s="5" t="s">
        <x:v>94</x:v>
      </x:c>
      <x:c r="K40" s="19" t="str">
        <x:v>确认通过</x:v>
      </x:c>
      <x:c r="L40" s="23" t="str">
        <x:v>名称映射依据招股说明书释义、事件正文或明确曾用名，审查通过。</x:v>
      </x:c>
    </x:row>
    <x:row r="41">
      <x:c r="A41" s="4" t="s">
        <x:v>462</x:v>
      </x:c>
      <x:c r="B41" s="5" t="s">
        <x:v>356</x:v>
      </x:c>
      <x:c r="C41" s="5" t="s">
        <x:v>359</x:v>
      </x:c>
      <x:c r="D41" s="5" t="s">
        <x:v>359</x:v>
      </x:c>
      <x:c r="E41" s="5" t="s">
        <x:v>358</x:v>
      </x:c>
      <x:c r="F41" s="5" t="s">
        <x:v>423</x:v>
      </x:c>
      <x:c r="G41" s="5" t="s">
        <x:v>105</x:v>
      </x:c>
      <x:c r="H41" s="5" t="s">
        <x:v>424</x:v>
      </x:c>
      <x:c r="I41" s="5" t="s">
        <x:v>425</x:v>
      </x:c>
      <x:c r="J41" s="5" t="s">
        <x:v>94</x:v>
      </x:c>
      <x:c r="K41" s="19" t="str">
        <x:v>确认通过</x:v>
      </x:c>
      <x:c r="L41" s="23" t="str">
        <x:v>名称映射依据招股说明书释义、事件正文或明确曾用名，审查通过。</x:v>
      </x:c>
    </x:row>
    <x:row r="42">
      <x:c r="A42" s="4" t="s">
        <x:v>463</x:v>
      </x:c>
      <x:c r="B42" s="5" t="s">
        <x:v>362</x:v>
      </x:c>
      <x:c r="C42" s="5" t="s">
        <x:v>363</x:v>
      </x:c>
      <x:c r="D42" s="5" t="s">
        <x:v>363</x:v>
      </x:c>
      <x:c r="E42" s="5" t="s">
        <x:v>363</x:v>
      </x:c>
      <x:c r="F42" s="5" t="s">
        <x:v>428</x:v>
      </x:c>
      <x:c r="G42" s="5" t="s">
        <x:v>105</x:v>
      </x:c>
      <x:c r="H42" s="5" t="s">
        <x:v>424</x:v>
      </x:c>
      <x:c r="I42" s="5" t="s">
        <x:v>425</x:v>
      </x:c>
      <x:c r="J42" s="5" t="s">
        <x:v>94</x:v>
      </x:c>
      <x:c r="K42" s="19" t="str">
        <x:v>确认通过</x:v>
      </x:c>
      <x:c r="L42" s="23" t="str">
        <x:v>名称映射依据招股说明书释义、事件正文或明确曾用名，审查通过。</x:v>
      </x:c>
    </x:row>
    <x:row r="43" ht="23">
      <x:c r="A43" s="4" t="s">
        <x:v>464</x:v>
      </x:c>
      <x:c r="B43" s="5" t="s">
        <x:v>370</x:v>
      </x:c>
      <x:c r="C43" s="5" t="s">
        <x:v>371</x:v>
      </x:c>
      <x:c r="D43" s="5" t="s">
        <x:v>371</x:v>
      </x:c>
      <x:c r="E43" s="5" t="s">
        <x:v>371</x:v>
      </x:c>
      <x:c r="F43" s="5" t="s">
        <x:v>428</x:v>
      </x:c>
      <x:c r="G43" s="5" t="s">
        <x:v>105</x:v>
      </x:c>
      <x:c r="H43" s="5" t="s">
        <x:v>424</x:v>
      </x:c>
      <x:c r="I43" s="5" t="s">
        <x:v>425</x:v>
      </x:c>
      <x:c r="J43" s="5" t="s">
        <x:v>94</x:v>
      </x:c>
      <x:c r="K43" s="19" t="str">
        <x:v>确认通过</x:v>
      </x:c>
      <x:c r="L43" s="23" t="str">
        <x:v>名称映射依据招股说明书释义、事件正文或明确曾用名，审查通过。</x:v>
      </x:c>
    </x:row>
    <x:row r="44">
      <x:c r="A44" s="4" t="s">
        <x:v>465</x:v>
      </x:c>
      <x:c r="B44" s="5" t="s">
        <x:v>378</x:v>
      </x:c>
      <x:c r="C44" s="5" t="s">
        <x:v>379</x:v>
      </x:c>
      <x:c r="D44" s="5" t="s">
        <x:v>379</x:v>
      </x:c>
      <x:c r="E44" s="5" t="s">
        <x:v>379</x:v>
      </x:c>
      <x:c r="F44" s="5" t="s">
        <x:v>428</x:v>
      </x:c>
      <x:c r="G44" s="5" t="s">
        <x:v>105</x:v>
      </x:c>
      <x:c r="H44" s="5" t="s">
        <x:v>424</x:v>
      </x:c>
      <x:c r="I44" s="5" t="s">
        <x:v>425</x:v>
      </x:c>
      <x:c r="J44" s="5" t="s">
        <x:v>94</x:v>
      </x:c>
      <x:c r="K44" s="19" t="str">
        <x:v>确认通过</x:v>
      </x:c>
      <x:c r="L44" s="23" t="str">
        <x:v>名称映射依据招股说明书释义、事件正文或明确曾用名，审查通过。</x:v>
      </x:c>
    </x:row>
    <x:row r="45">
      <x:c r="A45" s="4" t="s">
        <x:v>466</x:v>
      </x:c>
      <x:c r="B45" s="5" t="s">
        <x:v>383</x:v>
      </x:c>
      <x:c r="C45" s="5" t="s">
        <x:v>384</x:v>
      </x:c>
      <x:c r="D45" s="5" t="s">
        <x:v>384</x:v>
      </x:c>
      <x:c r="E45" s="5" t="s">
        <x:v>384</x:v>
      </x:c>
      <x:c r="F45" s="5" t="s">
        <x:v>428</x:v>
      </x:c>
      <x:c r="G45" s="5" t="s">
        <x:v>105</x:v>
      </x:c>
      <x:c r="H45" s="5" t="s">
        <x:v>424</x:v>
      </x:c>
      <x:c r="I45" s="5" t="s">
        <x:v>425</x:v>
      </x:c>
      <x:c r="J45" s="5" t="s">
        <x:v>94</x:v>
      </x:c>
      <x:c r="K45" s="19" t="str">
        <x:v>确认通过</x:v>
      </x:c>
      <x:c r="L45" s="23" t="str">
        <x:v>名称映射依据招股说明书释义、事件正文或明确曾用名，审查通过。</x:v>
      </x:c>
    </x:row>
    <x:row r="46">
      <x:c r="A46" s="4" t="s">
        <x:v>467</x:v>
      </x:c>
      <x:c r="B46" s="5" t="s">
        <x:v>390</x:v>
      </x:c>
      <x:c r="C46" s="5" t="s">
        <x:v>391</x:v>
      </x:c>
      <x:c r="D46" s="5" t="s">
        <x:v>391</x:v>
      </x:c>
      <x:c r="E46" s="5" t="s">
        <x:v>391</x:v>
      </x:c>
      <x:c r="F46" s="5" t="s">
        <x:v>428</x:v>
      </x:c>
      <x:c r="G46" s="5" t="s">
        <x:v>105</x:v>
      </x:c>
      <x:c r="H46" s="5" t="s">
        <x:v>424</x:v>
      </x:c>
      <x:c r="I46" s="5" t="s">
        <x:v>425</x:v>
      </x:c>
      <x:c r="J46" s="5" t="s">
        <x:v>94</x:v>
      </x:c>
      <x:c r="K46" s="19" t="str">
        <x:v>确认通过</x:v>
      </x:c>
      <x:c r="L46" s="23" t="str">
        <x:v>名称映射依据招股说明书释义、事件正文或明确曾用名，审查通过。</x:v>
      </x:c>
    </x:row>
    <x:row r="47">
      <x:c r="A47" s="4" t="s">
        <x:v>468</x:v>
      </x:c>
      <x:c r="B47" s="5" t="s">
        <x:v>395</x:v>
      </x:c>
      <x:c r="C47" s="5" t="s">
        <x:v>396</x:v>
      </x:c>
      <x:c r="D47" s="5" t="s">
        <x:v>396</x:v>
      </x:c>
      <x:c r="E47" s="5" t="s">
        <x:v>396</x:v>
      </x:c>
      <x:c r="F47" s="5" t="s">
        <x:v>428</x:v>
      </x:c>
      <x:c r="G47" s="5" t="s">
        <x:v>105</x:v>
      </x:c>
      <x:c r="H47" s="5" t="s">
        <x:v>424</x:v>
      </x:c>
      <x:c r="I47" s="5" t="s">
        <x:v>425</x:v>
      </x:c>
      <x:c r="J47" s="5" t="s">
        <x:v>94</x:v>
      </x:c>
      <x:c r="K47" s="19" t="str">
        <x:v>确认通过</x:v>
      </x:c>
      <x:c r="L47" s="23" t="str">
        <x:v>名称映射依据招股说明书释义、事件正文或明确曾用名，审查通过。</x:v>
      </x:c>
    </x:row>
    <x:row r="48">
      <x:c r="A48" s="4" t="s">
        <x:v>469</x:v>
      </x:c>
      <x:c r="B48" s="5" t="s">
        <x:v>400</x:v>
      </x:c>
      <x:c r="C48" s="5" t="s">
        <x:v>401</x:v>
      </x:c>
      <x:c r="D48" s="5" t="s">
        <x:v>401</x:v>
      </x:c>
      <x:c r="E48" s="5" t="s">
        <x:v>401</x:v>
      </x:c>
      <x:c r="F48" s="5" t="s">
        <x:v>428</x:v>
      </x:c>
      <x:c r="G48" s="5" t="s">
        <x:v>105</x:v>
      </x:c>
      <x:c r="H48" s="5" t="s">
        <x:v>424</x:v>
      </x:c>
      <x:c r="I48" s="5" t="s">
        <x:v>425</x:v>
      </x:c>
      <x:c r="J48" s="5" t="s">
        <x:v>94</x:v>
      </x:c>
      <x:c r="K48" s="19" t="str">
        <x:v>确认通过</x:v>
      </x:c>
      <x:c r="L48" s="23" t="str">
        <x:v>名称映射依据招股说明书释义、事件正文或明确曾用名，审查通过。</x:v>
      </x:c>
    </x:row>
    <x:row r="49" ht="23">
      <x:c r="A49" s="4" t="s">
        <x:v>470</x:v>
      </x:c>
      <x:c r="B49" s="5" t="s">
        <x:v>406</x:v>
      </x:c>
      <x:c r="C49" s="5" t="s">
        <x:v>407</x:v>
      </x:c>
      <x:c r="D49" s="5" t="s">
        <x:v>407</x:v>
      </x:c>
      <x:c r="E49" s="5" t="s">
        <x:v>407</x:v>
      </x:c>
      <x:c r="F49" s="5" t="s">
        <x:v>428</x:v>
      </x:c>
      <x:c r="G49" s="5" t="s">
        <x:v>105</x:v>
      </x:c>
      <x:c r="H49" s="5" t="s">
        <x:v>424</x:v>
      </x:c>
      <x:c r="I49" s="5" t="s">
        <x:v>425</x:v>
      </x:c>
      <x:c r="J49" s="5" t="s">
        <x:v>94</x:v>
      </x:c>
      <x:c r="K49" s="19" t="str">
        <x:v>确认通过</x:v>
      </x:c>
      <x:c r="L49" s="23" t="str">
        <x:v>名称映射依据招股说明书释义、事件正文或明确曾用名，审查通过。</x:v>
      </x:c>
    </x:row>
    <x:row r="50">
      <x:c r="A50" s="4" t="s">
        <x:v>471</x:v>
      </x:c>
      <x:c r="B50" s="5" t="s">
        <x:v>124</x:v>
      </x:c>
      <x:c r="C50" s="5" t="s">
        <x:v>472</x:v>
      </x:c>
      <x:c r="D50" s="5" t="s">
        <x:v>472</x:v>
      </x:c>
      <x:c r="E50" s="5" t="s">
        <x:v>126</x:v>
      </x:c>
      <x:c r="F50" s="5" t="s">
        <x:v>473</x:v>
      </x:c>
      <x:c r="G50" s="5" t="s">
        <x:v>105</x:v>
      </x:c>
      <x:c r="H50" s="5" t="s">
        <x:v>474</x:v>
      </x:c>
      <x:c r="I50" s="5" t="s">
        <x:v>475</x:v>
      </x:c>
      <x:c r="J50" s="5" t="s">
        <x:v>94</x:v>
      </x:c>
      <x:c r="K50" s="19" t="str">
        <x:v>确认通过</x:v>
      </x:c>
      <x:c r="L50" s="23" t="str">
        <x:v>名称映射依据招股说明书释义、事件正文或明确曾用名，审查通过。</x:v>
      </x:c>
    </x:row>
    <x:row r="51">
      <x:c r="A51" s="7" t="s">
        <x:v>476</x:v>
      </x:c>
      <x:c r="B51" s="8" t="s">
        <x:v>124</x:v>
      </x:c>
      <x:c r="C51" s="8" t="s">
        <x:v>477</x:v>
      </x:c>
      <x:c r="D51" s="8" t="s">
        <x:v>477</x:v>
      </x:c>
      <x:c r="E51" s="8" t="s">
        <x:v>126</x:v>
      </x:c>
      <x:c r="F51" s="8" t="s">
        <x:v>473</x:v>
      </x:c>
      <x:c r="G51" s="8" t="s">
        <x:v>105</x:v>
      </x:c>
      <x:c r="H51" s="8" t="s">
        <x:v>474</x:v>
      </x:c>
      <x:c r="I51" s="8" t="s">
        <x:v>475</x:v>
      </x:c>
      <x:c r="J51" s="8" t="s">
        <x:v>94</x:v>
      </x:c>
      <x:c r="K51" s="21" t="str">
        <x:v>确认通过</x:v>
      </x:c>
      <x:c r="L51" s="24" t="str">
        <x:v>名称映射依据招股说明书释义、事件正文或明确曾用名，审查通过。</x:v>
      </x:c>
    </x:row>
  </x:sheetData>
  <x:mergeCells>
    <x:mergeCell ref="A1:L1"/>
    <x:mergeCell ref="A2:L2"/>
  </x:mergeCells>
  <x:dataValidations count="1">
    <x:dataValidation type="list" sqref="K5:K51">
      <x:formula1>"未复核,确认通过,修改后通过,不合并,退回复核"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33351670054e04"/>
  </x:tableParts>
</x:worksheet>
</file>

<file path=xl/worksheets/sheet4.xml><?xml version="1.0" encoding="utf-8"?>
<x:worksheet xmlns:x="http://schemas.openxmlformats.org/spreadsheetml/2006/main">
  <x:sheetFormatPr defaultRowHeight="14"/>
  <x:cols>
    <x:col min="1" max="1" width="13" customWidth="1"/>
    <x:col min="2" max="2" width="14" customWidth="1"/>
    <x:col min="3" max="3" width="16" customWidth="1"/>
    <x:col min="4" max="4" width="14" customWidth="1"/>
    <x:col min="5" max="5" width="30" customWidth="1"/>
    <x:col min="6" max="7" width="16" customWidth="1"/>
    <x:col min="8" max="8" width="14" customWidth="1"/>
    <x:col min="9" max="9" width="20" customWidth="1"/>
    <x:col min="10" max="10" width="12" customWidth="1"/>
    <x:col min="11" max="11" width="19" customWidth="1"/>
    <x:col min="12" max="12" width="15" customWidth="1"/>
    <x:col min="13" max="13" width="20" customWidth="1"/>
    <x:col min="14" max="14" width="16" customWidth="1"/>
    <x:col min="15" max="15" width="12" customWidth="1"/>
    <x:col min="16" max="16" width="18" customWidth="1"/>
    <x:col min="17" max="17" width="16" customWidth="1"/>
    <x:col min="18" max="18" width="15" customWidth="1"/>
    <x:col min="19" max="19" width="16" customWidth="1"/>
    <x:col min="20" max="20" width="18" customWidth="1"/>
    <x:col min="21" max="22" width="14" customWidth="1"/>
    <x:col min="23" max="23" width="22" customWidth="1"/>
    <x:col min="24" max="24" width="44" customWidth="1"/>
    <x:col min="25" max="25" width="38" customWidth="1"/>
    <x:col min="26" max="26" width="15" customWidth="1"/>
  </x:cols>
  <x:sheetData>
    <x:row r="1" ht="12" customHeight="1">
      <x:c r="A1" s="37" t="s">
        <x:v>478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24" customHeight="1">
      <x:c r="A2" s="38" t="s">
        <x:v>479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4" ht="28" customHeight="1">
      <x:c r="A4" s="13" t="s">
        <x:v>480</x:v>
      </x:c>
      <x:c r="B4" s="14" t="s">
        <x:v>481</x:v>
      </x:c>
      <x:c r="C4" s="14" t="s">
        <x:v>482</x:v>
      </x:c>
      <x:c r="D4" s="14" t="s">
        <x:v>483</x:v>
      </x:c>
      <x:c r="E4" s="14" t="s">
        <x:v>484</x:v>
      </x:c>
      <x:c r="F4" s="14" t="s">
        <x:v>485</x:v>
      </x:c>
      <x:c r="G4" s="14" t="s">
        <x:v>486</x:v>
      </x:c>
      <x:c r="H4" s="14" t="s">
        <x:v>487</x:v>
      </x:c>
      <x:c r="I4" s="14" t="s">
        <x:v>488</x:v>
      </x:c>
      <x:c r="J4" s="14" t="s">
        <x:v>489</x:v>
      </x:c>
      <x:c r="K4" s="14" t="s">
        <x:v>490</x:v>
      </x:c>
      <x:c r="L4" s="14" t="s">
        <x:v>491</x:v>
      </x:c>
      <x:c r="M4" s="14" t="s">
        <x:v>492</x:v>
      </x:c>
      <x:c r="N4" s="14" t="s">
        <x:v>493</x:v>
      </x:c>
      <x:c r="O4" s="14" t="s">
        <x:v>494</x:v>
      </x:c>
      <x:c r="P4" s="14" t="s">
        <x:v>495</x:v>
      </x:c>
      <x:c r="Q4" s="14" t="s">
        <x:v>496</x:v>
      </x:c>
      <x:c r="R4" s="14" t="s">
        <x:v>497</x:v>
      </x:c>
      <x:c r="S4" s="14" t="s">
        <x:v>498</x:v>
      </x:c>
      <x:c r="T4" s="14" t="s">
        <x:v>499</x:v>
      </x:c>
      <x:c r="U4" s="14" t="s">
        <x:v>81</x:v>
      </x:c>
      <x:c r="V4" s="14" t="s">
        <x:v>82</x:v>
      </x:c>
      <x:c r="W4" s="14" t="s">
        <x:v>79</x:v>
      </x:c>
      <x:c r="X4" s="14" t="s">
        <x:v>500</x:v>
      </x:c>
      <x:c r="Y4" s="14" t="s">
        <x:v>501</x:v>
      </x:c>
      <x:c r="Z4" s="15" t="s">
        <x:v>502</x:v>
      </x:c>
    </x:row>
    <x:row r="5" ht="23">
      <x:c r="A5" s="1" t="s">
        <x:v>503</x:v>
      </x:c>
      <x:c r="B5" s="2" t="s">
        <x:v>130</x:v>
      </x:c>
      <x:c r="C5" s="2" t="s">
        <x:v>504</x:v>
      </x:c>
      <x:c r="D5" s="2" t="s">
        <x:v>124</x:v>
      </x:c>
      <x:c r="E5" s="2" t="s">
        <x:v>126</x:v>
      </x:c>
      <x:c r="F5" s="2" t="s">
        <x:v>505</x:v>
      </x:c>
      <x:c r="G5" s="2" t="s">
        <x:v>506</x:v>
      </x:c>
      <x:c r="H5" s="2"/>
      <x:c r="I5" s="2" t="s">
        <x:v>507</x:v>
      </x:c>
      <x:c r="J5" s="2" t="s">
        <x:v>508</x:v>
      </x:c>
      <x:c r="K5" s="2" t="s">
        <x:v>509</x:v>
      </x:c>
      <x:c r="L5" s="2" t="s">
        <x:v>510</x:v>
      </x:c>
      <x:c r="M5" s="2" t="s">
        <x:v>511</x:v>
      </x:c>
      <x:c r="N5" s="25"/>
      <x:c r="O5" s="2"/>
      <x:c r="P5" s="28"/>
      <x:c r="Q5" s="2"/>
      <x:c r="R5" s="2" t="s">
        <x:v>512</x:v>
      </x:c>
      <x:c r="S5" s="2" t="s">
        <x:v>367</x:v>
      </x:c>
      <x:c r="T5" s="2"/>
      <x:c r="U5" s="2" t="s">
        <x:v>175</x:v>
      </x:c>
      <x:c r="V5" s="2" t="s">
        <x:v>513</x:v>
      </x:c>
      <x:c r="W5" s="2" t="s">
        <x:v>514</x:v>
      </x:c>
      <x:c r="X5" s="2" t="s">
        <x:v>515</x:v>
      </x:c>
      <x:c r="Y5" s="2" t="s">
        <x:v>516</x:v>
      </x:c>
      <x:c r="Z5" s="22" t="str">
        <x:v>确认通过</x:v>
      </x:c>
    </x:row>
    <x:row r="6">
      <x:c r="A6" s="4" t="s">
        <x:v>517</x:v>
      </x:c>
      <x:c r="B6" s="5" t="s">
        <x:v>143</x:v>
      </x:c>
      <x:c r="C6" s="5" t="s">
        <x:v>518</x:v>
      </x:c>
      <x:c r="D6" s="5" t="s">
        <x:v>138</x:v>
      </x:c>
      <x:c r="E6" s="5" t="s">
        <x:v>140</x:v>
      </x:c>
      <x:c r="F6" s="5" t="s">
        <x:v>505</x:v>
      </x:c>
      <x:c r="G6" s="5" t="s">
        <x:v>519</x:v>
      </x:c>
      <x:c r="H6" s="5"/>
      <x:c r="I6" s="5"/>
      <x:c r="J6" s="5" t="s">
        <x:v>508</x:v>
      </x:c>
      <x:c r="K6" s="5" t="s">
        <x:v>520</x:v>
      </x:c>
      <x:c r="L6" s="5" t="s">
        <x:v>510</x:v>
      </x:c>
      <x:c r="M6" s="5" t="s">
        <x:v>521</x:v>
      </x:c>
      <x:c r="N6" s="26"/>
      <x:c r="O6" s="5"/>
      <x:c r="P6" s="29"/>
      <x:c r="Q6" s="5"/>
      <x:c r="R6" s="5" t="s">
        <x:v>512</x:v>
      </x:c>
      <x:c r="S6" s="5" t="s">
        <x:v>367</x:v>
      </x:c>
      <x:c r="T6" s="5"/>
      <x:c r="U6" s="5" t="s">
        <x:v>175</x:v>
      </x:c>
      <x:c r="V6" s="5" t="s">
        <x:v>513</x:v>
      </x:c>
      <x:c r="W6" s="5" t="s">
        <x:v>522</x:v>
      </x:c>
      <x:c r="X6" s="5" t="s">
        <x:v>523</x:v>
      </x:c>
      <x:c r="Y6" s="5" t="s">
        <x:v>524</x:v>
      </x:c>
      <x:c r="Z6" s="23" t="str">
        <x:v>确认通过</x:v>
      </x:c>
    </x:row>
    <x:row r="7" ht="23">
      <x:c r="A7" s="4" t="s">
        <x:v>525</x:v>
      </x:c>
      <x:c r="B7" s="5" t="s">
        <x:v>143</x:v>
      </x:c>
      <x:c r="C7" s="5" t="s">
        <x:v>518</x:v>
      </x:c>
      <x:c r="D7" s="5" t="s">
        <x:v>148</x:v>
      </x:c>
      <x:c r="E7" s="5" t="s">
        <x:v>150</x:v>
      </x:c>
      <x:c r="F7" s="5" t="s">
        <x:v>505</x:v>
      </x:c>
      <x:c r="G7" s="5" t="s">
        <x:v>519</x:v>
      </x:c>
      <x:c r="H7" s="5"/>
      <x:c r="I7" s="5"/>
      <x:c r="J7" s="5" t="s">
        <x:v>508</x:v>
      </x:c>
      <x:c r="K7" s="5" t="s">
        <x:v>520</x:v>
      </x:c>
      <x:c r="L7" s="5" t="s">
        <x:v>510</x:v>
      </x:c>
      <x:c r="M7" s="5" t="s">
        <x:v>521</x:v>
      </x:c>
      <x:c r="N7" s="26"/>
      <x:c r="O7" s="5"/>
      <x:c r="P7" s="29"/>
      <x:c r="Q7" s="5"/>
      <x:c r="R7" s="5" t="s">
        <x:v>512</x:v>
      </x:c>
      <x:c r="S7" s="5" t="s">
        <x:v>367</x:v>
      </x:c>
      <x:c r="T7" s="5"/>
      <x:c r="U7" s="5" t="s">
        <x:v>175</x:v>
      </x:c>
      <x:c r="V7" s="5" t="s">
        <x:v>513</x:v>
      </x:c>
      <x:c r="W7" s="5" t="s">
        <x:v>522</x:v>
      </x:c>
      <x:c r="X7" s="5" t="s">
        <x:v>523</x:v>
      </x:c>
      <x:c r="Y7" s="5" t="s">
        <x:v>526</x:v>
      </x:c>
      <x:c r="Z7" s="23" t="str">
        <x:v>确认通过</x:v>
      </x:c>
    </x:row>
    <x:row r="8">
      <x:c r="A8" s="4" t="s">
        <x:v>527</x:v>
      </x:c>
      <x:c r="B8" s="5" t="s">
        <x:v>143</x:v>
      </x:c>
      <x:c r="C8" s="5" t="s">
        <x:v>518</x:v>
      </x:c>
      <x:c r="D8" s="5" t="s">
        <x:v>158</x:v>
      </x:c>
      <x:c r="E8" s="5" t="s">
        <x:v>160</x:v>
      </x:c>
      <x:c r="F8" s="5" t="s">
        <x:v>505</x:v>
      </x:c>
      <x:c r="G8" s="5" t="s">
        <x:v>519</x:v>
      </x:c>
      <x:c r="H8" s="5"/>
      <x:c r="I8" s="5"/>
      <x:c r="J8" s="5" t="s">
        <x:v>508</x:v>
      </x:c>
      <x:c r="K8" s="5" t="s">
        <x:v>520</x:v>
      </x:c>
      <x:c r="L8" s="5" t="s">
        <x:v>510</x:v>
      </x:c>
      <x:c r="M8" s="5" t="s">
        <x:v>521</x:v>
      </x:c>
      <x:c r="N8" s="26"/>
      <x:c r="O8" s="5"/>
      <x:c r="P8" s="29"/>
      <x:c r="Q8" s="5"/>
      <x:c r="R8" s="5" t="s">
        <x:v>512</x:v>
      </x:c>
      <x:c r="S8" s="5" t="s">
        <x:v>367</x:v>
      </x:c>
      <x:c r="T8" s="5"/>
      <x:c r="U8" s="5" t="s">
        <x:v>175</x:v>
      </x:c>
      <x:c r="V8" s="5" t="s">
        <x:v>513</x:v>
      </x:c>
      <x:c r="W8" s="5" t="s">
        <x:v>522</x:v>
      </x:c>
      <x:c r="X8" s="5" t="s">
        <x:v>523</x:v>
      </x:c>
      <x:c r="Y8" s="5" t="s">
        <x:v>528</x:v>
      </x:c>
      <x:c r="Z8" s="23" t="str">
        <x:v>确认通过</x:v>
      </x:c>
    </x:row>
    <x:row r="9" ht="23">
      <x:c r="A9" s="4" t="s">
        <x:v>529</x:v>
      </x:c>
      <x:c r="B9" s="5" t="s">
        <x:v>530</x:v>
      </x:c>
      <x:c r="C9" s="5" t="s">
        <x:v>531</x:v>
      </x:c>
      <x:c r="D9" s="5" t="s">
        <x:v>138</x:v>
      </x:c>
      <x:c r="E9" s="5" t="s">
        <x:v>140</x:v>
      </x:c>
      <x:c r="F9" s="5" t="s">
        <x:v>505</x:v>
      </x:c>
      <x:c r="G9" s="5" t="s">
        <x:v>532</x:v>
      </x:c>
      <x:c r="H9" s="5"/>
      <x:c r="I9" s="5"/>
      <x:c r="J9" s="5" t="s">
        <x:v>508</x:v>
      </x:c>
      <x:c r="K9" s="5" t="s">
        <x:v>520</x:v>
      </x:c>
      <x:c r="L9" s="5" t="s">
        <x:v>533</x:v>
      </x:c>
      <x:c r="M9" s="5" t="s">
        <x:v>521</x:v>
      </x:c>
      <x:c r="N9" s="26"/>
      <x:c r="O9" s="5"/>
      <x:c r="P9" s="29"/>
      <x:c r="Q9" s="5"/>
      <x:c r="R9" s="5" t="s">
        <x:v>512</x:v>
      </x:c>
      <x:c r="S9" s="5" t="s">
        <x:v>367</x:v>
      </x:c>
      <x:c r="T9" s="5" t="s">
        <x:v>534</x:v>
      </x:c>
      <x:c r="U9" s="5" t="s">
        <x:v>175</x:v>
      </x:c>
      <x:c r="V9" s="5" t="s">
        <x:v>513</x:v>
      </x:c>
      <x:c r="W9" s="5" t="s">
        <x:v>535</x:v>
      </x:c>
      <x:c r="X9" s="5" t="s">
        <x:v>536</x:v>
      </x:c>
      <x:c r="Y9" s="5" t="s">
        <x:v>524</x:v>
      </x:c>
      <x:c r="Z9" s="23" t="str">
        <x:v>确认通过</x:v>
      </x:c>
    </x:row>
    <x:row r="10" ht="23">
      <x:c r="A10" s="4" t="s">
        <x:v>537</x:v>
      </x:c>
      <x:c r="B10" s="5" t="s">
        <x:v>530</x:v>
      </x:c>
      <x:c r="C10" s="5" t="s">
        <x:v>531</x:v>
      </x:c>
      <x:c r="D10" s="5" t="s">
        <x:v>148</x:v>
      </x:c>
      <x:c r="E10" s="5" t="s">
        <x:v>150</x:v>
      </x:c>
      <x:c r="F10" s="5" t="s">
        <x:v>505</x:v>
      </x:c>
      <x:c r="G10" s="5" t="s">
        <x:v>532</x:v>
      </x:c>
      <x:c r="H10" s="5"/>
      <x:c r="I10" s="5"/>
      <x:c r="J10" s="5" t="s">
        <x:v>508</x:v>
      </x:c>
      <x:c r="K10" s="5" t="s">
        <x:v>520</x:v>
      </x:c>
      <x:c r="L10" s="5" t="s">
        <x:v>533</x:v>
      </x:c>
      <x:c r="M10" s="5" t="s">
        <x:v>521</x:v>
      </x:c>
      <x:c r="N10" s="26"/>
      <x:c r="O10" s="5"/>
      <x:c r="P10" s="29"/>
      <x:c r="Q10" s="5"/>
      <x:c r="R10" s="5" t="s">
        <x:v>512</x:v>
      </x:c>
      <x:c r="S10" s="5" t="s">
        <x:v>367</x:v>
      </x:c>
      <x:c r="T10" s="5" t="s">
        <x:v>534</x:v>
      </x:c>
      <x:c r="U10" s="5" t="s">
        <x:v>175</x:v>
      </x:c>
      <x:c r="V10" s="5" t="s">
        <x:v>513</x:v>
      </x:c>
      <x:c r="W10" s="5" t="s">
        <x:v>535</x:v>
      </x:c>
      <x:c r="X10" s="5" t="s">
        <x:v>536</x:v>
      </x:c>
      <x:c r="Y10" s="5" t="s">
        <x:v>526</x:v>
      </x:c>
      <x:c r="Z10" s="23" t="str">
        <x:v>确认通过</x:v>
      </x:c>
    </x:row>
    <x:row r="11" ht="23">
      <x:c r="A11" s="4" t="s">
        <x:v>538</x:v>
      </x:c>
      <x:c r="B11" s="5" t="s">
        <x:v>530</x:v>
      </x:c>
      <x:c r="C11" s="5" t="s">
        <x:v>531</x:v>
      </x:c>
      <x:c r="D11" s="5" t="s">
        <x:v>158</x:v>
      </x:c>
      <x:c r="E11" s="5" t="s">
        <x:v>160</x:v>
      </x:c>
      <x:c r="F11" s="5" t="s">
        <x:v>505</x:v>
      </x:c>
      <x:c r="G11" s="5" t="s">
        <x:v>532</x:v>
      </x:c>
      <x:c r="H11" s="5"/>
      <x:c r="I11" s="5"/>
      <x:c r="J11" s="5" t="s">
        <x:v>508</x:v>
      </x:c>
      <x:c r="K11" s="5" t="s">
        <x:v>520</x:v>
      </x:c>
      <x:c r="L11" s="5" t="s">
        <x:v>533</x:v>
      </x:c>
      <x:c r="M11" s="5" t="s">
        <x:v>521</x:v>
      </x:c>
      <x:c r="N11" s="26"/>
      <x:c r="O11" s="5"/>
      <x:c r="P11" s="29"/>
      <x:c r="Q11" s="5"/>
      <x:c r="R11" s="5" t="s">
        <x:v>512</x:v>
      </x:c>
      <x:c r="S11" s="5" t="s">
        <x:v>367</x:v>
      </x:c>
      <x:c r="T11" s="5" t="s">
        <x:v>534</x:v>
      </x:c>
      <x:c r="U11" s="5" t="s">
        <x:v>175</x:v>
      </x:c>
      <x:c r="V11" s="5" t="s">
        <x:v>513</x:v>
      </x:c>
      <x:c r="W11" s="5" t="s">
        <x:v>535</x:v>
      </x:c>
      <x:c r="X11" s="5" t="s">
        <x:v>536</x:v>
      </x:c>
      <x:c r="Y11" s="5" t="s">
        <x:v>528</x:v>
      </x:c>
      <x:c r="Z11" s="23" t="str">
        <x:v>确认通过</x:v>
      </x:c>
    </x:row>
    <x:row r="12" ht="23">
      <x:c r="A12" s="4" t="s">
        <x:v>539</x:v>
      </x:c>
      <x:c r="B12" s="5" t="s">
        <x:v>171</x:v>
      </x:c>
      <x:c r="C12" s="5" t="s">
        <x:v>540</x:v>
      </x:c>
      <x:c r="D12" s="5" t="s">
        <x:v>166</x:v>
      </x:c>
      <x:c r="E12" s="5" t="s">
        <x:v>168</x:v>
      </x:c>
      <x:c r="F12" s="5" t="s">
        <x:v>505</x:v>
      </x:c>
      <x:c r="G12" s="5" t="s">
        <x:v>519</x:v>
      </x:c>
      <x:c r="H12" s="5"/>
      <x:c r="I12" s="5"/>
      <x:c r="J12" s="5" t="s">
        <x:v>508</x:v>
      </x:c>
      <x:c r="K12" s="5" t="s">
        <x:v>520</x:v>
      </x:c>
      <x:c r="L12" s="5" t="s">
        <x:v>510</x:v>
      </x:c>
      <x:c r="M12" s="5" t="s">
        <x:v>521</x:v>
      </x:c>
      <x:c r="N12" s="26"/>
      <x:c r="O12" s="5"/>
      <x:c r="P12" s="29"/>
      <x:c r="Q12" s="5"/>
      <x:c r="R12" s="5" t="s">
        <x:v>512</x:v>
      </x:c>
      <x:c r="S12" s="5" t="s">
        <x:v>367</x:v>
      </x:c>
      <x:c r="T12" s="5"/>
      <x:c r="U12" s="5" t="s">
        <x:v>174</x:v>
      </x:c>
      <x:c r="V12" s="5" t="s">
        <x:v>175</x:v>
      </x:c>
      <x:c r="W12" s="5" t="s">
        <x:v>541</x:v>
      </x:c>
      <x:c r="X12" s="5" t="s">
        <x:v>542</x:v>
      </x:c>
      <x:c r="Y12" s="5" t="s">
        <x:v>543</x:v>
      </x:c>
      <x:c r="Z12" s="23" t="str">
        <x:v>确认通过</x:v>
      </x:c>
    </x:row>
    <x:row r="13" ht="23">
      <x:c r="A13" s="4" t="s">
        <x:v>544</x:v>
      </x:c>
      <x:c r="B13" s="5" t="s">
        <x:v>171</x:v>
      </x:c>
      <x:c r="C13" s="5" t="s">
        <x:v>540</x:v>
      </x:c>
      <x:c r="D13" s="5" t="s">
        <x:v>176</x:v>
      </x:c>
      <x:c r="E13" s="5" t="s">
        <x:v>178</x:v>
      </x:c>
      <x:c r="F13" s="5" t="s">
        <x:v>505</x:v>
      </x:c>
      <x:c r="G13" s="5" t="s">
        <x:v>519</x:v>
      </x:c>
      <x:c r="H13" s="5"/>
      <x:c r="I13" s="5"/>
      <x:c r="J13" s="5" t="s">
        <x:v>508</x:v>
      </x:c>
      <x:c r="K13" s="5" t="s">
        <x:v>520</x:v>
      </x:c>
      <x:c r="L13" s="5" t="s">
        <x:v>510</x:v>
      </x:c>
      <x:c r="M13" s="5" t="s">
        <x:v>521</x:v>
      </x:c>
      <x:c r="N13" s="26"/>
      <x:c r="O13" s="5"/>
      <x:c r="P13" s="29"/>
      <x:c r="Q13" s="5"/>
      <x:c r="R13" s="5" t="s">
        <x:v>512</x:v>
      </x:c>
      <x:c r="S13" s="5" t="s">
        <x:v>367</x:v>
      </x:c>
      <x:c r="T13" s="5"/>
      <x:c r="U13" s="5" t="s">
        <x:v>174</x:v>
      </x:c>
      <x:c r="V13" s="5" t="s">
        <x:v>175</x:v>
      </x:c>
      <x:c r="W13" s="5" t="s">
        <x:v>541</x:v>
      </x:c>
      <x:c r="X13" s="5" t="s">
        <x:v>542</x:v>
      </x:c>
      <x:c r="Y13" s="5" t="s">
        <x:v>545</x:v>
      </x:c>
      <x:c r="Z13" s="23" t="str">
        <x:v>确认通过</x:v>
      </x:c>
    </x:row>
    <x:row r="14" ht="23">
      <x:c r="A14" s="4" t="s">
        <x:v>546</x:v>
      </x:c>
      <x:c r="B14" s="5" t="s">
        <x:v>171</x:v>
      </x:c>
      <x:c r="C14" s="5" t="s">
        <x:v>540</x:v>
      </x:c>
      <x:c r="D14" s="5" t="s">
        <x:v>186</x:v>
      </x:c>
      <x:c r="E14" s="5" t="s">
        <x:v>188</x:v>
      </x:c>
      <x:c r="F14" s="5" t="s">
        <x:v>505</x:v>
      </x:c>
      <x:c r="G14" s="5" t="s">
        <x:v>519</x:v>
      </x:c>
      <x:c r="H14" s="5"/>
      <x:c r="I14" s="5"/>
      <x:c r="J14" s="5" t="s">
        <x:v>508</x:v>
      </x:c>
      <x:c r="K14" s="5" t="s">
        <x:v>520</x:v>
      </x:c>
      <x:c r="L14" s="5" t="s">
        <x:v>510</x:v>
      </x:c>
      <x:c r="M14" s="5" t="s">
        <x:v>521</x:v>
      </x:c>
      <x:c r="N14" s="26"/>
      <x:c r="O14" s="5"/>
      <x:c r="P14" s="29"/>
      <x:c r="Q14" s="5"/>
      <x:c r="R14" s="5" t="s">
        <x:v>512</x:v>
      </x:c>
      <x:c r="S14" s="5" t="s">
        <x:v>367</x:v>
      </x:c>
      <x:c r="T14" s="5"/>
      <x:c r="U14" s="5" t="s">
        <x:v>174</x:v>
      </x:c>
      <x:c r="V14" s="5" t="s">
        <x:v>175</x:v>
      </x:c>
      <x:c r="W14" s="5" t="s">
        <x:v>541</x:v>
      </x:c>
      <x:c r="X14" s="5" t="s">
        <x:v>542</x:v>
      </x:c>
      <x:c r="Y14" s="5" t="s">
        <x:v>547</x:v>
      </x:c>
      <x:c r="Z14" s="23" t="str">
        <x:v>确认通过</x:v>
      </x:c>
    </x:row>
    <x:row r="15" ht="23">
      <x:c r="A15" s="4" t="s">
        <x:v>548</x:v>
      </x:c>
      <x:c r="B15" s="5" t="s">
        <x:v>171</x:v>
      </x:c>
      <x:c r="C15" s="5" t="s">
        <x:v>540</x:v>
      </x:c>
      <x:c r="D15" s="5" t="s">
        <x:v>191</x:v>
      </x:c>
      <x:c r="E15" s="5" t="s">
        <x:v>193</x:v>
      </x:c>
      <x:c r="F15" s="5" t="s">
        <x:v>505</x:v>
      </x:c>
      <x:c r="G15" s="5" t="s">
        <x:v>519</x:v>
      </x:c>
      <x:c r="H15" s="5"/>
      <x:c r="I15" s="5"/>
      <x:c r="J15" s="5" t="s">
        <x:v>508</x:v>
      </x:c>
      <x:c r="K15" s="5" t="s">
        <x:v>520</x:v>
      </x:c>
      <x:c r="L15" s="5" t="s">
        <x:v>510</x:v>
      </x:c>
      <x:c r="M15" s="5" t="s">
        <x:v>521</x:v>
      </x:c>
      <x:c r="N15" s="26"/>
      <x:c r="O15" s="5"/>
      <x:c r="P15" s="29"/>
      <x:c r="Q15" s="5"/>
      <x:c r="R15" s="5" t="s">
        <x:v>512</x:v>
      </x:c>
      <x:c r="S15" s="5" t="s">
        <x:v>367</x:v>
      </x:c>
      <x:c r="T15" s="5"/>
      <x:c r="U15" s="5" t="s">
        <x:v>174</x:v>
      </x:c>
      <x:c r="V15" s="5" t="s">
        <x:v>175</x:v>
      </x:c>
      <x:c r="W15" s="5" t="s">
        <x:v>541</x:v>
      </x:c>
      <x:c r="X15" s="5" t="s">
        <x:v>542</x:v>
      </x:c>
      <x:c r="Y15" s="5" t="s">
        <x:v>549</x:v>
      </x:c>
      <x:c r="Z15" s="23" t="str">
        <x:v>确认通过</x:v>
      </x:c>
    </x:row>
    <x:row r="16" ht="23">
      <x:c r="A16" s="4" t="s">
        <x:v>550</x:v>
      </x:c>
      <x:c r="B16" s="5" t="s">
        <x:v>171</x:v>
      </x:c>
      <x:c r="C16" s="5" t="s">
        <x:v>540</x:v>
      </x:c>
      <x:c r="D16" s="5" t="s">
        <x:v>196</x:v>
      </x:c>
      <x:c r="E16" s="5" t="s">
        <x:v>198</x:v>
      </x:c>
      <x:c r="F16" s="5" t="s">
        <x:v>505</x:v>
      </x:c>
      <x:c r="G16" s="5" t="s">
        <x:v>519</x:v>
      </x:c>
      <x:c r="H16" s="5"/>
      <x:c r="I16" s="5"/>
      <x:c r="J16" s="5" t="s">
        <x:v>508</x:v>
      </x:c>
      <x:c r="K16" s="5" t="s">
        <x:v>520</x:v>
      </x:c>
      <x:c r="L16" s="5" t="s">
        <x:v>510</x:v>
      </x:c>
      <x:c r="M16" s="5" t="s">
        <x:v>521</x:v>
      </x:c>
      <x:c r="N16" s="26"/>
      <x:c r="O16" s="5"/>
      <x:c r="P16" s="29"/>
      <x:c r="Q16" s="5"/>
      <x:c r="R16" s="5" t="s">
        <x:v>512</x:v>
      </x:c>
      <x:c r="S16" s="5" t="s">
        <x:v>367</x:v>
      </x:c>
      <x:c r="T16" s="5"/>
      <x:c r="U16" s="5" t="s">
        <x:v>174</x:v>
      </x:c>
      <x:c r="V16" s="5" t="s">
        <x:v>175</x:v>
      </x:c>
      <x:c r="W16" s="5" t="s">
        <x:v>541</x:v>
      </x:c>
      <x:c r="X16" s="5" t="s">
        <x:v>542</x:v>
      </x:c>
      <x:c r="Y16" s="5" t="s">
        <x:v>551</x:v>
      </x:c>
      <x:c r="Z16" s="23" t="str">
        <x:v>确认通过</x:v>
      </x:c>
    </x:row>
    <x:row r="17">
      <x:c r="A17" s="4" t="s">
        <x:v>552</x:v>
      </x:c>
      <x:c r="B17" s="5" t="s">
        <x:v>171</x:v>
      </x:c>
      <x:c r="C17" s="5" t="s">
        <x:v>540</x:v>
      </x:c>
      <x:c r="D17" s="5" t="s">
        <x:v>158</x:v>
      </x:c>
      <x:c r="E17" s="5" t="s">
        <x:v>160</x:v>
      </x:c>
      <x:c r="F17" s="5" t="s">
        <x:v>505</x:v>
      </x:c>
      <x:c r="G17" s="5" t="s">
        <x:v>532</x:v>
      </x:c>
      <x:c r="H17" s="5"/>
      <x:c r="I17" s="5"/>
      <x:c r="J17" s="5" t="s">
        <x:v>508</x:v>
      </x:c>
      <x:c r="K17" s="5" t="s">
        <x:v>520</x:v>
      </x:c>
      <x:c r="L17" s="5" t="s">
        <x:v>533</x:v>
      </x:c>
      <x:c r="M17" s="5" t="s">
        <x:v>521</x:v>
      </x:c>
      <x:c r="N17" s="26"/>
      <x:c r="O17" s="5"/>
      <x:c r="P17" s="29"/>
      <x:c r="Q17" s="5"/>
      <x:c r="R17" s="5" t="s">
        <x:v>512</x:v>
      </x:c>
      <x:c r="S17" s="5" t="s">
        <x:v>367</x:v>
      </x:c>
      <x:c r="T17" s="5"/>
      <x:c r="U17" s="5" t="s">
        <x:v>174</x:v>
      </x:c>
      <x:c r="V17" s="5" t="s">
        <x:v>175</x:v>
      </x:c>
      <x:c r="W17" s="5" t="s">
        <x:v>541</x:v>
      </x:c>
      <x:c r="X17" s="5" t="s">
        <x:v>553</x:v>
      </x:c>
      <x:c r="Y17" s="5" t="s">
        <x:v>554</x:v>
      </x:c>
      <x:c r="Z17" s="23" t="str">
        <x:v>确认通过</x:v>
      </x:c>
    </x:row>
    <x:row r="18" ht="23">
      <x:c r="A18" s="4" t="s">
        <x:v>555</x:v>
      </x:c>
      <x:c r="B18" s="5" t="s">
        <x:v>181</x:v>
      </x:c>
      <x:c r="C18" s="5" t="s">
        <x:v>556</x:v>
      </x:c>
      <x:c r="D18" s="5" t="s">
        <x:v>176</x:v>
      </x:c>
      <x:c r="E18" s="5" t="s">
        <x:v>178</x:v>
      </x:c>
      <x:c r="F18" s="5" t="s">
        <x:v>557</x:v>
      </x:c>
      <x:c r="G18" s="5" t="s">
        <x:v>558</x:v>
      </x:c>
      <x:c r="H18" s="5" t="s">
        <x:v>205</x:v>
      </x:c>
      <x:c r="I18" s="5" t="s">
        <x:v>207</x:v>
      </x:c>
      <x:c r="J18" s="5" t="s">
        <x:v>508</x:v>
      </x:c>
      <x:c r="K18" s="5" t="s">
        <x:v>509</x:v>
      </x:c>
      <x:c r="L18" s="5" t="s">
        <x:v>559</x:v>
      </x:c>
      <x:c r="M18" s="5" t="s">
        <x:v>560</x:v>
      </x:c>
      <x:c r="N18" s="26">
        <x:v>666680</x:v>
      </x:c>
      <x:c r="O18" s="5" t="s">
        <x:v>561</x:v>
      </x:c>
      <x:c r="P18" s="29">
        <x:v>1000</x:v>
      </x:c>
      <x:c r="Q18" s="5" t="s">
        <x:v>562</x:v>
      </x:c>
      <x:c r="R18" s="5" t="s">
        <x:v>563</x:v>
      </x:c>
      <x:c r="S18" s="5" t="s">
        <x:v>105</x:v>
      </x:c>
      <x:c r="T18" s="5" t="s">
        <x:v>564</x:v>
      </x:c>
      <x:c r="U18" s="5" t="s">
        <x:v>565</x:v>
      </x:c>
      <x:c r="V18" s="5" t="s">
        <x:v>184</x:v>
      </x:c>
      <x:c r="W18" s="5" t="s">
        <x:v>566</x:v>
      </x:c>
      <x:c r="X18" s="5" t="s">
        <x:v>567</x:v>
      </x:c>
      <x:c r="Y18" s="5" t="s">
        <x:v>568</x:v>
      </x:c>
      <x:c r="Z18" s="23" t="str">
        <x:v>确认通过</x:v>
      </x:c>
    </x:row>
    <x:row r="19" ht="23">
      <x:c r="A19" s="4" t="s">
        <x:v>569</x:v>
      </x:c>
      <x:c r="B19" s="5" t="s">
        <x:v>181</x:v>
      </x:c>
      <x:c r="C19" s="5" t="s">
        <x:v>556</x:v>
      </x:c>
      <x:c r="D19" s="5" t="s">
        <x:v>205</x:v>
      </x:c>
      <x:c r="E19" s="5" t="s">
        <x:v>207</x:v>
      </x:c>
      <x:c r="F19" s="5" t="s">
        <x:v>505</x:v>
      </x:c>
      <x:c r="G19" s="5" t="s">
        <x:v>506</x:v>
      </x:c>
      <x:c r="H19" s="5" t="s">
        <x:v>176</x:v>
      </x:c>
      <x:c r="I19" s="5" t="s">
        <x:v>178</x:v>
      </x:c>
      <x:c r="J19" s="5" t="s">
        <x:v>508</x:v>
      </x:c>
      <x:c r="K19" s="5" t="s">
        <x:v>509</x:v>
      </x:c>
      <x:c r="L19" s="5" t="s">
        <x:v>510</x:v>
      </x:c>
      <x:c r="M19" s="5" t="s">
        <x:v>570</x:v>
      </x:c>
      <x:c r="N19" s="26">
        <x:v>666680</x:v>
      </x:c>
      <x:c r="O19" s="5" t="s">
        <x:v>561</x:v>
      </x:c>
      <x:c r="P19" s="29">
        <x:v>1000</x:v>
      </x:c>
      <x:c r="Q19" s="5" t="s">
        <x:v>562</x:v>
      </x:c>
      <x:c r="R19" s="5" t="s">
        <x:v>563</x:v>
      </x:c>
      <x:c r="S19" s="5" t="s">
        <x:v>105</x:v>
      </x:c>
      <x:c r="T19" s="5" t="s">
        <x:v>564</x:v>
      </x:c>
      <x:c r="U19" s="5" t="s">
        <x:v>565</x:v>
      </x:c>
      <x:c r="V19" s="5" t="s">
        <x:v>184</x:v>
      </x:c>
      <x:c r="W19" s="5" t="s">
        <x:v>571</x:v>
      </x:c>
      <x:c r="X19" s="5" t="s">
        <x:v>572</x:v>
      </x:c>
      <x:c r="Y19" s="5" t="s">
        <x:v>573</x:v>
      </x:c>
      <x:c r="Z19" s="23" t="str">
        <x:v>确认通过</x:v>
      </x:c>
    </x:row>
    <x:row r="20" ht="23">
      <x:c r="A20" s="4" t="s">
        <x:v>574</x:v>
      </x:c>
      <x:c r="B20" s="5" t="s">
        <x:v>218</x:v>
      </x:c>
      <x:c r="C20" s="5" t="s">
        <x:v>575</x:v>
      </x:c>
      <x:c r="D20" s="5" t="s">
        <x:v>213</x:v>
      </x:c>
      <x:c r="E20" s="5" t="s">
        <x:v>215</x:v>
      </x:c>
      <x:c r="F20" s="5" t="s">
        <x:v>505</x:v>
      </x:c>
      <x:c r="G20" s="5" t="s">
        <x:v>519</x:v>
      </x:c>
      <x:c r="H20" s="5"/>
      <x:c r="I20" s="5"/>
      <x:c r="J20" s="5" t="s">
        <x:v>508</x:v>
      </x:c>
      <x:c r="K20" s="5" t="s">
        <x:v>520</x:v>
      </x:c>
      <x:c r="L20" s="5" t="s">
        <x:v>510</x:v>
      </x:c>
      <x:c r="M20" s="5" t="s">
        <x:v>576</x:v>
      </x:c>
      <x:c r="N20" s="26">
        <x:v>2544787</x:v>
      </x:c>
      <x:c r="O20" s="5" t="s">
        <x:v>561</x:v>
      </x:c>
      <x:c r="P20" s="29">
        <x:v>7412</x:v>
      </x:c>
      <x:c r="Q20" s="5" t="s">
        <x:v>562</x:v>
      </x:c>
      <x:c r="R20" s="5" t="s">
        <x:v>563</x:v>
      </x:c>
      <x:c r="S20" s="5" t="s">
        <x:v>105</x:v>
      </x:c>
      <x:c r="T20" s="5" t="s">
        <x:v>577</x:v>
      </x:c>
      <x:c r="U20" s="5" t="s">
        <x:v>245</x:v>
      </x:c>
      <x:c r="V20" s="5" t="s">
        <x:v>246</x:v>
      </x:c>
      <x:c r="W20" s="5" t="s">
        <x:v>578</x:v>
      </x:c>
      <x:c r="X20" s="5" t="s">
        <x:v>579</x:v>
      </x:c>
      <x:c r="Y20" s="5" t="s">
        <x:v>580</x:v>
      </x:c>
      <x:c r="Z20" s="23" t="str">
        <x:v>确认通过</x:v>
      </x:c>
    </x:row>
    <x:row r="21" ht="23">
      <x:c r="A21" s="4" t="s">
        <x:v>581</x:v>
      </x:c>
      <x:c r="B21" s="5" t="s">
        <x:v>218</x:v>
      </x:c>
      <x:c r="C21" s="5" t="s">
        <x:v>575</x:v>
      </x:c>
      <x:c r="D21" s="5" t="s">
        <x:v>223</x:v>
      </x:c>
      <x:c r="E21" s="5" t="s">
        <x:v>225</x:v>
      </x:c>
      <x:c r="F21" s="5" t="s">
        <x:v>505</x:v>
      </x:c>
      <x:c r="G21" s="5" t="s">
        <x:v>519</x:v>
      </x:c>
      <x:c r="H21" s="5"/>
      <x:c r="I21" s="5"/>
      <x:c r="J21" s="5" t="s">
        <x:v>508</x:v>
      </x:c>
      <x:c r="K21" s="5" t="s">
        <x:v>520</x:v>
      </x:c>
      <x:c r="L21" s="5" t="s">
        <x:v>510</x:v>
      </x:c>
      <x:c r="M21" s="5" t="s">
        <x:v>576</x:v>
      </x:c>
      <x:c r="N21" s="26">
        <x:v>618000</x:v>
      </x:c>
      <x:c r="O21" s="5" t="s">
        <x:v>561</x:v>
      </x:c>
      <x:c r="P21" s="29">
        <x:v>1800</x:v>
      </x:c>
      <x:c r="Q21" s="5" t="s">
        <x:v>582</x:v>
      </x:c>
      <x:c r="R21" s="5" t="s">
        <x:v>563</x:v>
      </x:c>
      <x:c r="S21" s="5" t="s">
        <x:v>105</x:v>
      </x:c>
      <x:c r="T21" s="5" t="s">
        <x:v>583</x:v>
      </x:c>
      <x:c r="U21" s="5" t="s">
        <x:v>245</x:v>
      </x:c>
      <x:c r="V21" s="5" t="s">
        <x:v>246</x:v>
      </x:c>
      <x:c r="W21" s="5" t="s">
        <x:v>578</x:v>
      </x:c>
      <x:c r="X21" s="5" t="s">
        <x:v>579</x:v>
      </x:c>
      <x:c r="Y21" s="5" t="s">
        <x:v>584</x:v>
      </x:c>
      <x:c r="Z21" s="23" t="str">
        <x:v>确认通过</x:v>
      </x:c>
    </x:row>
    <x:row r="22" ht="23">
      <x:c r="A22" s="4" t="s">
        <x:v>585</x:v>
      </x:c>
      <x:c r="B22" s="5" t="s">
        <x:v>218</x:v>
      </x:c>
      <x:c r="C22" s="5" t="s">
        <x:v>575</x:v>
      </x:c>
      <x:c r="D22" s="5" t="s">
        <x:v>232</x:v>
      </x:c>
      <x:c r="E22" s="5" t="s">
        <x:v>234</x:v>
      </x:c>
      <x:c r="F22" s="5" t="s">
        <x:v>505</x:v>
      </x:c>
      <x:c r="G22" s="5" t="s">
        <x:v>519</x:v>
      </x:c>
      <x:c r="H22" s="5"/>
      <x:c r="I22" s="5"/>
      <x:c r="J22" s="5" t="s">
        <x:v>508</x:v>
      </x:c>
      <x:c r="K22" s="5" t="s">
        <x:v>520</x:v>
      </x:c>
      <x:c r="L22" s="5" t="s">
        <x:v>510</x:v>
      </x:c>
      <x:c r="M22" s="5" t="s">
        <x:v>576</x:v>
      </x:c>
      <x:c r="N22" s="26">
        <x:v>543840</x:v>
      </x:c>
      <x:c r="O22" s="5" t="s">
        <x:v>561</x:v>
      </x:c>
      <x:c r="P22" s="29">
        <x:v>1584</x:v>
      </x:c>
      <x:c r="Q22" s="5" t="s">
        <x:v>562</x:v>
      </x:c>
      <x:c r="R22" s="5" t="s">
        <x:v>563</x:v>
      </x:c>
      <x:c r="S22" s="5" t="s">
        <x:v>105</x:v>
      </x:c>
      <x:c r="T22" s="5" t="s">
        <x:v>586</x:v>
      </x:c>
      <x:c r="U22" s="5" t="s">
        <x:v>245</x:v>
      </x:c>
      <x:c r="V22" s="5" t="s">
        <x:v>246</x:v>
      </x:c>
      <x:c r="W22" s="5" t="s">
        <x:v>578</x:v>
      </x:c>
      <x:c r="X22" s="5" t="s">
        <x:v>579</x:v>
      </x:c>
      <x:c r="Y22" s="5" t="s">
        <x:v>587</x:v>
      </x:c>
      <x:c r="Z22" s="23" t="str">
        <x:v>确认通过</x:v>
      </x:c>
    </x:row>
    <x:row r="23" ht="23">
      <x:c r="A23" s="4" t="s">
        <x:v>588</x:v>
      </x:c>
      <x:c r="B23" s="5" t="s">
        <x:v>218</x:v>
      </x:c>
      <x:c r="C23" s="5" t="s">
        <x:v>575</x:v>
      </x:c>
      <x:c r="D23" s="5" t="s">
        <x:v>239</x:v>
      </x:c>
      <x:c r="E23" s="5" t="s">
        <x:v>241</x:v>
      </x:c>
      <x:c r="F23" s="5" t="s">
        <x:v>505</x:v>
      </x:c>
      <x:c r="G23" s="5" t="s">
        <x:v>519</x:v>
      </x:c>
      <x:c r="H23" s="5"/>
      <x:c r="I23" s="5"/>
      <x:c r="J23" s="5" t="s">
        <x:v>508</x:v>
      </x:c>
      <x:c r="K23" s="5" t="s">
        <x:v>520</x:v>
      </x:c>
      <x:c r="L23" s="5" t="s">
        <x:v>510</x:v>
      </x:c>
      <x:c r="M23" s="5" t="s">
        <x:v>576</x:v>
      </x:c>
      <x:c r="N23" s="26">
        <x:v>70040</x:v>
      </x:c>
      <x:c r="O23" s="5" t="s">
        <x:v>561</x:v>
      </x:c>
      <x:c r="P23" s="29">
        <x:v>204</x:v>
      </x:c>
      <x:c r="Q23" s="5" t="s">
        <x:v>562</x:v>
      </x:c>
      <x:c r="R23" s="5" t="s">
        <x:v>563</x:v>
      </x:c>
      <x:c r="S23" s="5" t="s">
        <x:v>105</x:v>
      </x:c>
      <x:c r="T23" s="5" t="s">
        <x:v>589</x:v>
      </x:c>
      <x:c r="U23" s="5" t="s">
        <x:v>245</x:v>
      </x:c>
      <x:c r="V23" s="5" t="s">
        <x:v>246</x:v>
      </x:c>
      <x:c r="W23" s="5" t="s">
        <x:v>578</x:v>
      </x:c>
      <x:c r="X23" s="5" t="s">
        <x:v>579</x:v>
      </x:c>
      <x:c r="Y23" s="5" t="s">
        <x:v>590</x:v>
      </x:c>
      <x:c r="Z23" s="23" t="str">
        <x:v>确认通过</x:v>
      </x:c>
    </x:row>
    <x:row r="24" ht="23">
      <x:c r="A24" s="4" t="s">
        <x:v>591</x:v>
      </x:c>
      <x:c r="B24" s="5" t="s">
        <x:v>218</x:v>
      </x:c>
      <x:c r="C24" s="5" t="s">
        <x:v>575</x:v>
      </x:c>
      <x:c r="D24" s="5" t="s">
        <x:v>247</x:v>
      </x:c>
      <x:c r="E24" s="5" t="s">
        <x:v>249</x:v>
      </x:c>
      <x:c r="F24" s="5" t="s">
        <x:v>505</x:v>
      </x:c>
      <x:c r="G24" s="5" t="s">
        <x:v>519</x:v>
      </x:c>
      <x:c r="H24" s="5"/>
      <x:c r="I24" s="5"/>
      <x:c r="J24" s="5" t="s">
        <x:v>508</x:v>
      </x:c>
      <x:c r="K24" s="5" t="s">
        <x:v>520</x:v>
      </x:c>
      <x:c r="L24" s="5" t="s">
        <x:v>510</x:v>
      </x:c>
      <x:c r="M24" s="5" t="s">
        <x:v>576</x:v>
      </x:c>
      <x:c r="N24" s="26">
        <x:v>1030000</x:v>
      </x:c>
      <x:c r="O24" s="5" t="s">
        <x:v>561</x:v>
      </x:c>
      <x:c r="P24" s="29">
        <x:v>3000</x:v>
      </x:c>
      <x:c r="Q24" s="5" t="s">
        <x:v>562</x:v>
      </x:c>
      <x:c r="R24" s="5" t="s">
        <x:v>563</x:v>
      </x:c>
      <x:c r="S24" s="5" t="s">
        <x:v>105</x:v>
      </x:c>
      <x:c r="T24" s="5" t="s">
        <x:v>592</x:v>
      </x:c>
      <x:c r="U24" s="5" t="s">
        <x:v>245</x:v>
      </x:c>
      <x:c r="V24" s="5" t="s">
        <x:v>246</x:v>
      </x:c>
      <x:c r="W24" s="5" t="s">
        <x:v>578</x:v>
      </x:c>
      <x:c r="X24" s="5" t="s">
        <x:v>579</x:v>
      </x:c>
      <x:c r="Y24" s="5" t="s">
        <x:v>593</x:v>
      </x:c>
      <x:c r="Z24" s="23" t="str">
        <x:v>确认通过</x:v>
      </x:c>
    </x:row>
    <x:row r="25" ht="23">
      <x:c r="A25" s="4" t="s">
        <x:v>594</x:v>
      </x:c>
      <x:c r="B25" s="5" t="s">
        <x:v>218</x:v>
      </x:c>
      <x:c r="C25" s="5" t="s">
        <x:v>575</x:v>
      </x:c>
      <x:c r="D25" s="5" t="s">
        <x:v>256</x:v>
      </x:c>
      <x:c r="E25" s="5" t="s">
        <x:v>258</x:v>
      </x:c>
      <x:c r="F25" s="5" t="s">
        <x:v>505</x:v>
      </x:c>
      <x:c r="G25" s="5" t="s">
        <x:v>519</x:v>
      </x:c>
      <x:c r="H25" s="5"/>
      <x:c r="I25" s="5"/>
      <x:c r="J25" s="5" t="s">
        <x:v>508</x:v>
      </x:c>
      <x:c r="K25" s="5" t="s">
        <x:v>520</x:v>
      </x:c>
      <x:c r="L25" s="5" t="s">
        <x:v>510</x:v>
      </x:c>
      <x:c r="M25" s="5" t="s">
        <x:v>576</x:v>
      </x:c>
      <x:c r="N25" s="26">
        <x:v>343333</x:v>
      </x:c>
      <x:c r="O25" s="5" t="s">
        <x:v>561</x:v>
      </x:c>
      <x:c r="P25" s="29">
        <x:v>1000</x:v>
      </x:c>
      <x:c r="Q25" s="5" t="s">
        <x:v>562</x:v>
      </x:c>
      <x:c r="R25" s="5" t="s">
        <x:v>563</x:v>
      </x:c>
      <x:c r="S25" s="5" t="s">
        <x:v>105</x:v>
      </x:c>
      <x:c r="T25" s="5" t="s">
        <x:v>595</x:v>
      </x:c>
      <x:c r="U25" s="5" t="s">
        <x:v>245</x:v>
      </x:c>
      <x:c r="V25" s="5" t="s">
        <x:v>246</x:v>
      </x:c>
      <x:c r="W25" s="5" t="s">
        <x:v>578</x:v>
      </x:c>
      <x:c r="X25" s="5" t="s">
        <x:v>579</x:v>
      </x:c>
      <x:c r="Y25" s="5" t="s">
        <x:v>596</x:v>
      </x:c>
      <x:c r="Z25" s="23" t="str">
        <x:v>确认通过</x:v>
      </x:c>
    </x:row>
    <x:row r="26" ht="23">
      <x:c r="A26" s="4" t="s">
        <x:v>597</x:v>
      </x:c>
      <x:c r="B26" s="5" t="s">
        <x:v>284</x:v>
      </x:c>
      <x:c r="C26" s="5" t="s">
        <x:v>598</x:v>
      </x:c>
      <x:c r="D26" s="5" t="s">
        <x:v>280</x:v>
      </x:c>
      <x:c r="E26" s="5" t="s">
        <x:v>282</x:v>
      </x:c>
      <x:c r="F26" s="5" t="s">
        <x:v>505</x:v>
      </x:c>
      <x:c r="G26" s="5" t="s">
        <x:v>506</x:v>
      </x:c>
      <x:c r="H26" s="5" t="s">
        <x:v>121</x:v>
      </x:c>
      <x:c r="I26" s="5" t="s">
        <x:v>123</x:v>
      </x:c>
      <x:c r="J26" s="5" t="s">
        <x:v>508</x:v>
      </x:c>
      <x:c r="K26" s="5" t="s">
        <x:v>509</x:v>
      </x:c>
      <x:c r="L26" s="5" t="s">
        <x:v>510</x:v>
      </x:c>
      <x:c r="M26" s="5" t="s">
        <x:v>511</x:v>
      </x:c>
      <x:c r="N26" s="26">
        <x:v>515000</x:v>
      </x:c>
      <x:c r="O26" s="5" t="s">
        <x:v>561</x:v>
      </x:c>
      <x:c r="P26" s="29">
        <x:v>1500</x:v>
      </x:c>
      <x:c r="Q26" s="5" t="s">
        <x:v>562</x:v>
      </x:c>
      <x:c r="R26" s="5" t="s">
        <x:v>563</x:v>
      </x:c>
      <x:c r="S26" s="5" t="s">
        <x:v>105</x:v>
      </x:c>
      <x:c r="T26" s="5" t="s">
        <x:v>599</x:v>
      </x:c>
      <x:c r="U26" s="5" t="s">
        <x:v>245</x:v>
      </x:c>
      <x:c r="V26" s="5" t="s">
        <x:v>246</x:v>
      </x:c>
      <x:c r="W26" s="5" t="s">
        <x:v>600</x:v>
      </x:c>
      <x:c r="X26" s="5" t="s">
        <x:v>601</x:v>
      </x:c>
      <x:c r="Y26" s="5" t="s">
        <x:v>602</x:v>
      </x:c>
      <x:c r="Z26" s="23" t="str">
        <x:v>确认通过</x:v>
      </x:c>
    </x:row>
    <x:row r="27" ht="23">
      <x:c r="A27" s="4" t="s">
        <x:v>603</x:v>
      </x:c>
      <x:c r="B27" s="5" t="s">
        <x:v>284</x:v>
      </x:c>
      <x:c r="C27" s="5" t="s">
        <x:v>598</x:v>
      </x:c>
      <x:c r="D27" s="5" t="s">
        <x:v>287</x:v>
      </x:c>
      <x:c r="E27" s="5" t="s">
        <x:v>289</x:v>
      </x:c>
      <x:c r="F27" s="5" t="s">
        <x:v>505</x:v>
      </x:c>
      <x:c r="G27" s="5" t="s">
        <x:v>506</x:v>
      </x:c>
      <x:c r="H27" s="5" t="s">
        <x:v>121</x:v>
      </x:c>
      <x:c r="I27" s="5" t="s">
        <x:v>123</x:v>
      </x:c>
      <x:c r="J27" s="5" t="s">
        <x:v>508</x:v>
      </x:c>
      <x:c r="K27" s="5" t="s">
        <x:v>509</x:v>
      </x:c>
      <x:c r="L27" s="5" t="s">
        <x:v>510</x:v>
      </x:c>
      <x:c r="M27" s="5" t="s">
        <x:v>511</x:v>
      </x:c>
      <x:c r="N27" s="26">
        <x:v>180250</x:v>
      </x:c>
      <x:c r="O27" s="5" t="s">
        <x:v>561</x:v>
      </x:c>
      <x:c r="P27" s="29">
        <x:v>524.99940000000004</x:v>
      </x:c>
      <x:c r="Q27" s="5" t="s">
        <x:v>562</x:v>
      </x:c>
      <x:c r="R27" s="5" t="s">
        <x:v>563</x:v>
      </x:c>
      <x:c r="S27" s="5" t="s">
        <x:v>105</x:v>
      </x:c>
      <x:c r="T27" s="5" t="s">
        <x:v>599</x:v>
      </x:c>
      <x:c r="U27" s="5" t="s">
        <x:v>245</x:v>
      </x:c>
      <x:c r="V27" s="5" t="s">
        <x:v>246</x:v>
      </x:c>
      <x:c r="W27" s="5" t="s">
        <x:v>600</x:v>
      </x:c>
      <x:c r="X27" s="5" t="s">
        <x:v>601</x:v>
      </x:c>
      <x:c r="Y27" s="5" t="s">
        <x:v>604</x:v>
      </x:c>
      <x:c r="Z27" s="23" t="str">
        <x:v>确认通过</x:v>
      </x:c>
    </x:row>
    <x:row r="28" ht="23">
      <x:c r="A28" s="4" t="s">
        <x:v>605</x:v>
      </x:c>
      <x:c r="B28" s="5" t="s">
        <x:v>284</x:v>
      </x:c>
      <x:c r="C28" s="5" t="s">
        <x:v>598</x:v>
      </x:c>
      <x:c r="D28" s="5" t="s">
        <x:v>287</x:v>
      </x:c>
      <x:c r="E28" s="5" t="s">
        <x:v>289</x:v>
      </x:c>
      <x:c r="F28" s="5" t="s">
        <x:v>505</x:v>
      </x:c>
      <x:c r="G28" s="5" t="s">
        <x:v>506</x:v>
      </x:c>
      <x:c r="H28" s="5" t="s">
        <x:v>113</x:v>
      </x:c>
      <x:c r="I28" s="5" t="s">
        <x:v>115</x:v>
      </x:c>
      <x:c r="J28" s="5" t="s">
        <x:v>508</x:v>
      </x:c>
      <x:c r="K28" s="5" t="s">
        <x:v>509</x:v>
      </x:c>
      <x:c r="L28" s="5" t="s">
        <x:v>510</x:v>
      </x:c>
      <x:c r="M28" s="5" t="s">
        <x:v>511</x:v>
      </x:c>
      <x:c r="N28" s="26">
        <x:v>94417</x:v>
      </x:c>
      <x:c r="O28" s="5" t="s">
        <x:v>561</x:v>
      </x:c>
      <x:c r="P28" s="29">
        <x:v>275.00599999999997</x:v>
      </x:c>
      <x:c r="Q28" s="5" t="s">
        <x:v>562</x:v>
      </x:c>
      <x:c r="R28" s="5" t="s">
        <x:v>563</x:v>
      </x:c>
      <x:c r="S28" s="5" t="s">
        <x:v>105</x:v>
      </x:c>
      <x:c r="T28" s="5" t="s">
        <x:v>599</x:v>
      </x:c>
      <x:c r="U28" s="5" t="s">
        <x:v>245</x:v>
      </x:c>
      <x:c r="V28" s="5" t="s">
        <x:v>246</x:v>
      </x:c>
      <x:c r="W28" s="5" t="s">
        <x:v>600</x:v>
      </x:c>
      <x:c r="X28" s="5" t="s">
        <x:v>601</x:v>
      </x:c>
      <x:c r="Y28" s="5" t="s">
        <x:v>606</x:v>
      </x:c>
      <x:c r="Z28" s="23" t="str">
        <x:v>确认通过</x:v>
      </x:c>
    </x:row>
    <x:row r="29">
      <x:c r="A29" s="4" t="s">
        <x:v>607</x:v>
      </x:c>
      <x:c r="B29" s="5" t="s">
        <x:v>284</x:v>
      </x:c>
      <x:c r="C29" s="5" t="s">
        <x:v>598</x:v>
      </x:c>
      <x:c r="D29" s="5" t="s">
        <x:v>291</x:v>
      </x:c>
      <x:c r="E29" s="5" t="s">
        <x:v>293</x:v>
      </x:c>
      <x:c r="F29" s="5" t="s">
        <x:v>505</x:v>
      </x:c>
      <x:c r="G29" s="5" t="s">
        <x:v>506</x:v>
      </x:c>
      <x:c r="H29" s="5" t="s">
        <x:v>113</x:v>
      </x:c>
      <x:c r="I29" s="5" t="s">
        <x:v>115</x:v>
      </x:c>
      <x:c r="J29" s="5" t="s">
        <x:v>508</x:v>
      </x:c>
      <x:c r="K29" s="5" t="s">
        <x:v>509</x:v>
      </x:c>
      <x:c r="L29" s="5" t="s">
        <x:v>510</x:v>
      </x:c>
      <x:c r="M29" s="5" t="s">
        <x:v>511</x:v>
      </x:c>
      <x:c r="N29" s="26">
        <x:v>369083</x:v>
      </x:c>
      <x:c r="O29" s="5" t="s">
        <x:v>561</x:v>
      </x:c>
      <x:c r="P29" s="29">
        <x:v>1075</x:v>
      </x:c>
      <x:c r="Q29" s="5" t="s">
        <x:v>562</x:v>
      </x:c>
      <x:c r="R29" s="5" t="s">
        <x:v>563</x:v>
      </x:c>
      <x:c r="S29" s="5" t="s">
        <x:v>105</x:v>
      </x:c>
      <x:c r="T29" s="5" t="s">
        <x:v>599</x:v>
      </x:c>
      <x:c r="U29" s="5" t="s">
        <x:v>245</x:v>
      </x:c>
      <x:c r="V29" s="5" t="s">
        <x:v>246</x:v>
      </x:c>
      <x:c r="W29" s="5" t="s">
        <x:v>600</x:v>
      </x:c>
      <x:c r="X29" s="5" t="s">
        <x:v>601</x:v>
      </x:c>
      <x:c r="Y29" s="5" t="s">
        <x:v>608</x:v>
      </x:c>
      <x:c r="Z29" s="23" t="str">
        <x:v>确认通过</x:v>
      </x:c>
    </x:row>
    <x:row r="30">
      <x:c r="A30" s="4" t="s">
        <x:v>609</x:v>
      </x:c>
      <x:c r="B30" s="5" t="s">
        <x:v>304</x:v>
      </x:c>
      <x:c r="C30" s="5" t="s">
        <x:v>610</x:v>
      </x:c>
      <x:c r="D30" s="5" t="s">
        <x:v>299</x:v>
      </x:c>
      <x:c r="E30" s="5" t="s">
        <x:v>301</x:v>
      </x:c>
      <x:c r="F30" s="5" t="s">
        <x:v>505</x:v>
      </x:c>
      <x:c r="G30" s="5" t="s">
        <x:v>519</x:v>
      </x:c>
      <x:c r="H30" s="5"/>
      <x:c r="I30" s="5"/>
      <x:c r="J30" s="5" t="s">
        <x:v>508</x:v>
      </x:c>
      <x:c r="K30" s="5" t="s">
        <x:v>520</x:v>
      </x:c>
      <x:c r="L30" s="5" t="s">
        <x:v>510</x:v>
      </x:c>
      <x:c r="M30" s="5" t="s">
        <x:v>611</x:v>
      </x:c>
      <x:c r="N30" s="26">
        <x:v>1130488</x:v>
      </x:c>
      <x:c r="O30" s="5" t="s">
        <x:v>561</x:v>
      </x:c>
      <x:c r="P30" s="29">
        <x:v>5000</x:v>
      </x:c>
      <x:c r="Q30" s="5" t="s">
        <x:v>562</x:v>
      </x:c>
      <x:c r="R30" s="5" t="s">
        <x:v>563</x:v>
      </x:c>
      <x:c r="S30" s="5" t="s">
        <x:v>105</x:v>
      </x:c>
      <x:c r="T30" s="5" t="s">
        <x:v>612</x:v>
      </x:c>
      <x:c r="U30" s="5" t="s">
        <x:v>307</x:v>
      </x:c>
      <x:c r="V30" s="5" t="s">
        <x:v>308</x:v>
      </x:c>
      <x:c r="W30" s="5" t="s">
        <x:v>613</x:v>
      </x:c>
      <x:c r="X30" s="5" t="s">
        <x:v>614</x:v>
      </x:c>
      <x:c r="Y30" s="5" t="s">
        <x:v>615</x:v>
      </x:c>
      <x:c r="Z30" s="23" t="str">
        <x:v>确认通过</x:v>
      </x:c>
    </x:row>
    <x:row r="31">
      <x:c r="A31" s="4" t="s">
        <x:v>616</x:v>
      </x:c>
      <x:c r="B31" s="5" t="s">
        <x:v>314</x:v>
      </x:c>
      <x:c r="C31" s="5" t="s">
        <x:v>617</x:v>
      </x:c>
      <x:c r="D31" s="5" t="s">
        <x:v>309</x:v>
      </x:c>
      <x:c r="E31" s="5" t="s">
        <x:v>311</x:v>
      </x:c>
      <x:c r="F31" s="5" t="s">
        <x:v>505</x:v>
      </x:c>
      <x:c r="G31" s="5" t="s">
        <x:v>519</x:v>
      </x:c>
      <x:c r="H31" s="5"/>
      <x:c r="I31" s="5"/>
      <x:c r="J31" s="5" t="s">
        <x:v>508</x:v>
      </x:c>
      <x:c r="K31" s="5" t="s">
        <x:v>520</x:v>
      </x:c>
      <x:c r="L31" s="5" t="s">
        <x:v>510</x:v>
      </x:c>
      <x:c r="M31" s="5" t="s">
        <x:v>618</x:v>
      </x:c>
      <x:c r="N31" s="26">
        <x:v>968990</x:v>
      </x:c>
      <x:c r="O31" s="5" t="s">
        <x:v>561</x:v>
      </x:c>
      <x:c r="P31" s="29">
        <x:v>5000</x:v>
      </x:c>
      <x:c r="Q31" s="5" t="s">
        <x:v>562</x:v>
      </x:c>
      <x:c r="R31" s="5" t="s">
        <x:v>563</x:v>
      </x:c>
      <x:c r="S31" s="5" t="s">
        <x:v>105</x:v>
      </x:c>
      <x:c r="T31" s="5" t="s">
        <x:v>619</x:v>
      </x:c>
      <x:c r="U31" s="5" t="s">
        <x:v>620</x:v>
      </x:c>
      <x:c r="V31" s="5" t="s">
        <x:v>621</x:v>
      </x:c>
      <x:c r="W31" s="5" t="s">
        <x:v>622</x:v>
      </x:c>
      <x:c r="X31" s="5" t="s">
        <x:v>623</x:v>
      </x:c>
      <x:c r="Y31" s="5" t="s">
        <x:v>624</x:v>
      </x:c>
      <x:c r="Z31" s="23" t="str">
        <x:v>确认通过</x:v>
      </x:c>
    </x:row>
    <x:row r="32">
      <x:c r="A32" s="4" t="s">
        <x:v>625</x:v>
      </x:c>
      <x:c r="B32" s="5" t="s">
        <x:v>314</x:v>
      </x:c>
      <x:c r="C32" s="5" t="s">
        <x:v>617</x:v>
      </x:c>
      <x:c r="D32" s="5" t="s">
        <x:v>319</x:v>
      </x:c>
      <x:c r="E32" s="5" t="s">
        <x:v>321</x:v>
      </x:c>
      <x:c r="F32" s="5" t="s">
        <x:v>505</x:v>
      </x:c>
      <x:c r="G32" s="5" t="s">
        <x:v>519</x:v>
      </x:c>
      <x:c r="H32" s="5"/>
      <x:c r="I32" s="5"/>
      <x:c r="J32" s="5" t="s">
        <x:v>508</x:v>
      </x:c>
      <x:c r="K32" s="5" t="s">
        <x:v>520</x:v>
      </x:c>
      <x:c r="L32" s="5" t="s">
        <x:v>510</x:v>
      </x:c>
      <x:c r="M32" s="5" t="s">
        <x:v>618</x:v>
      </x:c>
      <x:c r="N32" s="26">
        <x:v>387596</x:v>
      </x:c>
      <x:c r="O32" s="5" t="s">
        <x:v>561</x:v>
      </x:c>
      <x:c r="P32" s="29">
        <x:v>2000</x:v>
      </x:c>
      <x:c r="Q32" s="5" t="s">
        <x:v>562</x:v>
      </x:c>
      <x:c r="R32" s="5" t="s">
        <x:v>563</x:v>
      </x:c>
      <x:c r="S32" s="5" t="s">
        <x:v>105</x:v>
      </x:c>
      <x:c r="T32" s="5" t="s">
        <x:v>619</x:v>
      </x:c>
      <x:c r="U32" s="5" t="s">
        <x:v>620</x:v>
      </x:c>
      <x:c r="V32" s="5" t="s">
        <x:v>621</x:v>
      </x:c>
      <x:c r="W32" s="5" t="s">
        <x:v>622</x:v>
      </x:c>
      <x:c r="X32" s="5" t="s">
        <x:v>626</x:v>
      </x:c>
      <x:c r="Y32" s="5" t="s">
        <x:v>627</x:v>
      </x:c>
      <x:c r="Z32" s="23" t="str">
        <x:v>确认通过</x:v>
      </x:c>
    </x:row>
    <x:row r="33" ht="23">
      <x:c r="A33" s="4" t="s">
        <x:v>628</x:v>
      </x:c>
      <x:c r="B33" s="5" t="s">
        <x:v>332</x:v>
      </x:c>
      <x:c r="C33" s="5" t="s">
        <x:v>617</x:v>
      </x:c>
      <x:c r="D33" s="5" t="s">
        <x:v>291</x:v>
      </x:c>
      <x:c r="E33" s="5" t="s">
        <x:v>293</x:v>
      </x:c>
      <x:c r="F33" s="5" t="s">
        <x:v>505</x:v>
      </x:c>
      <x:c r="G33" s="5" t="s">
        <x:v>506</x:v>
      </x:c>
      <x:c r="H33" s="5" t="s">
        <x:v>121</x:v>
      </x:c>
      <x:c r="I33" s="5" t="s">
        <x:v>123</x:v>
      </x:c>
      <x:c r="J33" s="5" t="s">
        <x:v>508</x:v>
      </x:c>
      <x:c r="K33" s="5" t="s">
        <x:v>509</x:v>
      </x:c>
      <x:c r="L33" s="5" t="s">
        <x:v>533</x:v>
      </x:c>
      <x:c r="M33" s="5" t="s">
        <x:v>511</x:v>
      </x:c>
      <x:c r="N33" s="26">
        <x:v>480000</x:v>
      </x:c>
      <x:c r="O33" s="5" t="s">
        <x:v>561</x:v>
      </x:c>
      <x:c r="P33" s="29">
        <x:v>2476.8000000000002</x:v>
      </x:c>
      <x:c r="Q33" s="5" t="s">
        <x:v>562</x:v>
      </x:c>
      <x:c r="R33" s="5" t="s">
        <x:v>563</x:v>
      </x:c>
      <x:c r="S33" s="5" t="s">
        <x:v>105</x:v>
      </x:c>
      <x:c r="T33" s="5" t="s">
        <x:v>629</x:v>
      </x:c>
      <x:c r="U33" s="5" t="s">
        <x:v>342</x:v>
      </x:c>
      <x:c r="V33" s="5" t="s">
        <x:v>343</x:v>
      </x:c>
      <x:c r="W33" s="5" t="s">
        <x:v>630</x:v>
      </x:c>
      <x:c r="X33" s="5" t="s">
        <x:v>631</x:v>
      </x:c>
      <x:c r="Y33" s="5" t="s">
        <x:v>632</x:v>
      </x:c>
      <x:c r="Z33" s="23" t="str">
        <x:v>确认通过</x:v>
      </x:c>
    </x:row>
    <x:row r="34" ht="23">
      <x:c r="A34" s="4" t="s">
        <x:v>633</x:v>
      </x:c>
      <x:c r="B34" s="5" t="s">
        <x:v>332</x:v>
      </x:c>
      <x:c r="C34" s="5" t="s">
        <x:v>617</x:v>
      </x:c>
      <x:c r="D34" s="5" t="s">
        <x:v>334</x:v>
      </x:c>
      <x:c r="E34" s="5" t="s">
        <x:v>336</x:v>
      </x:c>
      <x:c r="F34" s="5" t="s">
        <x:v>505</x:v>
      </x:c>
      <x:c r="G34" s="5" t="s">
        <x:v>506</x:v>
      </x:c>
      <x:c r="H34" s="5" t="s">
        <x:v>113</x:v>
      </x:c>
      <x:c r="I34" s="5" t="s">
        <x:v>115</x:v>
      </x:c>
      <x:c r="J34" s="5" t="s">
        <x:v>508</x:v>
      </x:c>
      <x:c r="K34" s="5" t="s">
        <x:v>509</x:v>
      </x:c>
      <x:c r="L34" s="5" t="s">
        <x:v>510</x:v>
      </x:c>
      <x:c r="M34" s="5" t="s">
        <x:v>511</x:v>
      </x:c>
      <x:c r="N34" s="26">
        <x:v>116280</x:v>
      </x:c>
      <x:c r="O34" s="5" t="s">
        <x:v>561</x:v>
      </x:c>
      <x:c r="P34" s="29">
        <x:v>600</x:v>
      </x:c>
      <x:c r="Q34" s="5" t="s">
        <x:v>562</x:v>
      </x:c>
      <x:c r="R34" s="5" t="s">
        <x:v>563</x:v>
      </x:c>
      <x:c r="S34" s="5" t="s">
        <x:v>105</x:v>
      </x:c>
      <x:c r="T34" s="5" t="s">
        <x:v>629</x:v>
      </x:c>
      <x:c r="U34" s="5" t="s">
        <x:v>342</x:v>
      </x:c>
      <x:c r="V34" s="5" t="s">
        <x:v>343</x:v>
      </x:c>
      <x:c r="W34" s="5" t="s">
        <x:v>630</x:v>
      </x:c>
      <x:c r="X34" s="5" t="s">
        <x:v>631</x:v>
      </x:c>
      <x:c r="Y34" s="5" t="s">
        <x:v>634</x:v>
      </x:c>
      <x:c r="Z34" s="23" t="str">
        <x:v>确认通过</x:v>
      </x:c>
    </x:row>
    <x:row r="35" ht="23">
      <x:c r="A35" s="4" t="s">
        <x:v>635</x:v>
      </x:c>
      <x:c r="B35" s="5" t="s">
        <x:v>332</x:v>
      </x:c>
      <x:c r="C35" s="5" t="s">
        <x:v>617</x:v>
      </x:c>
      <x:c r="D35" s="5" t="s">
        <x:v>356</x:v>
      </x:c>
      <x:c r="E35" s="5" t="s">
        <x:v>358</x:v>
      </x:c>
      <x:c r="F35" s="5" t="s">
        <x:v>505</x:v>
      </x:c>
      <x:c r="G35" s="5" t="s">
        <x:v>506</x:v>
      </x:c>
      <x:c r="H35" s="5" t="s">
        <x:v>113</x:v>
      </x:c>
      <x:c r="I35" s="5" t="s">
        <x:v>115</x:v>
      </x:c>
      <x:c r="J35" s="5" t="s">
        <x:v>508</x:v>
      </x:c>
      <x:c r="K35" s="5" t="s">
        <x:v>509</x:v>
      </x:c>
      <x:c r="L35" s="5" t="s">
        <x:v>510</x:v>
      </x:c>
      <x:c r="M35" s="5" t="s">
        <x:v>511</x:v>
      </x:c>
      <x:c r="N35" s="26">
        <x:v>85000</x:v>
      </x:c>
      <x:c r="O35" s="5" t="s">
        <x:v>561</x:v>
      </x:c>
      <x:c r="P35" s="29">
        <x:v>438.6</x:v>
      </x:c>
      <x:c r="Q35" s="5" t="s">
        <x:v>562</x:v>
      </x:c>
      <x:c r="R35" s="5" t="s">
        <x:v>563</x:v>
      </x:c>
      <x:c r="S35" s="5" t="s">
        <x:v>105</x:v>
      </x:c>
      <x:c r="T35" s="5" t="s">
        <x:v>629</x:v>
      </x:c>
      <x:c r="U35" s="5" t="s">
        <x:v>342</x:v>
      </x:c>
      <x:c r="V35" s="5" t="s">
        <x:v>343</x:v>
      </x:c>
      <x:c r="W35" s="5" t="s">
        <x:v>630</x:v>
      </x:c>
      <x:c r="X35" s="5" t="s">
        <x:v>631</x:v>
      </x:c>
      <x:c r="Y35" s="5" t="s">
        <x:v>636</x:v>
      </x:c>
      <x:c r="Z35" s="23" t="str">
        <x:v>确认通过</x:v>
      </x:c>
    </x:row>
    <x:row r="36" ht="23">
      <x:c r="A36" s="4" t="s">
        <x:v>637</x:v>
      </x:c>
      <x:c r="B36" s="5" t="s">
        <x:v>332</x:v>
      </x:c>
      <x:c r="C36" s="5" t="s">
        <x:v>617</x:v>
      </x:c>
      <x:c r="D36" s="5" t="s">
        <x:v>356</x:v>
      </x:c>
      <x:c r="E36" s="5" t="s">
        <x:v>358</x:v>
      </x:c>
      <x:c r="F36" s="5" t="s">
        <x:v>505</x:v>
      </x:c>
      <x:c r="G36" s="5" t="s">
        <x:v>506</x:v>
      </x:c>
      <x:c r="H36" s="5" t="s">
        <x:v>263</x:v>
      </x:c>
      <x:c r="I36" s="5" t="s">
        <x:v>265</x:v>
      </x:c>
      <x:c r="J36" s="5" t="s">
        <x:v>508</x:v>
      </x:c>
      <x:c r="K36" s="5" t="s">
        <x:v>509</x:v>
      </x:c>
      <x:c r="L36" s="5" t="s">
        <x:v>533</x:v>
      </x:c>
      <x:c r="M36" s="5" t="s">
        <x:v>511</x:v>
      </x:c>
      <x:c r="N36" s="26">
        <x:v>50000</x:v>
      </x:c>
      <x:c r="O36" s="5" t="s">
        <x:v>561</x:v>
      </x:c>
      <x:c r="P36" s="29">
        <x:v>258</x:v>
      </x:c>
      <x:c r="Q36" s="5" t="s">
        <x:v>562</x:v>
      </x:c>
      <x:c r="R36" s="5" t="s">
        <x:v>563</x:v>
      </x:c>
      <x:c r="S36" s="5" t="s">
        <x:v>105</x:v>
      </x:c>
      <x:c r="T36" s="5" t="s">
        <x:v>629</x:v>
      </x:c>
      <x:c r="U36" s="5" t="s">
        <x:v>342</x:v>
      </x:c>
      <x:c r="V36" s="5" t="s">
        <x:v>343</x:v>
      </x:c>
      <x:c r="W36" s="5" t="s">
        <x:v>630</x:v>
      </x:c>
      <x:c r="X36" s="5" t="s">
        <x:v>631</x:v>
      </x:c>
      <x:c r="Y36" s="5" t="s">
        <x:v>638</x:v>
      </x:c>
      <x:c r="Z36" s="23" t="str">
        <x:v>确认通过</x:v>
      </x:c>
    </x:row>
    <x:row r="37" ht="23">
      <x:c r="A37" s="7" t="s">
        <x:v>639</x:v>
      </x:c>
      <x:c r="B37" s="8" t="s">
        <x:v>332</x:v>
      </x:c>
      <x:c r="C37" s="8" t="s">
        <x:v>617</x:v>
      </x:c>
      <x:c r="D37" s="8" t="s">
        <x:v>356</x:v>
      </x:c>
      <x:c r="E37" s="8" t="s">
        <x:v>358</x:v>
      </x:c>
      <x:c r="F37" s="8" t="s">
        <x:v>505</x:v>
      </x:c>
      <x:c r="G37" s="8" t="s">
        <x:v>506</x:v>
      </x:c>
      <x:c r="H37" s="8" t="s">
        <x:v>270</x:v>
      </x:c>
      <x:c r="I37" s="8" t="s">
        <x:v>272</x:v>
      </x:c>
      <x:c r="J37" s="8" t="s">
        <x:v>508</x:v>
      </x:c>
      <x:c r="K37" s="8" t="s">
        <x:v>509</x:v>
      </x:c>
      <x:c r="L37" s="8" t="s">
        <x:v>533</x:v>
      </x:c>
      <x:c r="M37" s="8" t="s">
        <x:v>511</x:v>
      </x:c>
      <x:c r="N37" s="27">
        <x:v>150000</x:v>
      </x:c>
      <x:c r="O37" s="8" t="s">
        <x:v>561</x:v>
      </x:c>
      <x:c r="P37" s="30">
        <x:v>774</x:v>
      </x:c>
      <x:c r="Q37" s="8" t="s">
        <x:v>562</x:v>
      </x:c>
      <x:c r="R37" s="8" t="s">
        <x:v>563</x:v>
      </x:c>
      <x:c r="S37" s="8" t="s">
        <x:v>105</x:v>
      </x:c>
      <x:c r="T37" s="8" t="s">
        <x:v>629</x:v>
      </x:c>
      <x:c r="U37" s="8" t="s">
        <x:v>342</x:v>
      </x:c>
      <x:c r="V37" s="8" t="s">
        <x:v>343</x:v>
      </x:c>
      <x:c r="W37" s="8" t="s">
        <x:v>630</x:v>
      </x:c>
      <x:c r="X37" s="8" t="s">
        <x:v>631</x:v>
      </x:c>
      <x:c r="Y37" s="8" t="s">
        <x:v>640</x:v>
      </x:c>
      <x:c r="Z37" s="24" t="str">
        <x:v>确认通过</x:v>
      </x:c>
    </x:row>
  </x:sheetData>
  <x:mergeCells>
    <x:mergeCell ref="A1:Z1"/>
    <x:mergeCell ref="A2:Z2"/>
  </x:mergeCells>
  <x:dataValidations count="5">
    <x:dataValidation type="list" sqref="J5:J37">
      <x:formula1>"DIRECT,INDIRECT"</x:formula1>
    </x:dataValidation>
    <x:dataValidation type="list" sqref="K5:K37">
      <x:formula1>"CAPITAL_INCREASE,SHARE_TRANSFER,OTHER"</x:formula1>
    </x:dataValidation>
    <x:dataValidation type="list" sqref="L5:L37">
      <x:formula1>"INITIAL_ENTRY,FOLLOW_ON,PARTIAL_EXIT,FULL_EXIT,INTERNAL_ADJUSTMENT"</x:formula1>
    </x:dataValidation>
    <x:dataValidation type="list" sqref="R5:R37">
      <x:formula1>"DISCLOSED,CALCULATED,NOT_DISCLOSED"</x:formula1>
    </x:dataValidation>
    <x:dataValidation type="list" sqref="Z5:Z37">
      <x:formula1>"待用户复核,确认通过,修改后通过,信息不足保留未知,退回复核"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97bd80aee94011"/>
  </x:tableParts>
</x:worksheet>
</file>

<file path=xl/worksheets/sheet5.xml><?xml version="1.0" encoding="utf-8"?>
<x:worksheet xmlns:x="http://schemas.openxmlformats.org/spreadsheetml/2006/main">
  <x:sheetFormatPr defaultRowHeight="14"/>
  <x:cols>
    <x:col min="1" max="2" width="13" customWidth="1"/>
    <x:col min="3" max="3" width="10" customWidth="1"/>
    <x:col min="4" max="4" width="14" customWidth="1"/>
    <x:col min="5" max="5" width="34" customWidth="1"/>
    <x:col min="6" max="6" width="28" customWidth="1"/>
    <x:col min="7" max="7" width="14" customWidth="1"/>
    <x:col min="8" max="8" width="30" customWidth="1"/>
    <x:col min="9" max="9" width="14" customWidth="1"/>
    <x:col min="10" max="10" width="30" customWidth="1"/>
    <x:col min="11" max="12" width="14" customWidth="1"/>
    <x:col min="13" max="14" width="16" customWidth="1"/>
    <x:col min="15" max="15" width="18" customWidth="1"/>
    <x:col min="16" max="16" width="16" customWidth="1"/>
    <x:col min="17" max="17" width="22" customWidth="1"/>
    <x:col min="18" max="19" width="14" customWidth="1"/>
    <x:col min="20" max="20" width="11" customWidth="1"/>
    <x:col min="21" max="21" width="15" customWidth="1"/>
  </x:cols>
  <x:sheetData>
    <x:row r="1" ht="12" customHeight="1">
      <x:c r="A1" s="37" t="s">
        <x:v>641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</x:row>
    <x:row r="2" ht="24" customHeight="1">
      <x:c r="A2" s="38" t="s">
        <x:v>642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</x:row>
    <x:row r="4" ht="28" customHeight="1">
      <x:c r="A4" s="13" t="s">
        <x:v>643</x:v>
      </x:c>
      <x:c r="B4" s="14" t="s">
        <x:v>644</x:v>
      </x:c>
      <x:c r="C4" s="14" t="s">
        <x:v>645</x:v>
      </x:c>
      <x:c r="D4" s="14" t="s">
        <x:v>646</x:v>
      </x:c>
      <x:c r="E4" s="14" t="s">
        <x:v>647</x:v>
      </x:c>
      <x:c r="F4" s="14" t="s">
        <x:v>648</x:v>
      </x:c>
      <x:c r="G4" s="14" t="s">
        <x:v>649</x:v>
      </x:c>
      <x:c r="H4" s="14" t="s">
        <x:v>650</x:v>
      </x:c>
      <x:c r="I4" s="14" t="s">
        <x:v>651</x:v>
      </x:c>
      <x:c r="J4" s="14" t="s">
        <x:v>652</x:v>
      </x:c>
      <x:c r="K4" s="14" t="s">
        <x:v>653</x:v>
      </x:c>
      <x:c r="L4" s="14" t="s">
        <x:v>481</x:v>
      </x:c>
      <x:c r="M4" s="14" t="s">
        <x:v>654</x:v>
      </x:c>
      <x:c r="N4" s="14" t="s">
        <x:v>655</x:v>
      </x:c>
      <x:c r="O4" s="14" t="s">
        <x:v>656</x:v>
      </x:c>
      <x:c r="P4" s="14" t="s">
        <x:v>657</x:v>
      </x:c>
      <x:c r="Q4" s="14" t="s">
        <x:v>420</x:v>
      </x:c>
      <x:c r="R4" s="14" t="s">
        <x:v>81</x:v>
      </x:c>
      <x:c r="S4" s="14" t="s">
        <x:v>82</x:v>
      </x:c>
      <x:c r="T4" s="14" t="s">
        <x:v>80</x:v>
      </x:c>
      <x:c r="U4" s="15" t="s">
        <x:v>502</x:v>
      </x:c>
    </x:row>
    <x:row r="5">
      <x:c r="A5" s="1" t="s">
        <x:v>658</x:v>
      </x:c>
      <x:c r="B5" s="2" t="s">
        <x:v>659</x:v>
      </x:c>
      <x:c r="C5" s="2">
        <x:v>1</x:v>
      </x:c>
      <x:c r="D5" s="2" t="s">
        <x:v>124</x:v>
      </x:c>
      <x:c r="E5" s="2" t="s">
        <x:v>126</x:v>
      </x:c>
      <x:c r="F5" s="2" t="s">
        <x:v>660</x:v>
      </x:c>
      <x:c r="G5" s="2" t="s">
        <x:v>85</x:v>
      </x:c>
      <x:c r="H5" s="2" t="s">
        <x:v>661</x:v>
      </x:c>
      <x:c r="I5" s="2" t="s">
        <x:v>105</x:v>
      </x:c>
      <x:c r="J5" s="2" t="s">
        <x:v>662</x:v>
      </x:c>
      <x:c r="K5" s="2" t="s">
        <x:v>508</x:v>
      </x:c>
      <x:c r="L5" s="2" t="s">
        <x:v>130</x:v>
      </x:c>
      <x:c r="M5" s="2" t="s">
        <x:v>130</x:v>
      </x:c>
      <x:c r="N5" s="2" t="s">
        <x:v>131</x:v>
      </x:c>
      <x:c r="O5" s="2" t="s">
        <x:v>663</x:v>
      </x:c>
      <x:c r="P5" s="2"/>
      <x:c r="Q5" s="2" t="s">
        <x:v>134</x:v>
      </x:c>
      <x:c r="R5" s="2" t="s">
        <x:v>175</x:v>
      </x:c>
      <x:c r="S5" s="2" t="s">
        <x:v>513</x:v>
      </x:c>
      <x:c r="T5" s="2" t="s">
        <x:v>135</x:v>
      </x:c>
      <x:c r="U5" s="22" t="str">
        <x:v>确认通过</x:v>
      </x:c>
    </x:row>
    <x:row r="6">
      <x:c r="A6" s="4" t="s">
        <x:v>664</x:v>
      </x:c>
      <x:c r="B6" s="5" t="s">
        <x:v>665</x:v>
      </x:c>
      <x:c r="C6" s="5">
        <x:v>1</x:v>
      </x:c>
      <x:c r="D6" s="5" t="s">
        <x:v>138</x:v>
      </x:c>
      <x:c r="E6" s="5" t="s">
        <x:v>140</x:v>
      </x:c>
      <x:c r="F6" s="5" t="s">
        <x:v>660</x:v>
      </x:c>
      <x:c r="G6" s="5" t="s">
        <x:v>85</x:v>
      </x:c>
      <x:c r="H6" s="5" t="s">
        <x:v>661</x:v>
      </x:c>
      <x:c r="I6" s="5" t="s">
        <x:v>105</x:v>
      </x:c>
      <x:c r="J6" s="5" t="s">
        <x:v>662</x:v>
      </x:c>
      <x:c r="K6" s="5" t="s">
        <x:v>508</x:v>
      </x:c>
      <x:c r="L6" s="5" t="s">
        <x:v>143</x:v>
      </x:c>
      <x:c r="M6" s="5" t="s">
        <x:v>143</x:v>
      </x:c>
      <x:c r="N6" s="5"/>
      <x:c r="O6" s="5" t="s">
        <x:v>663</x:v>
      </x:c>
      <x:c r="P6" s="5"/>
      <x:c r="Q6" s="5" t="s">
        <x:v>145</x:v>
      </x:c>
      <x:c r="R6" s="5" t="s">
        <x:v>175</x:v>
      </x:c>
      <x:c r="S6" s="5" t="s">
        <x:v>513</x:v>
      </x:c>
      <x:c r="T6" s="5" t="s">
        <x:v>94</x:v>
      </x:c>
      <x:c r="U6" s="23" t="str">
        <x:v>确认通过</x:v>
      </x:c>
    </x:row>
    <x:row r="7">
      <x:c r="A7" s="4" t="s">
        <x:v>666</x:v>
      </x:c>
      <x:c r="B7" s="5" t="s">
        <x:v>667</x:v>
      </x:c>
      <x:c r="C7" s="5">
        <x:v>1</x:v>
      </x:c>
      <x:c r="D7" s="5" t="s">
        <x:v>148</x:v>
      </x:c>
      <x:c r="E7" s="5" t="s">
        <x:v>150</x:v>
      </x:c>
      <x:c r="F7" s="5" t="s">
        <x:v>660</x:v>
      </x:c>
      <x:c r="G7" s="5" t="s">
        <x:v>85</x:v>
      </x:c>
      <x:c r="H7" s="5" t="s">
        <x:v>661</x:v>
      </x:c>
      <x:c r="I7" s="5" t="s">
        <x:v>105</x:v>
      </x:c>
      <x:c r="J7" s="5" t="s">
        <x:v>662</x:v>
      </x:c>
      <x:c r="K7" s="5" t="s">
        <x:v>508</x:v>
      </x:c>
      <x:c r="L7" s="5" t="s">
        <x:v>143</x:v>
      </x:c>
      <x:c r="M7" s="5" t="s">
        <x:v>143</x:v>
      </x:c>
      <x:c r="N7" s="5"/>
      <x:c r="O7" s="5" t="s">
        <x:v>663</x:v>
      </x:c>
      <x:c r="P7" s="5"/>
      <x:c r="Q7" s="5" t="s">
        <x:v>155</x:v>
      </x:c>
      <x:c r="R7" s="5" t="s">
        <x:v>175</x:v>
      </x:c>
      <x:c r="S7" s="5" t="s">
        <x:v>513</x:v>
      </x:c>
      <x:c r="T7" s="5" t="s">
        <x:v>94</x:v>
      </x:c>
      <x:c r="U7" s="23" t="str">
        <x:v>确认通过</x:v>
      </x:c>
    </x:row>
    <x:row r="8">
      <x:c r="A8" s="4" t="s">
        <x:v>668</x:v>
      </x:c>
      <x:c r="B8" s="5" t="s">
        <x:v>669</x:v>
      </x:c>
      <x:c r="C8" s="5">
        <x:v>1</x:v>
      </x:c>
      <x:c r="D8" s="5" t="s">
        <x:v>158</x:v>
      </x:c>
      <x:c r="E8" s="5" t="s">
        <x:v>160</x:v>
      </x:c>
      <x:c r="F8" s="5" t="s">
        <x:v>660</x:v>
      </x:c>
      <x:c r="G8" s="5" t="s">
        <x:v>85</x:v>
      </x:c>
      <x:c r="H8" s="5" t="s">
        <x:v>661</x:v>
      </x:c>
      <x:c r="I8" s="5" t="s">
        <x:v>105</x:v>
      </x:c>
      <x:c r="J8" s="5" t="s">
        <x:v>662</x:v>
      </x:c>
      <x:c r="K8" s="5" t="s">
        <x:v>508</x:v>
      </x:c>
      <x:c r="L8" s="5" t="s">
        <x:v>143</x:v>
      </x:c>
      <x:c r="M8" s="5" t="s">
        <x:v>143</x:v>
      </x:c>
      <x:c r="N8" s="5"/>
      <x:c r="O8" s="5" t="s">
        <x:v>663</x:v>
      </x:c>
      <x:c r="P8" s="5"/>
      <x:c r="Q8" s="5" t="s">
        <x:v>145</x:v>
      </x:c>
      <x:c r="R8" s="5" t="s">
        <x:v>175</x:v>
      </x:c>
      <x:c r="S8" s="5" t="s">
        <x:v>513</x:v>
      </x:c>
      <x:c r="T8" s="5" t="s">
        <x:v>94</x:v>
      </x:c>
      <x:c r="U8" s="23" t="str">
        <x:v>确认通过</x:v>
      </x:c>
    </x:row>
    <x:row r="9">
      <x:c r="A9" s="4" t="s">
        <x:v>670</x:v>
      </x:c>
      <x:c r="B9" s="5" t="s">
        <x:v>671</x:v>
      </x:c>
      <x:c r="C9" s="5">
        <x:v>1</x:v>
      </x:c>
      <x:c r="D9" s="5" t="s">
        <x:v>166</x:v>
      </x:c>
      <x:c r="E9" s="5" t="s">
        <x:v>168</x:v>
      </x:c>
      <x:c r="F9" s="5" t="s">
        <x:v>660</x:v>
      </x:c>
      <x:c r="G9" s="5" t="s">
        <x:v>85</x:v>
      </x:c>
      <x:c r="H9" s="5" t="s">
        <x:v>661</x:v>
      </x:c>
      <x:c r="I9" s="5" t="s">
        <x:v>105</x:v>
      </x:c>
      <x:c r="J9" s="5" t="s">
        <x:v>662</x:v>
      </x:c>
      <x:c r="K9" s="5" t="s">
        <x:v>508</x:v>
      </x:c>
      <x:c r="L9" s="5" t="s">
        <x:v>171</x:v>
      </x:c>
      <x:c r="M9" s="5" t="s">
        <x:v>171</x:v>
      </x:c>
      <x:c r="N9" s="5"/>
      <x:c r="O9" s="5" t="s">
        <x:v>663</x:v>
      </x:c>
      <x:c r="P9" s="5"/>
      <x:c r="Q9" s="5" t="s">
        <x:v>173</x:v>
      </x:c>
      <x:c r="R9" s="5" t="s">
        <x:v>174</x:v>
      </x:c>
      <x:c r="S9" s="5" t="s">
        <x:v>175</x:v>
      </x:c>
      <x:c r="T9" s="5" t="s">
        <x:v>135</x:v>
      </x:c>
      <x:c r="U9" s="23" t="str">
        <x:v>确认通过</x:v>
      </x:c>
    </x:row>
    <x:row r="10">
      <x:c r="A10" s="4" t="s">
        <x:v>672</x:v>
      </x:c>
      <x:c r="B10" s="5" t="s">
        <x:v>673</x:v>
      </x:c>
      <x:c r="C10" s="5">
        <x:v>1</x:v>
      </x:c>
      <x:c r="D10" s="5" t="s">
        <x:v>176</x:v>
      </x:c>
      <x:c r="E10" s="5" t="s">
        <x:v>178</x:v>
      </x:c>
      <x:c r="F10" s="5" t="s">
        <x:v>660</x:v>
      </x:c>
      <x:c r="G10" s="5" t="s">
        <x:v>85</x:v>
      </x:c>
      <x:c r="H10" s="5" t="s">
        <x:v>661</x:v>
      </x:c>
      <x:c r="I10" s="5" t="s">
        <x:v>105</x:v>
      </x:c>
      <x:c r="J10" s="5" t="s">
        <x:v>662</x:v>
      </x:c>
      <x:c r="K10" s="5" t="s">
        <x:v>508</x:v>
      </x:c>
      <x:c r="L10" s="5" t="s">
        <x:v>171</x:v>
      </x:c>
      <x:c r="M10" s="5" t="s">
        <x:v>171</x:v>
      </x:c>
      <x:c r="N10" s="5" t="s">
        <x:v>181</x:v>
      </x:c>
      <x:c r="O10" s="5" t="s">
        <x:v>663</x:v>
      </x:c>
      <x:c r="P10" s="5"/>
      <x:c r="Q10" s="5" t="s">
        <x:v>183</x:v>
      </x:c>
      <x:c r="R10" s="5" t="s">
        <x:v>174</x:v>
      </x:c>
      <x:c r="S10" s="5" t="s">
        <x:v>175</x:v>
      </x:c>
      <x:c r="T10" s="5" t="s">
        <x:v>94</x:v>
      </x:c>
      <x:c r="U10" s="23" t="str">
        <x:v>确认通过</x:v>
      </x:c>
    </x:row>
    <x:row r="11">
      <x:c r="A11" s="4" t="s">
        <x:v>674</x:v>
      </x:c>
      <x:c r="B11" s="5" t="s">
        <x:v>675</x:v>
      </x:c>
      <x:c r="C11" s="5">
        <x:v>1</x:v>
      </x:c>
      <x:c r="D11" s="5" t="s">
        <x:v>186</x:v>
      </x:c>
      <x:c r="E11" s="5" t="s">
        <x:v>188</x:v>
      </x:c>
      <x:c r="F11" s="5" t="s">
        <x:v>660</x:v>
      </x:c>
      <x:c r="G11" s="5" t="s">
        <x:v>85</x:v>
      </x:c>
      <x:c r="H11" s="5" t="s">
        <x:v>661</x:v>
      </x:c>
      <x:c r="I11" s="5" t="s">
        <x:v>105</x:v>
      </x:c>
      <x:c r="J11" s="5" t="s">
        <x:v>662</x:v>
      </x:c>
      <x:c r="K11" s="5" t="s">
        <x:v>508</x:v>
      </x:c>
      <x:c r="L11" s="5" t="s">
        <x:v>171</x:v>
      </x:c>
      <x:c r="M11" s="5" t="s">
        <x:v>171</x:v>
      </x:c>
      <x:c r="N11" s="5"/>
      <x:c r="O11" s="5" t="s">
        <x:v>663</x:v>
      </x:c>
      <x:c r="P11" s="5"/>
      <x:c r="Q11" s="5" t="s">
        <x:v>173</x:v>
      </x:c>
      <x:c r="R11" s="5" t="s">
        <x:v>174</x:v>
      </x:c>
      <x:c r="S11" s="5" t="s">
        <x:v>175</x:v>
      </x:c>
      <x:c r="T11" s="5" t="s">
        <x:v>135</x:v>
      </x:c>
      <x:c r="U11" s="23" t="str">
        <x:v>确认通过</x:v>
      </x:c>
    </x:row>
    <x:row r="12">
      <x:c r="A12" s="4" t="s">
        <x:v>676</x:v>
      </x:c>
      <x:c r="B12" s="5" t="s">
        <x:v>677</x:v>
      </x:c>
      <x:c r="C12" s="5">
        <x:v>1</x:v>
      </x:c>
      <x:c r="D12" s="5" t="s">
        <x:v>191</x:v>
      </x:c>
      <x:c r="E12" s="5" t="s">
        <x:v>193</x:v>
      </x:c>
      <x:c r="F12" s="5" t="s">
        <x:v>660</x:v>
      </x:c>
      <x:c r="G12" s="5" t="s">
        <x:v>85</x:v>
      </x:c>
      <x:c r="H12" s="5" t="s">
        <x:v>661</x:v>
      </x:c>
      <x:c r="I12" s="5" t="s">
        <x:v>105</x:v>
      </x:c>
      <x:c r="J12" s="5" t="s">
        <x:v>662</x:v>
      </x:c>
      <x:c r="K12" s="5" t="s">
        <x:v>508</x:v>
      </x:c>
      <x:c r="L12" s="5" t="s">
        <x:v>171</x:v>
      </x:c>
      <x:c r="M12" s="5" t="s">
        <x:v>171</x:v>
      </x:c>
      <x:c r="N12" s="5"/>
      <x:c r="O12" s="5" t="s">
        <x:v>663</x:v>
      </x:c>
      <x:c r="P12" s="5"/>
      <x:c r="Q12" s="5" t="s">
        <x:v>173</x:v>
      </x:c>
      <x:c r="R12" s="5" t="s">
        <x:v>174</x:v>
      </x:c>
      <x:c r="S12" s="5" t="s">
        <x:v>175</x:v>
      </x:c>
      <x:c r="T12" s="5" t="s">
        <x:v>135</x:v>
      </x:c>
      <x:c r="U12" s="23" t="str">
        <x:v>确认通过</x:v>
      </x:c>
    </x:row>
    <x:row r="13" ht="23">
      <x:c r="A13" s="4" t="s">
        <x:v>678</x:v>
      </x:c>
      <x:c r="B13" s="5" t="s">
        <x:v>679</x:v>
      </x:c>
      <x:c r="C13" s="5">
        <x:v>1</x:v>
      </x:c>
      <x:c r="D13" s="5" t="s">
        <x:v>196</x:v>
      </x:c>
      <x:c r="E13" s="5" t="s">
        <x:v>198</x:v>
      </x:c>
      <x:c r="F13" s="5" t="s">
        <x:v>660</x:v>
      </x:c>
      <x:c r="G13" s="5" t="s">
        <x:v>85</x:v>
      </x:c>
      <x:c r="H13" s="5" t="s">
        <x:v>661</x:v>
      </x:c>
      <x:c r="I13" s="5" t="s">
        <x:v>105</x:v>
      </x:c>
      <x:c r="J13" s="5" t="s">
        <x:v>662</x:v>
      </x:c>
      <x:c r="K13" s="5" t="s">
        <x:v>508</x:v>
      </x:c>
      <x:c r="L13" s="5" t="s">
        <x:v>171</x:v>
      </x:c>
      <x:c r="M13" s="5" t="s">
        <x:v>171</x:v>
      </x:c>
      <x:c r="N13" s="5"/>
      <x:c r="O13" s="5" t="s">
        <x:v>663</x:v>
      </x:c>
      <x:c r="P13" s="5"/>
      <x:c r="Q13" s="5" t="s">
        <x:v>202</x:v>
      </x:c>
      <x:c r="R13" s="5" t="s">
        <x:v>174</x:v>
      </x:c>
      <x:c r="S13" s="5" t="s">
        <x:v>175</x:v>
      </x:c>
      <x:c r="T13" s="5" t="s">
        <x:v>94</x:v>
      </x:c>
      <x:c r="U13" s="23" t="str">
        <x:v>确认通过</x:v>
      </x:c>
    </x:row>
    <x:row r="14">
      <x:c r="A14" s="4" t="s">
        <x:v>680</x:v>
      </x:c>
      <x:c r="B14" s="5" t="s">
        <x:v>681</x:v>
      </x:c>
      <x:c r="C14" s="5">
        <x:v>1</x:v>
      </x:c>
      <x:c r="D14" s="5" t="s">
        <x:v>205</x:v>
      </x:c>
      <x:c r="E14" s="5" t="s">
        <x:v>207</x:v>
      </x:c>
      <x:c r="F14" s="5" t="s">
        <x:v>660</x:v>
      </x:c>
      <x:c r="G14" s="5" t="s">
        <x:v>85</x:v>
      </x:c>
      <x:c r="H14" s="5" t="s">
        <x:v>661</x:v>
      </x:c>
      <x:c r="I14" s="5" t="s">
        <x:v>105</x:v>
      </x:c>
      <x:c r="J14" s="5" t="s">
        <x:v>662</x:v>
      </x:c>
      <x:c r="K14" s="5" t="s">
        <x:v>508</x:v>
      </x:c>
      <x:c r="L14" s="5" t="s">
        <x:v>181</x:v>
      </x:c>
      <x:c r="M14" s="5" t="s">
        <x:v>181</x:v>
      </x:c>
      <x:c r="N14" s="5"/>
      <x:c r="O14" s="5" t="s">
        <x:v>663</x:v>
      </x:c>
      <x:c r="P14" s="5"/>
      <x:c r="Q14" s="5" t="s">
        <x:v>211</x:v>
      </x:c>
      <x:c r="R14" s="5" t="s">
        <x:v>565</x:v>
      </x:c>
      <x:c r="S14" s="5" t="s">
        <x:v>184</x:v>
      </x:c>
      <x:c r="T14" s="5" t="s">
        <x:v>94</x:v>
      </x:c>
      <x:c r="U14" s="23" t="str">
        <x:v>确认通过</x:v>
      </x:c>
    </x:row>
    <x:row r="15" ht="23">
      <x:c r="A15" s="4" t="s">
        <x:v>682</x:v>
      </x:c>
      <x:c r="B15" s="5" t="s">
        <x:v>683</x:v>
      </x:c>
      <x:c r="C15" s="5">
        <x:v>1</x:v>
      </x:c>
      <x:c r="D15" s="5" t="s">
        <x:v>213</x:v>
      </x:c>
      <x:c r="E15" s="5" t="s">
        <x:v>215</x:v>
      </x:c>
      <x:c r="F15" s="5" t="s">
        <x:v>660</x:v>
      </x:c>
      <x:c r="G15" s="5" t="s">
        <x:v>85</x:v>
      </x:c>
      <x:c r="H15" s="5" t="s">
        <x:v>661</x:v>
      </x:c>
      <x:c r="I15" s="5" t="s">
        <x:v>105</x:v>
      </x:c>
      <x:c r="J15" s="5" t="s">
        <x:v>662</x:v>
      </x:c>
      <x:c r="K15" s="5" t="s">
        <x:v>508</x:v>
      </x:c>
      <x:c r="L15" s="5" t="s">
        <x:v>218</x:v>
      </x:c>
      <x:c r="M15" s="5" t="s">
        <x:v>218</x:v>
      </x:c>
      <x:c r="N15" s="5"/>
      <x:c r="O15" s="5" t="s">
        <x:v>663</x:v>
      </x:c>
      <x:c r="P15" s="5"/>
      <x:c r="Q15" s="5" t="s">
        <x:v>220</x:v>
      </x:c>
      <x:c r="R15" s="5" t="s">
        <x:v>245</x:v>
      </x:c>
      <x:c r="S15" s="5" t="s">
        <x:v>246</x:v>
      </x:c>
      <x:c r="T15" s="5" t="s">
        <x:v>94</x:v>
      </x:c>
      <x:c r="U15" s="23" t="str">
        <x:v>确认通过</x:v>
      </x:c>
    </x:row>
    <x:row r="16">
      <x:c r="A16" s="4" t="s">
        <x:v>684</x:v>
      </x:c>
      <x:c r="B16" s="5" t="s">
        <x:v>685</x:v>
      </x:c>
      <x:c r="C16" s="5">
        <x:v>1</x:v>
      </x:c>
      <x:c r="D16" s="5" t="s">
        <x:v>223</x:v>
      </x:c>
      <x:c r="E16" s="5" t="s">
        <x:v>225</x:v>
      </x:c>
      <x:c r="F16" s="5" t="s">
        <x:v>660</x:v>
      </x:c>
      <x:c r="G16" s="5" t="s">
        <x:v>85</x:v>
      </x:c>
      <x:c r="H16" s="5" t="s">
        <x:v>661</x:v>
      </x:c>
      <x:c r="I16" s="5" t="s">
        <x:v>105</x:v>
      </x:c>
      <x:c r="J16" s="5" t="s">
        <x:v>662</x:v>
      </x:c>
      <x:c r="K16" s="5" t="s">
        <x:v>508</x:v>
      </x:c>
      <x:c r="L16" s="5" t="s">
        <x:v>218</x:v>
      </x:c>
      <x:c r="M16" s="5" t="s">
        <x:v>218</x:v>
      </x:c>
      <x:c r="N16" s="5"/>
      <x:c r="O16" s="5" t="s">
        <x:v>663</x:v>
      </x:c>
      <x:c r="P16" s="5"/>
      <x:c r="Q16" s="5" t="s">
        <x:v>229</x:v>
      </x:c>
      <x:c r="R16" s="5" t="s">
        <x:v>245</x:v>
      </x:c>
      <x:c r="S16" s="5" t="s">
        <x:v>246</x:v>
      </x:c>
      <x:c r="T16" s="5" t="s">
        <x:v>135</x:v>
      </x:c>
      <x:c r="U16" s="23" t="str">
        <x:v>确认通过</x:v>
      </x:c>
    </x:row>
    <x:row r="17">
      <x:c r="A17" s="4" t="s">
        <x:v>686</x:v>
      </x:c>
      <x:c r="B17" s="5" t="s">
        <x:v>687</x:v>
      </x:c>
      <x:c r="C17" s="5">
        <x:v>1</x:v>
      </x:c>
      <x:c r="D17" s="5" t="s">
        <x:v>232</x:v>
      </x:c>
      <x:c r="E17" s="5" t="s">
        <x:v>234</x:v>
      </x:c>
      <x:c r="F17" s="5" t="s">
        <x:v>660</x:v>
      </x:c>
      <x:c r="G17" s="5" t="s">
        <x:v>85</x:v>
      </x:c>
      <x:c r="H17" s="5" t="s">
        <x:v>661</x:v>
      </x:c>
      <x:c r="I17" s="5" t="s">
        <x:v>105</x:v>
      </x:c>
      <x:c r="J17" s="5" t="s">
        <x:v>662</x:v>
      </x:c>
      <x:c r="K17" s="5" t="s">
        <x:v>508</x:v>
      </x:c>
      <x:c r="L17" s="5" t="s">
        <x:v>218</x:v>
      </x:c>
      <x:c r="M17" s="5" t="s">
        <x:v>218</x:v>
      </x:c>
      <x:c r="N17" s="5"/>
      <x:c r="O17" s="5" t="s">
        <x:v>663</x:v>
      </x:c>
      <x:c r="P17" s="5"/>
      <x:c r="Q17" s="5" t="s">
        <x:v>220</x:v>
      </x:c>
      <x:c r="R17" s="5" t="s">
        <x:v>245</x:v>
      </x:c>
      <x:c r="S17" s="5" t="s">
        <x:v>246</x:v>
      </x:c>
      <x:c r="T17" s="5" t="s">
        <x:v>94</x:v>
      </x:c>
      <x:c r="U17" s="23" t="str">
        <x:v>确认通过</x:v>
      </x:c>
    </x:row>
    <x:row r="18" ht="23">
      <x:c r="A18" s="4" t="s">
        <x:v>688</x:v>
      </x:c>
      <x:c r="B18" s="5" t="s">
        <x:v>689</x:v>
      </x:c>
      <x:c r="C18" s="5">
        <x:v>1</x:v>
      </x:c>
      <x:c r="D18" s="5" t="s">
        <x:v>247</x:v>
      </x:c>
      <x:c r="E18" s="5" t="s">
        <x:v>249</x:v>
      </x:c>
      <x:c r="F18" s="5" t="s">
        <x:v>660</x:v>
      </x:c>
      <x:c r="G18" s="5" t="s">
        <x:v>85</x:v>
      </x:c>
      <x:c r="H18" s="5" t="s">
        <x:v>661</x:v>
      </x:c>
      <x:c r="I18" s="5" t="s">
        <x:v>105</x:v>
      </x:c>
      <x:c r="J18" s="5" t="s">
        <x:v>662</x:v>
      </x:c>
      <x:c r="K18" s="5" t="s">
        <x:v>508</x:v>
      </x:c>
      <x:c r="L18" s="5" t="s">
        <x:v>218</x:v>
      </x:c>
      <x:c r="M18" s="5" t="s">
        <x:v>218</x:v>
      </x:c>
      <x:c r="N18" s="5"/>
      <x:c r="O18" s="5" t="s">
        <x:v>663</x:v>
      </x:c>
      <x:c r="P18" s="5"/>
      <x:c r="Q18" s="5" t="s">
        <x:v>253</x:v>
      </x:c>
      <x:c r="R18" s="5" t="s">
        <x:v>245</x:v>
      </x:c>
      <x:c r="S18" s="5" t="s">
        <x:v>246</x:v>
      </x:c>
      <x:c r="T18" s="5" t="s">
        <x:v>94</x:v>
      </x:c>
      <x:c r="U18" s="23" t="str">
        <x:v>确认通过</x:v>
      </x:c>
    </x:row>
    <x:row r="19">
      <x:c r="A19" s="4" t="s">
        <x:v>690</x:v>
      </x:c>
      <x:c r="B19" s="5" t="s">
        <x:v>691</x:v>
      </x:c>
      <x:c r="C19" s="5">
        <x:v>1</x:v>
      </x:c>
      <x:c r="D19" s="5" t="s">
        <x:v>256</x:v>
      </x:c>
      <x:c r="E19" s="5" t="s">
        <x:v>258</x:v>
      </x:c>
      <x:c r="F19" s="5" t="s">
        <x:v>660</x:v>
      </x:c>
      <x:c r="G19" s="5" t="s">
        <x:v>85</x:v>
      </x:c>
      <x:c r="H19" s="5" t="s">
        <x:v>661</x:v>
      </x:c>
      <x:c r="I19" s="5" t="s">
        <x:v>105</x:v>
      </x:c>
      <x:c r="J19" s="5" t="s">
        <x:v>662</x:v>
      </x:c>
      <x:c r="K19" s="5" t="s">
        <x:v>508</x:v>
      </x:c>
      <x:c r="L19" s="5" t="s">
        <x:v>218</x:v>
      </x:c>
      <x:c r="M19" s="5" t="s">
        <x:v>218</x:v>
      </x:c>
      <x:c r="N19" s="5"/>
      <x:c r="O19" s="5" t="s">
        <x:v>663</x:v>
      </x:c>
      <x:c r="P19" s="5"/>
      <x:c r="Q19" s="5" t="s">
        <x:v>262</x:v>
      </x:c>
      <x:c r="R19" s="5" t="s">
        <x:v>245</x:v>
      </x:c>
      <x:c r="S19" s="5" t="s">
        <x:v>246</x:v>
      </x:c>
      <x:c r="T19" s="5" t="s">
        <x:v>94</x:v>
      </x:c>
      <x:c r="U19" s="23" t="str">
        <x:v>确认通过</x:v>
      </x:c>
    </x:row>
    <x:row r="20" ht="23">
      <x:c r="A20" s="4" t="s">
        <x:v>692</x:v>
      </x:c>
      <x:c r="B20" s="5" t="s">
        <x:v>693</x:v>
      </x:c>
      <x:c r="C20" s="5">
        <x:v>1</x:v>
      </x:c>
      <x:c r="D20" s="5" t="s">
        <x:v>280</x:v>
      </x:c>
      <x:c r="E20" s="5" t="s">
        <x:v>282</x:v>
      </x:c>
      <x:c r="F20" s="5" t="s">
        <x:v>660</x:v>
      </x:c>
      <x:c r="G20" s="5" t="s">
        <x:v>85</x:v>
      </x:c>
      <x:c r="H20" s="5" t="s">
        <x:v>661</x:v>
      </x:c>
      <x:c r="I20" s="5" t="s">
        <x:v>105</x:v>
      </x:c>
      <x:c r="J20" s="5" t="s">
        <x:v>662</x:v>
      </x:c>
      <x:c r="K20" s="5" t="s">
        <x:v>508</x:v>
      </x:c>
      <x:c r="L20" s="5" t="s">
        <x:v>284</x:v>
      </x:c>
      <x:c r="M20" s="5" t="s">
        <x:v>284</x:v>
      </x:c>
      <x:c r="N20" s="5"/>
      <x:c r="O20" s="5" t="s">
        <x:v>663</x:v>
      </x:c>
      <x:c r="P20" s="5"/>
      <x:c r="Q20" s="5" t="s">
        <x:v>286</x:v>
      </x:c>
      <x:c r="R20" s="5" t="s">
        <x:v>245</x:v>
      </x:c>
      <x:c r="S20" s="5" t="s">
        <x:v>246</x:v>
      </x:c>
      <x:c r="T20" s="5" t="s">
        <x:v>94</x:v>
      </x:c>
      <x:c r="U20" s="23" t="str">
        <x:v>确认通过</x:v>
      </x:c>
    </x:row>
    <x:row r="21">
      <x:c r="A21" s="4" t="s">
        <x:v>694</x:v>
      </x:c>
      <x:c r="B21" s="5" t="s">
        <x:v>695</x:v>
      </x:c>
      <x:c r="C21" s="5">
        <x:v>1</x:v>
      </x:c>
      <x:c r="D21" s="5" t="s">
        <x:v>287</x:v>
      </x:c>
      <x:c r="E21" s="5" t="s">
        <x:v>289</x:v>
      </x:c>
      <x:c r="F21" s="5" t="s">
        <x:v>660</x:v>
      </x:c>
      <x:c r="G21" s="5" t="s">
        <x:v>85</x:v>
      </x:c>
      <x:c r="H21" s="5" t="s">
        <x:v>661</x:v>
      </x:c>
      <x:c r="I21" s="5" t="s">
        <x:v>105</x:v>
      </x:c>
      <x:c r="J21" s="5" t="s">
        <x:v>662</x:v>
      </x:c>
      <x:c r="K21" s="5" t="s">
        <x:v>508</x:v>
      </x:c>
      <x:c r="L21" s="5" t="s">
        <x:v>284</x:v>
      </x:c>
      <x:c r="M21" s="5" t="s">
        <x:v>284</x:v>
      </x:c>
      <x:c r="N21" s="5"/>
      <x:c r="O21" s="5" t="s">
        <x:v>663</x:v>
      </x:c>
      <x:c r="P21" s="5"/>
      <x:c r="Q21" s="5" t="s">
        <x:v>286</x:v>
      </x:c>
      <x:c r="R21" s="5" t="s">
        <x:v>245</x:v>
      </x:c>
      <x:c r="S21" s="5" t="s">
        <x:v>246</x:v>
      </x:c>
      <x:c r="T21" s="5" t="s">
        <x:v>94</x:v>
      </x:c>
      <x:c r="U21" s="23" t="str">
        <x:v>确认通过</x:v>
      </x:c>
    </x:row>
    <x:row r="22">
      <x:c r="A22" s="4" t="s">
        <x:v>696</x:v>
      </x:c>
      <x:c r="B22" s="5" t="s">
        <x:v>697</x:v>
      </x:c>
      <x:c r="C22" s="5">
        <x:v>1</x:v>
      </x:c>
      <x:c r="D22" s="5" t="s">
        <x:v>291</x:v>
      </x:c>
      <x:c r="E22" s="5" t="s">
        <x:v>293</x:v>
      </x:c>
      <x:c r="F22" s="5" t="s">
        <x:v>660</x:v>
      </x:c>
      <x:c r="G22" s="5" t="s">
        <x:v>85</x:v>
      </x:c>
      <x:c r="H22" s="5" t="s">
        <x:v>661</x:v>
      </x:c>
      <x:c r="I22" s="5" t="s">
        <x:v>105</x:v>
      </x:c>
      <x:c r="J22" s="5" t="s">
        <x:v>662</x:v>
      </x:c>
      <x:c r="K22" s="5" t="s">
        <x:v>508</x:v>
      </x:c>
      <x:c r="L22" s="5" t="s">
        <x:v>284</x:v>
      </x:c>
      <x:c r="M22" s="5" t="s">
        <x:v>284</x:v>
      </x:c>
      <x:c r="N22" s="5"/>
      <x:c r="O22" s="5" t="s">
        <x:v>663</x:v>
      </x:c>
      <x:c r="P22" s="5"/>
      <x:c r="Q22" s="5" t="s">
        <x:v>296</x:v>
      </x:c>
      <x:c r="R22" s="5" t="s">
        <x:v>245</x:v>
      </x:c>
      <x:c r="S22" s="5" t="s">
        <x:v>246</x:v>
      </x:c>
      <x:c r="T22" s="5" t="s">
        <x:v>135</x:v>
      </x:c>
      <x:c r="U22" s="23" t="str">
        <x:v>确认通过</x:v>
      </x:c>
    </x:row>
    <x:row r="23">
      <x:c r="A23" s="4" t="s">
        <x:v>698</x:v>
      </x:c>
      <x:c r="B23" s="5" t="s">
        <x:v>699</x:v>
      </x:c>
      <x:c r="C23" s="5">
        <x:v>1</x:v>
      </x:c>
      <x:c r="D23" s="5" t="s">
        <x:v>299</x:v>
      </x:c>
      <x:c r="E23" s="5" t="s">
        <x:v>301</x:v>
      </x:c>
      <x:c r="F23" s="5" t="s">
        <x:v>660</x:v>
      </x:c>
      <x:c r="G23" s="5" t="s">
        <x:v>85</x:v>
      </x:c>
      <x:c r="H23" s="5" t="s">
        <x:v>661</x:v>
      </x:c>
      <x:c r="I23" s="5" t="s">
        <x:v>105</x:v>
      </x:c>
      <x:c r="J23" s="5" t="s">
        <x:v>662</x:v>
      </x:c>
      <x:c r="K23" s="5" t="s">
        <x:v>508</x:v>
      </x:c>
      <x:c r="L23" s="5" t="s">
        <x:v>304</x:v>
      </x:c>
      <x:c r="M23" s="5" t="s">
        <x:v>304</x:v>
      </x:c>
      <x:c r="N23" s="5"/>
      <x:c r="O23" s="5" t="s">
        <x:v>663</x:v>
      </x:c>
      <x:c r="P23" s="5"/>
      <x:c r="Q23" s="5" t="s">
        <x:v>306</x:v>
      </x:c>
      <x:c r="R23" s="5" t="s">
        <x:v>307</x:v>
      </x:c>
      <x:c r="S23" s="5" t="s">
        <x:v>308</x:v>
      </x:c>
      <x:c r="T23" s="5" t="s">
        <x:v>135</x:v>
      </x:c>
      <x:c r="U23" s="23" t="str">
        <x:v>确认通过</x:v>
      </x:c>
    </x:row>
    <x:row r="24">
      <x:c r="A24" s="4" t="s">
        <x:v>700</x:v>
      </x:c>
      <x:c r="B24" s="5" t="s">
        <x:v>701</x:v>
      </x:c>
      <x:c r="C24" s="5">
        <x:v>1</x:v>
      </x:c>
      <x:c r="D24" s="5" t="s">
        <x:v>309</x:v>
      </x:c>
      <x:c r="E24" s="5" t="s">
        <x:v>311</x:v>
      </x:c>
      <x:c r="F24" s="5" t="s">
        <x:v>660</x:v>
      </x:c>
      <x:c r="G24" s="5" t="s">
        <x:v>85</x:v>
      </x:c>
      <x:c r="H24" s="5" t="s">
        <x:v>661</x:v>
      </x:c>
      <x:c r="I24" s="5" t="s">
        <x:v>105</x:v>
      </x:c>
      <x:c r="J24" s="5" t="s">
        <x:v>662</x:v>
      </x:c>
      <x:c r="K24" s="5" t="s">
        <x:v>508</x:v>
      </x:c>
      <x:c r="L24" s="5" t="s">
        <x:v>314</x:v>
      </x:c>
      <x:c r="M24" s="5" t="s">
        <x:v>314</x:v>
      </x:c>
      <x:c r="N24" s="5"/>
      <x:c r="O24" s="5" t="s">
        <x:v>663</x:v>
      </x:c>
      <x:c r="P24" s="5"/>
      <x:c r="Q24" s="5" t="s">
        <x:v>316</x:v>
      </x:c>
      <x:c r="R24" s="5" t="s">
        <x:v>620</x:v>
      </x:c>
      <x:c r="S24" s="5" t="s">
        <x:v>621</x:v>
      </x:c>
      <x:c r="T24" s="5" t="s">
        <x:v>135</x:v>
      </x:c>
      <x:c r="U24" s="23" t="str">
        <x:v>确认通过</x:v>
      </x:c>
    </x:row>
    <x:row r="25">
      <x:c r="A25" s="4" t="s">
        <x:v>702</x:v>
      </x:c>
      <x:c r="B25" s="5" t="s">
        <x:v>703</x:v>
      </x:c>
      <x:c r="C25" s="5">
        <x:v>1</x:v>
      </x:c>
      <x:c r="D25" s="5" t="s">
        <x:v>319</x:v>
      </x:c>
      <x:c r="E25" s="5" t="s">
        <x:v>321</x:v>
      </x:c>
      <x:c r="F25" s="5" t="s">
        <x:v>660</x:v>
      </x:c>
      <x:c r="G25" s="5" t="s">
        <x:v>85</x:v>
      </x:c>
      <x:c r="H25" s="5" t="s">
        <x:v>661</x:v>
      </x:c>
      <x:c r="I25" s="5" t="s">
        <x:v>105</x:v>
      </x:c>
      <x:c r="J25" s="5" t="s">
        <x:v>662</x:v>
      </x:c>
      <x:c r="K25" s="5" t="s">
        <x:v>508</x:v>
      </x:c>
      <x:c r="L25" s="5" t="s">
        <x:v>314</x:v>
      </x:c>
      <x:c r="M25" s="5" t="s">
        <x:v>314</x:v>
      </x:c>
      <x:c r="N25" s="5"/>
      <x:c r="O25" s="5" t="s">
        <x:v>663</x:v>
      </x:c>
      <x:c r="P25" s="5"/>
      <x:c r="Q25" s="5" t="s">
        <x:v>325</x:v>
      </x:c>
      <x:c r="R25" s="5" t="s">
        <x:v>620</x:v>
      </x:c>
      <x:c r="S25" s="5" t="s">
        <x:v>621</x:v>
      </x:c>
      <x:c r="T25" s="5" t="s">
        <x:v>94</x:v>
      </x:c>
      <x:c r="U25" s="23" t="str">
        <x:v>确认通过</x:v>
      </x:c>
    </x:row>
    <x:row r="26">
      <x:c r="A26" s="4" t="s">
        <x:v>704</x:v>
      </x:c>
      <x:c r="B26" s="5" t="s">
        <x:v>705</x:v>
      </x:c>
      <x:c r="C26" s="5">
        <x:v>1</x:v>
      </x:c>
      <x:c r="D26" s="5" t="s">
        <x:v>334</x:v>
      </x:c>
      <x:c r="E26" s="5" t="s">
        <x:v>336</x:v>
      </x:c>
      <x:c r="F26" s="5" t="s">
        <x:v>660</x:v>
      </x:c>
      <x:c r="G26" s="5" t="s">
        <x:v>85</x:v>
      </x:c>
      <x:c r="H26" s="5" t="s">
        <x:v>661</x:v>
      </x:c>
      <x:c r="I26" s="5" t="s">
        <x:v>105</x:v>
      </x:c>
      <x:c r="J26" s="5" t="s">
        <x:v>662</x:v>
      </x:c>
      <x:c r="K26" s="5" t="s">
        <x:v>508</x:v>
      </x:c>
      <x:c r="L26" s="5" t="s">
        <x:v>332</x:v>
      </x:c>
      <x:c r="M26" s="5" t="s">
        <x:v>332</x:v>
      </x:c>
      <x:c r="N26" s="5"/>
      <x:c r="O26" s="5" t="s">
        <x:v>663</x:v>
      </x:c>
      <x:c r="P26" s="5"/>
      <x:c r="Q26" s="5" t="s">
        <x:v>340</x:v>
      </x:c>
      <x:c r="R26" s="5" t="s">
        <x:v>342</x:v>
      </x:c>
      <x:c r="S26" s="5" t="s">
        <x:v>343</x:v>
      </x:c>
      <x:c r="T26" s="5" t="s">
        <x:v>341</x:v>
      </x:c>
      <x:c r="U26" s="23" t="str">
        <x:v>确认通过</x:v>
      </x:c>
    </x:row>
    <x:row r="27">
      <x:c r="A27" s="4" t="s">
        <x:v>706</x:v>
      </x:c>
      <x:c r="B27" s="5" t="s">
        <x:v>707</x:v>
      </x:c>
      <x:c r="C27" s="5">
        <x:v>1</x:v>
      </x:c>
      <x:c r="D27" s="5" t="s">
        <x:v>356</x:v>
      </x:c>
      <x:c r="E27" s="5" t="s">
        <x:v>358</x:v>
      </x:c>
      <x:c r="F27" s="5" t="s">
        <x:v>660</x:v>
      </x:c>
      <x:c r="G27" s="5" t="s">
        <x:v>85</x:v>
      </x:c>
      <x:c r="H27" s="5" t="s">
        <x:v>661</x:v>
      </x:c>
      <x:c r="I27" s="5" t="s">
        <x:v>105</x:v>
      </x:c>
      <x:c r="J27" s="5" t="s">
        <x:v>662</x:v>
      </x:c>
      <x:c r="K27" s="5" t="s">
        <x:v>508</x:v>
      </x:c>
      <x:c r="L27" s="5" t="s">
        <x:v>332</x:v>
      </x:c>
      <x:c r="M27" s="5" t="s">
        <x:v>332</x:v>
      </x:c>
      <x:c r="N27" s="5"/>
      <x:c r="O27" s="5" t="s">
        <x:v>663</x:v>
      </x:c>
      <x:c r="P27" s="5"/>
      <x:c r="Q27" s="5" t="s">
        <x:v>340</x:v>
      </x:c>
      <x:c r="R27" s="5" t="s">
        <x:v>342</x:v>
      </x:c>
      <x:c r="S27" s="5" t="s">
        <x:v>343</x:v>
      </x:c>
      <x:c r="T27" s="5" t="s">
        <x:v>341</x:v>
      </x:c>
      <x:c r="U27" s="23" t="str">
        <x:v>确认通过</x:v>
      </x:c>
    </x:row>
    <x:row r="28" ht="23">
      <x:c r="A28" s="4" t="s">
        <x:v>708</x:v>
      </x:c>
      <x:c r="B28" s="5" t="s">
        <x:v>709</x:v>
      </x:c>
      <x:c r="C28" s="5">
        <x:v>1</x:v>
      </x:c>
      <x:c r="D28" s="5" t="s">
        <x:v>205</x:v>
      </x:c>
      <x:c r="E28" s="5" t="s">
        <x:v>207</x:v>
      </x:c>
      <x:c r="F28" s="5" t="s">
        <x:v>509</x:v>
      </x:c>
      <x:c r="G28" s="5" t="s">
        <x:v>176</x:v>
      </x:c>
      <x:c r="H28" s="5" t="s">
        <x:v>178</x:v>
      </x:c>
      <x:c r="I28" s="5" t="s">
        <x:v>105</x:v>
      </x:c>
      <x:c r="J28" s="5" t="s">
        <x:v>710</x:v>
      </x:c>
      <x:c r="K28" s="5" t="s">
        <x:v>508</x:v>
      </x:c>
      <x:c r="L28" s="5" t="s">
        <x:v>181</x:v>
      </x:c>
      <x:c r="M28" s="5" t="s">
        <x:v>181</x:v>
      </x:c>
      <x:c r="N28" s="5" t="s">
        <x:v>181</x:v>
      </x:c>
      <x:c r="O28" s="5" t="s">
        <x:v>90</x:v>
      </x:c>
      <x:c r="P28" s="5"/>
      <x:c r="Q28" s="5" t="s">
        <x:v>566</x:v>
      </x:c>
      <x:c r="R28" s="5" t="s">
        <x:v>565</x:v>
      </x:c>
      <x:c r="S28" s="5" t="s">
        <x:v>184</x:v>
      </x:c>
      <x:c r="T28" s="5" t="s">
        <x:v>94</x:v>
      </x:c>
      <x:c r="U28" s="23" t="str">
        <x:v>确认通过</x:v>
      </x:c>
    </x:row>
    <x:row r="29" ht="23">
      <x:c r="A29" s="4" t="s">
        <x:v>711</x:v>
      </x:c>
      <x:c r="B29" s="5" t="s">
        <x:v>712</x:v>
      </x:c>
      <x:c r="C29" s="5">
        <x:v>1</x:v>
      </x:c>
      <x:c r="D29" s="5" t="s">
        <x:v>176</x:v>
      </x:c>
      <x:c r="E29" s="5" t="s">
        <x:v>178</x:v>
      </x:c>
      <x:c r="F29" s="5" t="s">
        <x:v>509</x:v>
      </x:c>
      <x:c r="G29" s="5" t="s">
        <x:v>205</x:v>
      </x:c>
      <x:c r="H29" s="5" t="s">
        <x:v>207</x:v>
      </x:c>
      <x:c r="I29" s="5" t="s">
        <x:v>105</x:v>
      </x:c>
      <x:c r="J29" s="5" t="s">
        <x:v>710</x:v>
      </x:c>
      <x:c r="K29" s="5" t="s">
        <x:v>508</x:v>
      </x:c>
      <x:c r="L29" s="5" t="s">
        <x:v>181</x:v>
      </x:c>
      <x:c r="M29" s="5" t="s">
        <x:v>181</x:v>
      </x:c>
      <x:c r="N29" s="5" t="s">
        <x:v>181</x:v>
      </x:c>
      <x:c r="O29" s="5" t="s">
        <x:v>90</x:v>
      </x:c>
      <x:c r="P29" s="5"/>
      <x:c r="Q29" s="5" t="s">
        <x:v>571</x:v>
      </x:c>
      <x:c r="R29" s="5" t="s">
        <x:v>565</x:v>
      </x:c>
      <x:c r="S29" s="5" t="s">
        <x:v>184</x:v>
      </x:c>
      <x:c r="T29" s="5" t="s">
        <x:v>94</x:v>
      </x:c>
      <x:c r="U29" s="23" t="str">
        <x:v>确认通过</x:v>
      </x:c>
    </x:row>
    <x:row r="30" ht="23">
      <x:c r="A30" s="4" t="s">
        <x:v>713</x:v>
      </x:c>
      <x:c r="B30" s="5" t="s">
        <x:v>714</x:v>
      </x:c>
      <x:c r="C30" s="5">
        <x:v>1</x:v>
      </x:c>
      <x:c r="D30" s="5" t="s">
        <x:v>121</x:v>
      </x:c>
      <x:c r="E30" s="5" t="s">
        <x:v>123</x:v>
      </x:c>
      <x:c r="F30" s="5" t="s">
        <x:v>509</x:v>
      </x:c>
      <x:c r="G30" s="5" t="s">
        <x:v>280</x:v>
      </x:c>
      <x:c r="H30" s="5" t="s">
        <x:v>282</x:v>
      </x:c>
      <x:c r="I30" s="5" t="s">
        <x:v>105</x:v>
      </x:c>
      <x:c r="J30" s="5" t="s">
        <x:v>710</x:v>
      </x:c>
      <x:c r="K30" s="5" t="s">
        <x:v>508</x:v>
      </x:c>
      <x:c r="L30" s="5" t="s">
        <x:v>284</x:v>
      </x:c>
      <x:c r="M30" s="5" t="s">
        <x:v>284</x:v>
      </x:c>
      <x:c r="N30" s="5" t="s">
        <x:v>284</x:v>
      </x:c>
      <x:c r="O30" s="5" t="s">
        <x:v>90</x:v>
      </x:c>
      <x:c r="P30" s="5"/>
      <x:c r="Q30" s="5" t="s">
        <x:v>600</x:v>
      </x:c>
      <x:c r="R30" s="5" t="s">
        <x:v>245</x:v>
      </x:c>
      <x:c r="S30" s="5" t="s">
        <x:v>246</x:v>
      </x:c>
      <x:c r="T30" s="5" t="s">
        <x:v>94</x:v>
      </x:c>
      <x:c r="U30" s="23" t="str">
        <x:v>确认通过</x:v>
      </x:c>
    </x:row>
    <x:row r="31" ht="23">
      <x:c r="A31" s="4" t="s">
        <x:v>715</x:v>
      </x:c>
      <x:c r="B31" s="5" t="s">
        <x:v>716</x:v>
      </x:c>
      <x:c r="C31" s="5">
        <x:v>1</x:v>
      </x:c>
      <x:c r="D31" s="5" t="s">
        <x:v>121</x:v>
      </x:c>
      <x:c r="E31" s="5" t="s">
        <x:v>123</x:v>
      </x:c>
      <x:c r="F31" s="5" t="s">
        <x:v>509</x:v>
      </x:c>
      <x:c r="G31" s="5" t="s">
        <x:v>287</x:v>
      </x:c>
      <x:c r="H31" s="5" t="s">
        <x:v>289</x:v>
      </x:c>
      <x:c r="I31" s="5" t="s">
        <x:v>105</x:v>
      </x:c>
      <x:c r="J31" s="5" t="s">
        <x:v>710</x:v>
      </x:c>
      <x:c r="K31" s="5" t="s">
        <x:v>508</x:v>
      </x:c>
      <x:c r="L31" s="5" t="s">
        <x:v>284</x:v>
      </x:c>
      <x:c r="M31" s="5" t="s">
        <x:v>284</x:v>
      </x:c>
      <x:c r="N31" s="5" t="s">
        <x:v>284</x:v>
      </x:c>
      <x:c r="O31" s="5" t="s">
        <x:v>90</x:v>
      </x:c>
      <x:c r="P31" s="5"/>
      <x:c r="Q31" s="5" t="s">
        <x:v>600</x:v>
      </x:c>
      <x:c r="R31" s="5" t="s">
        <x:v>245</x:v>
      </x:c>
      <x:c r="S31" s="5" t="s">
        <x:v>246</x:v>
      </x:c>
      <x:c r="T31" s="5" t="s">
        <x:v>94</x:v>
      </x:c>
      <x:c r="U31" s="23" t="str">
        <x:v>确认通过</x:v>
      </x:c>
    </x:row>
    <x:row r="32" ht="23">
      <x:c r="A32" s="4" t="s">
        <x:v>717</x:v>
      </x:c>
      <x:c r="B32" s="5" t="s">
        <x:v>718</x:v>
      </x:c>
      <x:c r="C32" s="5">
        <x:v>1</x:v>
      </x:c>
      <x:c r="D32" s="5" t="s">
        <x:v>113</x:v>
      </x:c>
      <x:c r="E32" s="5" t="s">
        <x:v>115</x:v>
      </x:c>
      <x:c r="F32" s="5" t="s">
        <x:v>509</x:v>
      </x:c>
      <x:c r="G32" s="5" t="s">
        <x:v>287</x:v>
      </x:c>
      <x:c r="H32" s="5" t="s">
        <x:v>289</x:v>
      </x:c>
      <x:c r="I32" s="5" t="s">
        <x:v>105</x:v>
      </x:c>
      <x:c r="J32" s="5" t="s">
        <x:v>710</x:v>
      </x:c>
      <x:c r="K32" s="5" t="s">
        <x:v>508</x:v>
      </x:c>
      <x:c r="L32" s="5" t="s">
        <x:v>284</x:v>
      </x:c>
      <x:c r="M32" s="5" t="s">
        <x:v>284</x:v>
      </x:c>
      <x:c r="N32" s="5" t="s">
        <x:v>284</x:v>
      </x:c>
      <x:c r="O32" s="5" t="s">
        <x:v>90</x:v>
      </x:c>
      <x:c r="P32" s="5"/>
      <x:c r="Q32" s="5" t="s">
        <x:v>600</x:v>
      </x:c>
      <x:c r="R32" s="5" t="s">
        <x:v>245</x:v>
      </x:c>
      <x:c r="S32" s="5" t="s">
        <x:v>246</x:v>
      </x:c>
      <x:c r="T32" s="5" t="s">
        <x:v>94</x:v>
      </x:c>
      <x:c r="U32" s="23" t="str">
        <x:v>确认通过</x:v>
      </x:c>
    </x:row>
    <x:row r="33">
      <x:c r="A33" s="4" t="s">
        <x:v>719</x:v>
      </x:c>
      <x:c r="B33" s="5" t="s">
        <x:v>720</x:v>
      </x:c>
      <x:c r="C33" s="5">
        <x:v>1</x:v>
      </x:c>
      <x:c r="D33" s="5" t="s">
        <x:v>113</x:v>
      </x:c>
      <x:c r="E33" s="5" t="s">
        <x:v>115</x:v>
      </x:c>
      <x:c r="F33" s="5" t="s">
        <x:v>509</x:v>
      </x:c>
      <x:c r="G33" s="5" t="s">
        <x:v>291</x:v>
      </x:c>
      <x:c r="H33" s="5" t="s">
        <x:v>293</x:v>
      </x:c>
      <x:c r="I33" s="5" t="s">
        <x:v>105</x:v>
      </x:c>
      <x:c r="J33" s="5" t="s">
        <x:v>710</x:v>
      </x:c>
      <x:c r="K33" s="5" t="s">
        <x:v>508</x:v>
      </x:c>
      <x:c r="L33" s="5" t="s">
        <x:v>284</x:v>
      </x:c>
      <x:c r="M33" s="5" t="s">
        <x:v>284</x:v>
      </x:c>
      <x:c r="N33" s="5" t="s">
        <x:v>284</x:v>
      </x:c>
      <x:c r="O33" s="5" t="s">
        <x:v>90</x:v>
      </x:c>
      <x:c r="P33" s="5"/>
      <x:c r="Q33" s="5" t="s">
        <x:v>600</x:v>
      </x:c>
      <x:c r="R33" s="5" t="s">
        <x:v>245</x:v>
      </x:c>
      <x:c r="S33" s="5" t="s">
        <x:v>246</x:v>
      </x:c>
      <x:c r="T33" s="5" t="s">
        <x:v>94</x:v>
      </x:c>
      <x:c r="U33" s="23" t="str">
        <x:v>确认通过</x:v>
      </x:c>
    </x:row>
    <x:row r="34">
      <x:c r="A34" s="4" t="s">
        <x:v>721</x:v>
      </x:c>
      <x:c r="B34" s="5" t="s">
        <x:v>722</x:v>
      </x:c>
      <x:c r="C34" s="5">
        <x:v>1</x:v>
      </x:c>
      <x:c r="D34" s="5" t="s">
        <x:v>121</x:v>
      </x:c>
      <x:c r="E34" s="5" t="s">
        <x:v>123</x:v>
      </x:c>
      <x:c r="F34" s="5" t="s">
        <x:v>509</x:v>
      </x:c>
      <x:c r="G34" s="5" t="s">
        <x:v>291</x:v>
      </x:c>
      <x:c r="H34" s="5" t="s">
        <x:v>293</x:v>
      </x:c>
      <x:c r="I34" s="5" t="s">
        <x:v>105</x:v>
      </x:c>
      <x:c r="J34" s="5" t="s">
        <x:v>710</x:v>
      </x:c>
      <x:c r="K34" s="5" t="s">
        <x:v>508</x:v>
      </x:c>
      <x:c r="L34" s="5" t="s">
        <x:v>332</x:v>
      </x:c>
      <x:c r="M34" s="5" t="s">
        <x:v>332</x:v>
      </x:c>
      <x:c r="N34" s="5" t="s">
        <x:v>332</x:v>
      </x:c>
      <x:c r="O34" s="5" t="s">
        <x:v>90</x:v>
      </x:c>
      <x:c r="P34" s="5"/>
      <x:c r="Q34" s="5" t="s">
        <x:v>630</x:v>
      </x:c>
      <x:c r="R34" s="5" t="s">
        <x:v>342</x:v>
      </x:c>
      <x:c r="S34" s="5" t="s">
        <x:v>343</x:v>
      </x:c>
      <x:c r="T34" s="5" t="s">
        <x:v>94</x:v>
      </x:c>
      <x:c r="U34" s="23" t="str">
        <x:v>确认通过</x:v>
      </x:c>
    </x:row>
    <x:row r="35">
      <x:c r="A35" s="4" t="s">
        <x:v>723</x:v>
      </x:c>
      <x:c r="B35" s="5" t="s">
        <x:v>724</x:v>
      </x:c>
      <x:c r="C35" s="5">
        <x:v>1</x:v>
      </x:c>
      <x:c r="D35" s="5" t="s">
        <x:v>113</x:v>
      </x:c>
      <x:c r="E35" s="5" t="s">
        <x:v>115</x:v>
      </x:c>
      <x:c r="F35" s="5" t="s">
        <x:v>509</x:v>
      </x:c>
      <x:c r="G35" s="5" t="s">
        <x:v>334</x:v>
      </x:c>
      <x:c r="H35" s="5" t="s">
        <x:v>336</x:v>
      </x:c>
      <x:c r="I35" s="5" t="s">
        <x:v>105</x:v>
      </x:c>
      <x:c r="J35" s="5" t="s">
        <x:v>710</x:v>
      </x:c>
      <x:c r="K35" s="5" t="s">
        <x:v>508</x:v>
      </x:c>
      <x:c r="L35" s="5" t="s">
        <x:v>332</x:v>
      </x:c>
      <x:c r="M35" s="5" t="s">
        <x:v>332</x:v>
      </x:c>
      <x:c r="N35" s="5" t="s">
        <x:v>332</x:v>
      </x:c>
      <x:c r="O35" s="5" t="s">
        <x:v>90</x:v>
      </x:c>
      <x:c r="P35" s="5"/>
      <x:c r="Q35" s="5" t="s">
        <x:v>630</x:v>
      </x:c>
      <x:c r="R35" s="5" t="s">
        <x:v>342</x:v>
      </x:c>
      <x:c r="S35" s="5" t="s">
        <x:v>343</x:v>
      </x:c>
      <x:c r="T35" s="5" t="s">
        <x:v>94</x:v>
      </x:c>
      <x:c r="U35" s="23" t="str">
        <x:v>确认通过</x:v>
      </x:c>
    </x:row>
    <x:row r="36">
      <x:c r="A36" s="4" t="s">
        <x:v>725</x:v>
      </x:c>
      <x:c r="B36" s="5" t="s">
        <x:v>726</x:v>
      </x:c>
      <x:c r="C36" s="5">
        <x:v>1</x:v>
      </x:c>
      <x:c r="D36" s="5" t="s">
        <x:v>113</x:v>
      </x:c>
      <x:c r="E36" s="5" t="s">
        <x:v>115</x:v>
      </x:c>
      <x:c r="F36" s="5" t="s">
        <x:v>509</x:v>
      </x:c>
      <x:c r="G36" s="5" t="s">
        <x:v>356</x:v>
      </x:c>
      <x:c r="H36" s="5" t="s">
        <x:v>358</x:v>
      </x:c>
      <x:c r="I36" s="5" t="s">
        <x:v>105</x:v>
      </x:c>
      <x:c r="J36" s="5" t="s">
        <x:v>710</x:v>
      </x:c>
      <x:c r="K36" s="5" t="s">
        <x:v>508</x:v>
      </x:c>
      <x:c r="L36" s="5" t="s">
        <x:v>332</x:v>
      </x:c>
      <x:c r="M36" s="5" t="s">
        <x:v>332</x:v>
      </x:c>
      <x:c r="N36" s="5" t="s">
        <x:v>332</x:v>
      </x:c>
      <x:c r="O36" s="5" t="s">
        <x:v>90</x:v>
      </x:c>
      <x:c r="P36" s="5"/>
      <x:c r="Q36" s="5" t="s">
        <x:v>630</x:v>
      </x:c>
      <x:c r="R36" s="5" t="s">
        <x:v>342</x:v>
      </x:c>
      <x:c r="S36" s="5" t="s">
        <x:v>343</x:v>
      </x:c>
      <x:c r="T36" s="5" t="s">
        <x:v>94</x:v>
      </x:c>
      <x:c r="U36" s="23" t="str">
        <x:v>确认通过</x:v>
      </x:c>
    </x:row>
    <x:row r="37">
      <x:c r="A37" s="4" t="s">
        <x:v>727</x:v>
      </x:c>
      <x:c r="B37" s="5" t="s">
        <x:v>728</x:v>
      </x:c>
      <x:c r="C37" s="5">
        <x:v>1</x:v>
      </x:c>
      <x:c r="D37" s="5" t="s">
        <x:v>263</x:v>
      </x:c>
      <x:c r="E37" s="5" t="s">
        <x:v>265</x:v>
      </x:c>
      <x:c r="F37" s="5" t="s">
        <x:v>509</x:v>
      </x:c>
      <x:c r="G37" s="5" t="s">
        <x:v>356</x:v>
      </x:c>
      <x:c r="H37" s="5" t="s">
        <x:v>358</x:v>
      </x:c>
      <x:c r="I37" s="5" t="s">
        <x:v>105</x:v>
      </x:c>
      <x:c r="J37" s="5" t="s">
        <x:v>710</x:v>
      </x:c>
      <x:c r="K37" s="5" t="s">
        <x:v>508</x:v>
      </x:c>
      <x:c r="L37" s="5" t="s">
        <x:v>332</x:v>
      </x:c>
      <x:c r="M37" s="5" t="s">
        <x:v>332</x:v>
      </x:c>
      <x:c r="N37" s="5" t="s">
        <x:v>332</x:v>
      </x:c>
      <x:c r="O37" s="5" t="s">
        <x:v>90</x:v>
      </x:c>
      <x:c r="P37" s="5"/>
      <x:c r="Q37" s="5" t="s">
        <x:v>630</x:v>
      </x:c>
      <x:c r="R37" s="5" t="s">
        <x:v>342</x:v>
      </x:c>
      <x:c r="S37" s="5" t="s">
        <x:v>343</x:v>
      </x:c>
      <x:c r="T37" s="5" t="s">
        <x:v>94</x:v>
      </x:c>
      <x:c r="U37" s="23" t="str">
        <x:v>确认通过</x:v>
      </x:c>
    </x:row>
    <x:row r="38">
      <x:c r="A38" s="4" t="s">
        <x:v>729</x:v>
      </x:c>
      <x:c r="B38" s="5" t="s">
        <x:v>730</x:v>
      </x:c>
      <x:c r="C38" s="5">
        <x:v>1</x:v>
      </x:c>
      <x:c r="D38" s="5" t="s">
        <x:v>270</x:v>
      </x:c>
      <x:c r="E38" s="5" t="s">
        <x:v>272</x:v>
      </x:c>
      <x:c r="F38" s="5" t="s">
        <x:v>509</x:v>
      </x:c>
      <x:c r="G38" s="5" t="s">
        <x:v>356</x:v>
      </x:c>
      <x:c r="H38" s="5" t="s">
        <x:v>358</x:v>
      </x:c>
      <x:c r="I38" s="5" t="s">
        <x:v>105</x:v>
      </x:c>
      <x:c r="J38" s="5" t="s">
        <x:v>710</x:v>
      </x:c>
      <x:c r="K38" s="5" t="s">
        <x:v>508</x:v>
      </x:c>
      <x:c r="L38" s="5" t="s">
        <x:v>332</x:v>
      </x:c>
      <x:c r="M38" s="5" t="s">
        <x:v>332</x:v>
      </x:c>
      <x:c r="N38" s="5" t="s">
        <x:v>332</x:v>
      </x:c>
      <x:c r="O38" s="5" t="s">
        <x:v>90</x:v>
      </x:c>
      <x:c r="P38" s="5"/>
      <x:c r="Q38" s="5" t="s">
        <x:v>630</x:v>
      </x:c>
      <x:c r="R38" s="5" t="s">
        <x:v>342</x:v>
      </x:c>
      <x:c r="S38" s="5" t="s">
        <x:v>343</x:v>
      </x:c>
      <x:c r="T38" s="5" t="s">
        <x:v>94</x:v>
      </x:c>
      <x:c r="U38" s="23" t="str">
        <x:v>确认通过</x:v>
      </x:c>
    </x:row>
    <x:row r="39">
      <x:c r="A39" s="4" t="s">
        <x:v>731</x:v>
      </x:c>
      <x:c r="B39" s="5" t="s">
        <x:v>732</x:v>
      </x:c>
      <x:c r="C39" s="5">
        <x:v>1</x:v>
      </x:c>
      <x:c r="D39" s="5" t="s">
        <x:v>138</x:v>
      </x:c>
      <x:c r="E39" s="5" t="s">
        <x:v>140</x:v>
      </x:c>
      <x:c r="F39" s="5" t="s">
        <x:v>733</x:v>
      </x:c>
      <x:c r="G39" s="5" t="s">
        <x:v>85</x:v>
      </x:c>
      <x:c r="H39" s="5" t="s">
        <x:v>661</x:v>
      </x:c>
      <x:c r="I39" s="5" t="s">
        <x:v>105</x:v>
      </x:c>
      <x:c r="J39" s="5" t="s">
        <x:v>734</x:v>
      </x:c>
      <x:c r="K39" s="5" t="s">
        <x:v>508</x:v>
      </x:c>
      <x:c r="L39" s="5" t="s">
        <x:v>143</x:v>
      </x:c>
      <x:c r="M39" s="5" t="s">
        <x:v>143</x:v>
      </x:c>
      <x:c r="N39" s="5"/>
      <x:c r="O39" s="5" t="s">
        <x:v>90</x:v>
      </x:c>
      <x:c r="P39" s="5"/>
      <x:c r="Q39" s="5" t="s">
        <x:v>522</x:v>
      </x:c>
      <x:c r="R39" s="5" t="s">
        <x:v>175</x:v>
      </x:c>
      <x:c r="S39" s="5" t="s">
        <x:v>513</x:v>
      </x:c>
      <x:c r="T39" s="5" t="s">
        <x:v>94</x:v>
      </x:c>
      <x:c r="U39" s="23" t="str">
        <x:v>确认通过</x:v>
      </x:c>
    </x:row>
    <x:row r="40">
      <x:c r="A40" s="4" t="s">
        <x:v>735</x:v>
      </x:c>
      <x:c r="B40" s="5" t="s">
        <x:v>736</x:v>
      </x:c>
      <x:c r="C40" s="5">
        <x:v>1</x:v>
      </x:c>
      <x:c r="D40" s="5" t="s">
        <x:v>148</x:v>
      </x:c>
      <x:c r="E40" s="5" t="s">
        <x:v>150</x:v>
      </x:c>
      <x:c r="F40" s="5" t="s">
        <x:v>733</x:v>
      </x:c>
      <x:c r="G40" s="5" t="s">
        <x:v>85</x:v>
      </x:c>
      <x:c r="H40" s="5" t="s">
        <x:v>661</x:v>
      </x:c>
      <x:c r="I40" s="5" t="s">
        <x:v>105</x:v>
      </x:c>
      <x:c r="J40" s="5" t="s">
        <x:v>734</x:v>
      </x:c>
      <x:c r="K40" s="5" t="s">
        <x:v>508</x:v>
      </x:c>
      <x:c r="L40" s="5" t="s">
        <x:v>143</x:v>
      </x:c>
      <x:c r="M40" s="5" t="s">
        <x:v>143</x:v>
      </x:c>
      <x:c r="N40" s="5"/>
      <x:c r="O40" s="5" t="s">
        <x:v>90</x:v>
      </x:c>
      <x:c r="P40" s="5"/>
      <x:c r="Q40" s="5" t="s">
        <x:v>522</x:v>
      </x:c>
      <x:c r="R40" s="5" t="s">
        <x:v>175</x:v>
      </x:c>
      <x:c r="S40" s="5" t="s">
        <x:v>513</x:v>
      </x:c>
      <x:c r="T40" s="5" t="s">
        <x:v>94</x:v>
      </x:c>
      <x:c r="U40" s="23" t="str">
        <x:v>确认通过</x:v>
      </x:c>
    </x:row>
    <x:row r="41">
      <x:c r="A41" s="4" t="s">
        <x:v>737</x:v>
      </x:c>
      <x:c r="B41" s="5" t="s">
        <x:v>738</x:v>
      </x:c>
      <x:c r="C41" s="5">
        <x:v>1</x:v>
      </x:c>
      <x:c r="D41" s="5" t="s">
        <x:v>158</x:v>
      </x:c>
      <x:c r="E41" s="5" t="s">
        <x:v>160</x:v>
      </x:c>
      <x:c r="F41" s="5" t="s">
        <x:v>733</x:v>
      </x:c>
      <x:c r="G41" s="5" t="s">
        <x:v>85</x:v>
      </x:c>
      <x:c r="H41" s="5" t="s">
        <x:v>661</x:v>
      </x:c>
      <x:c r="I41" s="5" t="s">
        <x:v>105</x:v>
      </x:c>
      <x:c r="J41" s="5" t="s">
        <x:v>734</x:v>
      </x:c>
      <x:c r="K41" s="5" t="s">
        <x:v>508</x:v>
      </x:c>
      <x:c r="L41" s="5" t="s">
        <x:v>143</x:v>
      </x:c>
      <x:c r="M41" s="5" t="s">
        <x:v>143</x:v>
      </x:c>
      <x:c r="N41" s="5"/>
      <x:c r="O41" s="5" t="s">
        <x:v>90</x:v>
      </x:c>
      <x:c r="P41" s="5"/>
      <x:c r="Q41" s="5" t="s">
        <x:v>522</x:v>
      </x:c>
      <x:c r="R41" s="5" t="s">
        <x:v>175</x:v>
      </x:c>
      <x:c r="S41" s="5" t="s">
        <x:v>513</x:v>
      </x:c>
      <x:c r="T41" s="5" t="s">
        <x:v>94</x:v>
      </x:c>
      <x:c r="U41" s="23" t="str">
        <x:v>确认通过</x:v>
      </x:c>
    </x:row>
    <x:row r="42">
      <x:c r="A42" s="4" t="s">
        <x:v>739</x:v>
      </x:c>
      <x:c r="B42" s="5" t="s">
        <x:v>740</x:v>
      </x:c>
      <x:c r="C42" s="5">
        <x:v>1</x:v>
      </x:c>
      <x:c r="D42" s="5" t="s">
        <x:v>138</x:v>
      </x:c>
      <x:c r="E42" s="5" t="s">
        <x:v>140</x:v>
      </x:c>
      <x:c r="F42" s="5" t="s">
        <x:v>733</x:v>
      </x:c>
      <x:c r="G42" s="5" t="s">
        <x:v>85</x:v>
      </x:c>
      <x:c r="H42" s="5" t="s">
        <x:v>661</x:v>
      </x:c>
      <x:c r="I42" s="5" t="s">
        <x:v>105</x:v>
      </x:c>
      <x:c r="J42" s="5" t="s">
        <x:v>734</x:v>
      </x:c>
      <x:c r="K42" s="5" t="s">
        <x:v>508</x:v>
      </x:c>
      <x:c r="L42" s="5" t="s">
        <x:v>530</x:v>
      </x:c>
      <x:c r="M42" s="5" t="s">
        <x:v>530</x:v>
      </x:c>
      <x:c r="N42" s="5"/>
      <x:c r="O42" s="5" t="s">
        <x:v>90</x:v>
      </x:c>
      <x:c r="P42" s="5"/>
      <x:c r="Q42" s="5" t="s">
        <x:v>535</x:v>
      </x:c>
      <x:c r="R42" s="5" t="s">
        <x:v>175</x:v>
      </x:c>
      <x:c r="S42" s="5" t="s">
        <x:v>513</x:v>
      </x:c>
      <x:c r="T42" s="5" t="s">
        <x:v>94</x:v>
      </x:c>
      <x:c r="U42" s="23" t="str">
        <x:v>确认通过</x:v>
      </x:c>
    </x:row>
    <x:row r="43">
      <x:c r="A43" s="4" t="s">
        <x:v>741</x:v>
      </x:c>
      <x:c r="B43" s="5" t="s">
        <x:v>742</x:v>
      </x:c>
      <x:c r="C43" s="5">
        <x:v>1</x:v>
      </x:c>
      <x:c r="D43" s="5" t="s">
        <x:v>148</x:v>
      </x:c>
      <x:c r="E43" s="5" t="s">
        <x:v>150</x:v>
      </x:c>
      <x:c r="F43" s="5" t="s">
        <x:v>733</x:v>
      </x:c>
      <x:c r="G43" s="5" t="s">
        <x:v>85</x:v>
      </x:c>
      <x:c r="H43" s="5" t="s">
        <x:v>661</x:v>
      </x:c>
      <x:c r="I43" s="5" t="s">
        <x:v>105</x:v>
      </x:c>
      <x:c r="J43" s="5" t="s">
        <x:v>734</x:v>
      </x:c>
      <x:c r="K43" s="5" t="s">
        <x:v>508</x:v>
      </x:c>
      <x:c r="L43" s="5" t="s">
        <x:v>530</x:v>
      </x:c>
      <x:c r="M43" s="5" t="s">
        <x:v>530</x:v>
      </x:c>
      <x:c r="N43" s="5"/>
      <x:c r="O43" s="5" t="s">
        <x:v>90</x:v>
      </x:c>
      <x:c r="P43" s="5"/>
      <x:c r="Q43" s="5" t="s">
        <x:v>535</x:v>
      </x:c>
      <x:c r="R43" s="5" t="s">
        <x:v>175</x:v>
      </x:c>
      <x:c r="S43" s="5" t="s">
        <x:v>513</x:v>
      </x:c>
      <x:c r="T43" s="5" t="s">
        <x:v>94</x:v>
      </x:c>
      <x:c r="U43" s="23" t="str">
        <x:v>确认通过</x:v>
      </x:c>
    </x:row>
    <x:row r="44">
      <x:c r="A44" s="4" t="s">
        <x:v>743</x:v>
      </x:c>
      <x:c r="B44" s="5" t="s">
        <x:v>744</x:v>
      </x:c>
      <x:c r="C44" s="5">
        <x:v>1</x:v>
      </x:c>
      <x:c r="D44" s="5" t="s">
        <x:v>158</x:v>
      </x:c>
      <x:c r="E44" s="5" t="s">
        <x:v>160</x:v>
      </x:c>
      <x:c r="F44" s="5" t="s">
        <x:v>733</x:v>
      </x:c>
      <x:c r="G44" s="5" t="s">
        <x:v>85</x:v>
      </x:c>
      <x:c r="H44" s="5" t="s">
        <x:v>661</x:v>
      </x:c>
      <x:c r="I44" s="5" t="s">
        <x:v>105</x:v>
      </x:c>
      <x:c r="J44" s="5" t="s">
        <x:v>734</x:v>
      </x:c>
      <x:c r="K44" s="5" t="s">
        <x:v>508</x:v>
      </x:c>
      <x:c r="L44" s="5" t="s">
        <x:v>530</x:v>
      </x:c>
      <x:c r="M44" s="5" t="s">
        <x:v>530</x:v>
      </x:c>
      <x:c r="N44" s="5"/>
      <x:c r="O44" s="5" t="s">
        <x:v>90</x:v>
      </x:c>
      <x:c r="P44" s="5"/>
      <x:c r="Q44" s="5" t="s">
        <x:v>535</x:v>
      </x:c>
      <x:c r="R44" s="5" t="s">
        <x:v>175</x:v>
      </x:c>
      <x:c r="S44" s="5" t="s">
        <x:v>513</x:v>
      </x:c>
      <x:c r="T44" s="5" t="s">
        <x:v>94</x:v>
      </x:c>
      <x:c r="U44" s="23" t="str">
        <x:v>确认通过</x:v>
      </x:c>
    </x:row>
    <x:row r="45">
      <x:c r="A45" s="4" t="s">
        <x:v>745</x:v>
      </x:c>
      <x:c r="B45" s="5" t="s">
        <x:v>746</x:v>
      </x:c>
      <x:c r="C45" s="5">
        <x:v>1</x:v>
      </x:c>
      <x:c r="D45" s="5" t="s">
        <x:v>166</x:v>
      </x:c>
      <x:c r="E45" s="5" t="s">
        <x:v>168</x:v>
      </x:c>
      <x:c r="F45" s="5" t="s">
        <x:v>733</x:v>
      </x:c>
      <x:c r="G45" s="5" t="s">
        <x:v>85</x:v>
      </x:c>
      <x:c r="H45" s="5" t="s">
        <x:v>661</x:v>
      </x:c>
      <x:c r="I45" s="5" t="s">
        <x:v>105</x:v>
      </x:c>
      <x:c r="J45" s="5" t="s">
        <x:v>734</x:v>
      </x:c>
      <x:c r="K45" s="5" t="s">
        <x:v>508</x:v>
      </x:c>
      <x:c r="L45" s="5" t="s">
        <x:v>171</x:v>
      </x:c>
      <x:c r="M45" s="5" t="s">
        <x:v>171</x:v>
      </x:c>
      <x:c r="N45" s="5"/>
      <x:c r="O45" s="5" t="s">
        <x:v>90</x:v>
      </x:c>
      <x:c r="P45" s="5"/>
      <x:c r="Q45" s="5" t="s">
        <x:v>541</x:v>
      </x:c>
      <x:c r="R45" s="5" t="s">
        <x:v>174</x:v>
      </x:c>
      <x:c r="S45" s="5" t="s">
        <x:v>175</x:v>
      </x:c>
      <x:c r="T45" s="5" t="s">
        <x:v>94</x:v>
      </x:c>
      <x:c r="U45" s="23" t="str">
        <x:v>确认通过</x:v>
      </x:c>
    </x:row>
    <x:row r="46">
      <x:c r="A46" s="4" t="s">
        <x:v>747</x:v>
      </x:c>
      <x:c r="B46" s="5" t="s">
        <x:v>748</x:v>
      </x:c>
      <x:c r="C46" s="5">
        <x:v>1</x:v>
      </x:c>
      <x:c r="D46" s="5" t="s">
        <x:v>176</x:v>
      </x:c>
      <x:c r="E46" s="5" t="s">
        <x:v>178</x:v>
      </x:c>
      <x:c r="F46" s="5" t="s">
        <x:v>733</x:v>
      </x:c>
      <x:c r="G46" s="5" t="s">
        <x:v>85</x:v>
      </x:c>
      <x:c r="H46" s="5" t="s">
        <x:v>661</x:v>
      </x:c>
      <x:c r="I46" s="5" t="s">
        <x:v>105</x:v>
      </x:c>
      <x:c r="J46" s="5" t="s">
        <x:v>734</x:v>
      </x:c>
      <x:c r="K46" s="5" t="s">
        <x:v>508</x:v>
      </x:c>
      <x:c r="L46" s="5" t="s">
        <x:v>171</x:v>
      </x:c>
      <x:c r="M46" s="5" t="s">
        <x:v>171</x:v>
      </x:c>
      <x:c r="N46" s="5"/>
      <x:c r="O46" s="5" t="s">
        <x:v>90</x:v>
      </x:c>
      <x:c r="P46" s="5"/>
      <x:c r="Q46" s="5" t="s">
        <x:v>541</x:v>
      </x:c>
      <x:c r="R46" s="5" t="s">
        <x:v>174</x:v>
      </x:c>
      <x:c r="S46" s="5" t="s">
        <x:v>175</x:v>
      </x:c>
      <x:c r="T46" s="5" t="s">
        <x:v>94</x:v>
      </x:c>
      <x:c r="U46" s="23" t="str">
        <x:v>确认通过</x:v>
      </x:c>
    </x:row>
    <x:row r="47">
      <x:c r="A47" s="4" t="s">
        <x:v>749</x:v>
      </x:c>
      <x:c r="B47" s="5" t="s">
        <x:v>750</x:v>
      </x:c>
      <x:c r="C47" s="5">
        <x:v>1</x:v>
      </x:c>
      <x:c r="D47" s="5" t="s">
        <x:v>186</x:v>
      </x:c>
      <x:c r="E47" s="5" t="s">
        <x:v>188</x:v>
      </x:c>
      <x:c r="F47" s="5" t="s">
        <x:v>733</x:v>
      </x:c>
      <x:c r="G47" s="5" t="s">
        <x:v>85</x:v>
      </x:c>
      <x:c r="H47" s="5" t="s">
        <x:v>661</x:v>
      </x:c>
      <x:c r="I47" s="5" t="s">
        <x:v>105</x:v>
      </x:c>
      <x:c r="J47" s="5" t="s">
        <x:v>734</x:v>
      </x:c>
      <x:c r="K47" s="5" t="s">
        <x:v>508</x:v>
      </x:c>
      <x:c r="L47" s="5" t="s">
        <x:v>171</x:v>
      </x:c>
      <x:c r="M47" s="5" t="s">
        <x:v>171</x:v>
      </x:c>
      <x:c r="N47" s="5"/>
      <x:c r="O47" s="5" t="s">
        <x:v>90</x:v>
      </x:c>
      <x:c r="P47" s="5"/>
      <x:c r="Q47" s="5" t="s">
        <x:v>541</x:v>
      </x:c>
      <x:c r="R47" s="5" t="s">
        <x:v>174</x:v>
      </x:c>
      <x:c r="S47" s="5" t="s">
        <x:v>175</x:v>
      </x:c>
      <x:c r="T47" s="5" t="s">
        <x:v>94</x:v>
      </x:c>
      <x:c r="U47" s="23" t="str">
        <x:v>确认通过</x:v>
      </x:c>
    </x:row>
    <x:row r="48">
      <x:c r="A48" s="4" t="s">
        <x:v>751</x:v>
      </x:c>
      <x:c r="B48" s="5" t="s">
        <x:v>752</x:v>
      </x:c>
      <x:c r="C48" s="5">
        <x:v>1</x:v>
      </x:c>
      <x:c r="D48" s="5" t="s">
        <x:v>191</x:v>
      </x:c>
      <x:c r="E48" s="5" t="s">
        <x:v>193</x:v>
      </x:c>
      <x:c r="F48" s="5" t="s">
        <x:v>733</x:v>
      </x:c>
      <x:c r="G48" s="5" t="s">
        <x:v>85</x:v>
      </x:c>
      <x:c r="H48" s="5" t="s">
        <x:v>661</x:v>
      </x:c>
      <x:c r="I48" s="5" t="s">
        <x:v>105</x:v>
      </x:c>
      <x:c r="J48" s="5" t="s">
        <x:v>734</x:v>
      </x:c>
      <x:c r="K48" s="5" t="s">
        <x:v>508</x:v>
      </x:c>
      <x:c r="L48" s="5" t="s">
        <x:v>171</x:v>
      </x:c>
      <x:c r="M48" s="5" t="s">
        <x:v>171</x:v>
      </x:c>
      <x:c r="N48" s="5"/>
      <x:c r="O48" s="5" t="s">
        <x:v>90</x:v>
      </x:c>
      <x:c r="P48" s="5"/>
      <x:c r="Q48" s="5" t="s">
        <x:v>541</x:v>
      </x:c>
      <x:c r="R48" s="5" t="s">
        <x:v>174</x:v>
      </x:c>
      <x:c r="S48" s="5" t="s">
        <x:v>175</x:v>
      </x:c>
      <x:c r="T48" s="5" t="s">
        <x:v>94</x:v>
      </x:c>
      <x:c r="U48" s="23" t="str">
        <x:v>确认通过</x:v>
      </x:c>
    </x:row>
    <x:row r="49" ht="23">
      <x:c r="A49" s="4" t="s">
        <x:v>753</x:v>
      </x:c>
      <x:c r="B49" s="5" t="s">
        <x:v>754</x:v>
      </x:c>
      <x:c r="C49" s="5">
        <x:v>1</x:v>
      </x:c>
      <x:c r="D49" s="5" t="s">
        <x:v>196</x:v>
      </x:c>
      <x:c r="E49" s="5" t="s">
        <x:v>198</x:v>
      </x:c>
      <x:c r="F49" s="5" t="s">
        <x:v>733</x:v>
      </x:c>
      <x:c r="G49" s="5" t="s">
        <x:v>85</x:v>
      </x:c>
      <x:c r="H49" s="5" t="s">
        <x:v>661</x:v>
      </x:c>
      <x:c r="I49" s="5" t="s">
        <x:v>105</x:v>
      </x:c>
      <x:c r="J49" s="5" t="s">
        <x:v>734</x:v>
      </x:c>
      <x:c r="K49" s="5" t="s">
        <x:v>508</x:v>
      </x:c>
      <x:c r="L49" s="5" t="s">
        <x:v>171</x:v>
      </x:c>
      <x:c r="M49" s="5" t="s">
        <x:v>171</x:v>
      </x:c>
      <x:c r="N49" s="5"/>
      <x:c r="O49" s="5" t="s">
        <x:v>90</x:v>
      </x:c>
      <x:c r="P49" s="5"/>
      <x:c r="Q49" s="5" t="s">
        <x:v>541</x:v>
      </x:c>
      <x:c r="R49" s="5" t="s">
        <x:v>174</x:v>
      </x:c>
      <x:c r="S49" s="5" t="s">
        <x:v>175</x:v>
      </x:c>
      <x:c r="T49" s="5" t="s">
        <x:v>94</x:v>
      </x:c>
      <x:c r="U49" s="23" t="str">
        <x:v>确认通过</x:v>
      </x:c>
    </x:row>
    <x:row r="50">
      <x:c r="A50" s="4" t="s">
        <x:v>755</x:v>
      </x:c>
      <x:c r="B50" s="5" t="s">
        <x:v>756</x:v>
      </x:c>
      <x:c r="C50" s="5">
        <x:v>1</x:v>
      </x:c>
      <x:c r="D50" s="5" t="s">
        <x:v>158</x:v>
      </x:c>
      <x:c r="E50" s="5" t="s">
        <x:v>160</x:v>
      </x:c>
      <x:c r="F50" s="5" t="s">
        <x:v>733</x:v>
      </x:c>
      <x:c r="G50" s="5" t="s">
        <x:v>85</x:v>
      </x:c>
      <x:c r="H50" s="5" t="s">
        <x:v>661</x:v>
      </x:c>
      <x:c r="I50" s="5" t="s">
        <x:v>105</x:v>
      </x:c>
      <x:c r="J50" s="5" t="s">
        <x:v>734</x:v>
      </x:c>
      <x:c r="K50" s="5" t="s">
        <x:v>508</x:v>
      </x:c>
      <x:c r="L50" s="5" t="s">
        <x:v>171</x:v>
      </x:c>
      <x:c r="M50" s="5" t="s">
        <x:v>171</x:v>
      </x:c>
      <x:c r="N50" s="5"/>
      <x:c r="O50" s="5" t="s">
        <x:v>90</x:v>
      </x:c>
      <x:c r="P50" s="5"/>
      <x:c r="Q50" s="5" t="s">
        <x:v>541</x:v>
      </x:c>
      <x:c r="R50" s="5" t="s">
        <x:v>174</x:v>
      </x:c>
      <x:c r="S50" s="5" t="s">
        <x:v>175</x:v>
      </x:c>
      <x:c r="T50" s="5" t="s">
        <x:v>94</x:v>
      </x:c>
      <x:c r="U50" s="23" t="str">
        <x:v>确认通过</x:v>
      </x:c>
    </x:row>
    <x:row r="51" ht="23">
      <x:c r="A51" s="4" t="s">
        <x:v>757</x:v>
      </x:c>
      <x:c r="B51" s="5" t="s">
        <x:v>758</x:v>
      </x:c>
      <x:c r="C51" s="5">
        <x:v>1</x:v>
      </x:c>
      <x:c r="D51" s="5" t="s">
        <x:v>213</x:v>
      </x:c>
      <x:c r="E51" s="5" t="s">
        <x:v>215</x:v>
      </x:c>
      <x:c r="F51" s="5" t="s">
        <x:v>733</x:v>
      </x:c>
      <x:c r="G51" s="5" t="s">
        <x:v>85</x:v>
      </x:c>
      <x:c r="H51" s="5" t="s">
        <x:v>661</x:v>
      </x:c>
      <x:c r="I51" s="5" t="s">
        <x:v>105</x:v>
      </x:c>
      <x:c r="J51" s="5" t="s">
        <x:v>734</x:v>
      </x:c>
      <x:c r="K51" s="5" t="s">
        <x:v>508</x:v>
      </x:c>
      <x:c r="L51" s="5" t="s">
        <x:v>218</x:v>
      </x:c>
      <x:c r="M51" s="5" t="s">
        <x:v>218</x:v>
      </x:c>
      <x:c r="N51" s="5"/>
      <x:c r="O51" s="5" t="s">
        <x:v>90</x:v>
      </x:c>
      <x:c r="P51" s="5"/>
      <x:c r="Q51" s="5" t="s">
        <x:v>578</x:v>
      </x:c>
      <x:c r="R51" s="5" t="s">
        <x:v>245</x:v>
      </x:c>
      <x:c r="S51" s="5" t="s">
        <x:v>246</x:v>
      </x:c>
      <x:c r="T51" s="5" t="s">
        <x:v>94</x:v>
      </x:c>
      <x:c r="U51" s="23" t="str">
        <x:v>确认通过</x:v>
      </x:c>
    </x:row>
    <x:row r="52">
      <x:c r="A52" s="4" t="s">
        <x:v>759</x:v>
      </x:c>
      <x:c r="B52" s="5" t="s">
        <x:v>760</x:v>
      </x:c>
      <x:c r="C52" s="5">
        <x:v>1</x:v>
      </x:c>
      <x:c r="D52" s="5" t="s">
        <x:v>223</x:v>
      </x:c>
      <x:c r="E52" s="5" t="s">
        <x:v>225</x:v>
      </x:c>
      <x:c r="F52" s="5" t="s">
        <x:v>733</x:v>
      </x:c>
      <x:c r="G52" s="5" t="s">
        <x:v>85</x:v>
      </x:c>
      <x:c r="H52" s="5" t="s">
        <x:v>661</x:v>
      </x:c>
      <x:c r="I52" s="5" t="s">
        <x:v>105</x:v>
      </x:c>
      <x:c r="J52" s="5" t="s">
        <x:v>734</x:v>
      </x:c>
      <x:c r="K52" s="5" t="s">
        <x:v>508</x:v>
      </x:c>
      <x:c r="L52" s="5" t="s">
        <x:v>218</x:v>
      </x:c>
      <x:c r="M52" s="5" t="s">
        <x:v>218</x:v>
      </x:c>
      <x:c r="N52" s="5"/>
      <x:c r="O52" s="5" t="s">
        <x:v>90</x:v>
      </x:c>
      <x:c r="P52" s="5"/>
      <x:c r="Q52" s="5" t="s">
        <x:v>578</x:v>
      </x:c>
      <x:c r="R52" s="5" t="s">
        <x:v>245</x:v>
      </x:c>
      <x:c r="S52" s="5" t="s">
        <x:v>246</x:v>
      </x:c>
      <x:c r="T52" s="5" t="s">
        <x:v>94</x:v>
      </x:c>
      <x:c r="U52" s="23" t="str">
        <x:v>确认通过</x:v>
      </x:c>
    </x:row>
    <x:row r="53">
      <x:c r="A53" s="4" t="s">
        <x:v>761</x:v>
      </x:c>
      <x:c r="B53" s="5" t="s">
        <x:v>762</x:v>
      </x:c>
      <x:c r="C53" s="5">
        <x:v>1</x:v>
      </x:c>
      <x:c r="D53" s="5" t="s">
        <x:v>232</x:v>
      </x:c>
      <x:c r="E53" s="5" t="s">
        <x:v>234</x:v>
      </x:c>
      <x:c r="F53" s="5" t="s">
        <x:v>733</x:v>
      </x:c>
      <x:c r="G53" s="5" t="s">
        <x:v>85</x:v>
      </x:c>
      <x:c r="H53" s="5" t="s">
        <x:v>661</x:v>
      </x:c>
      <x:c r="I53" s="5" t="s">
        <x:v>105</x:v>
      </x:c>
      <x:c r="J53" s="5" t="s">
        <x:v>734</x:v>
      </x:c>
      <x:c r="K53" s="5" t="s">
        <x:v>508</x:v>
      </x:c>
      <x:c r="L53" s="5" t="s">
        <x:v>218</x:v>
      </x:c>
      <x:c r="M53" s="5" t="s">
        <x:v>218</x:v>
      </x:c>
      <x:c r="N53" s="5"/>
      <x:c r="O53" s="5" t="s">
        <x:v>90</x:v>
      </x:c>
      <x:c r="P53" s="5"/>
      <x:c r="Q53" s="5" t="s">
        <x:v>578</x:v>
      </x:c>
      <x:c r="R53" s="5" t="s">
        <x:v>245</x:v>
      </x:c>
      <x:c r="S53" s="5" t="s">
        <x:v>246</x:v>
      </x:c>
      <x:c r="T53" s="5" t="s">
        <x:v>94</x:v>
      </x:c>
      <x:c r="U53" s="23" t="str">
        <x:v>确认通过</x:v>
      </x:c>
    </x:row>
    <x:row r="54">
      <x:c r="A54" s="4" t="s">
        <x:v>763</x:v>
      </x:c>
      <x:c r="B54" s="5" t="s">
        <x:v>764</x:v>
      </x:c>
      <x:c r="C54" s="5">
        <x:v>1</x:v>
      </x:c>
      <x:c r="D54" s="5" t="s">
        <x:v>239</x:v>
      </x:c>
      <x:c r="E54" s="5" t="s">
        <x:v>241</x:v>
      </x:c>
      <x:c r="F54" s="5" t="s">
        <x:v>733</x:v>
      </x:c>
      <x:c r="G54" s="5" t="s">
        <x:v>85</x:v>
      </x:c>
      <x:c r="H54" s="5" t="s">
        <x:v>661</x:v>
      </x:c>
      <x:c r="I54" s="5" t="s">
        <x:v>105</x:v>
      </x:c>
      <x:c r="J54" s="5" t="s">
        <x:v>734</x:v>
      </x:c>
      <x:c r="K54" s="5" t="s">
        <x:v>508</x:v>
      </x:c>
      <x:c r="L54" s="5" t="s">
        <x:v>218</x:v>
      </x:c>
      <x:c r="M54" s="5" t="s">
        <x:v>218</x:v>
      </x:c>
      <x:c r="N54" s="5"/>
      <x:c r="O54" s="5" t="s">
        <x:v>90</x:v>
      </x:c>
      <x:c r="P54" s="5"/>
      <x:c r="Q54" s="5" t="s">
        <x:v>578</x:v>
      </x:c>
      <x:c r="R54" s="5" t="s">
        <x:v>245</x:v>
      </x:c>
      <x:c r="S54" s="5" t="s">
        <x:v>246</x:v>
      </x:c>
      <x:c r="T54" s="5" t="s">
        <x:v>94</x:v>
      </x:c>
      <x:c r="U54" s="23" t="str">
        <x:v>确认通过</x:v>
      </x:c>
    </x:row>
    <x:row r="55" ht="23">
      <x:c r="A55" s="4" t="s">
        <x:v>765</x:v>
      </x:c>
      <x:c r="B55" s="5" t="s">
        <x:v>766</x:v>
      </x:c>
      <x:c r="C55" s="5">
        <x:v>1</x:v>
      </x:c>
      <x:c r="D55" s="5" t="s">
        <x:v>247</x:v>
      </x:c>
      <x:c r="E55" s="5" t="s">
        <x:v>249</x:v>
      </x:c>
      <x:c r="F55" s="5" t="s">
        <x:v>733</x:v>
      </x:c>
      <x:c r="G55" s="5" t="s">
        <x:v>85</x:v>
      </x:c>
      <x:c r="H55" s="5" t="s">
        <x:v>661</x:v>
      </x:c>
      <x:c r="I55" s="5" t="s">
        <x:v>105</x:v>
      </x:c>
      <x:c r="J55" s="5" t="s">
        <x:v>734</x:v>
      </x:c>
      <x:c r="K55" s="5" t="s">
        <x:v>508</x:v>
      </x:c>
      <x:c r="L55" s="5" t="s">
        <x:v>218</x:v>
      </x:c>
      <x:c r="M55" s="5" t="s">
        <x:v>218</x:v>
      </x:c>
      <x:c r="N55" s="5"/>
      <x:c r="O55" s="5" t="s">
        <x:v>90</x:v>
      </x:c>
      <x:c r="P55" s="5"/>
      <x:c r="Q55" s="5" t="s">
        <x:v>578</x:v>
      </x:c>
      <x:c r="R55" s="5" t="s">
        <x:v>245</x:v>
      </x:c>
      <x:c r="S55" s="5" t="s">
        <x:v>246</x:v>
      </x:c>
      <x:c r="T55" s="5" t="s">
        <x:v>94</x:v>
      </x:c>
      <x:c r="U55" s="23" t="str">
        <x:v>确认通过</x:v>
      </x:c>
    </x:row>
    <x:row r="56">
      <x:c r="A56" s="4" t="s">
        <x:v>767</x:v>
      </x:c>
      <x:c r="B56" s="5" t="s">
        <x:v>768</x:v>
      </x:c>
      <x:c r="C56" s="5">
        <x:v>1</x:v>
      </x:c>
      <x:c r="D56" s="5" t="s">
        <x:v>256</x:v>
      </x:c>
      <x:c r="E56" s="5" t="s">
        <x:v>258</x:v>
      </x:c>
      <x:c r="F56" s="5" t="s">
        <x:v>733</x:v>
      </x:c>
      <x:c r="G56" s="5" t="s">
        <x:v>85</x:v>
      </x:c>
      <x:c r="H56" s="5" t="s">
        <x:v>661</x:v>
      </x:c>
      <x:c r="I56" s="5" t="s">
        <x:v>105</x:v>
      </x:c>
      <x:c r="J56" s="5" t="s">
        <x:v>734</x:v>
      </x:c>
      <x:c r="K56" s="5" t="s">
        <x:v>508</x:v>
      </x:c>
      <x:c r="L56" s="5" t="s">
        <x:v>218</x:v>
      </x:c>
      <x:c r="M56" s="5" t="s">
        <x:v>218</x:v>
      </x:c>
      <x:c r="N56" s="5"/>
      <x:c r="O56" s="5" t="s">
        <x:v>90</x:v>
      </x:c>
      <x:c r="P56" s="5"/>
      <x:c r="Q56" s="5" t="s">
        <x:v>578</x:v>
      </x:c>
      <x:c r="R56" s="5" t="s">
        <x:v>245</x:v>
      </x:c>
      <x:c r="S56" s="5" t="s">
        <x:v>246</x:v>
      </x:c>
      <x:c r="T56" s="5" t="s">
        <x:v>94</x:v>
      </x:c>
      <x:c r="U56" s="23" t="str">
        <x:v>确认通过</x:v>
      </x:c>
    </x:row>
    <x:row r="57">
      <x:c r="A57" s="4" t="s">
        <x:v>769</x:v>
      </x:c>
      <x:c r="B57" s="5" t="s">
        <x:v>770</x:v>
      </x:c>
      <x:c r="C57" s="5">
        <x:v>1</x:v>
      </x:c>
      <x:c r="D57" s="5" t="s">
        <x:v>299</x:v>
      </x:c>
      <x:c r="E57" s="5" t="s">
        <x:v>301</x:v>
      </x:c>
      <x:c r="F57" s="5" t="s">
        <x:v>733</x:v>
      </x:c>
      <x:c r="G57" s="5" t="s">
        <x:v>85</x:v>
      </x:c>
      <x:c r="H57" s="5" t="s">
        <x:v>661</x:v>
      </x:c>
      <x:c r="I57" s="5" t="s">
        <x:v>105</x:v>
      </x:c>
      <x:c r="J57" s="5" t="s">
        <x:v>734</x:v>
      </x:c>
      <x:c r="K57" s="5" t="s">
        <x:v>508</x:v>
      </x:c>
      <x:c r="L57" s="5" t="s">
        <x:v>304</x:v>
      </x:c>
      <x:c r="M57" s="5" t="s">
        <x:v>304</x:v>
      </x:c>
      <x:c r="N57" s="5"/>
      <x:c r="O57" s="5" t="s">
        <x:v>90</x:v>
      </x:c>
      <x:c r="P57" s="5"/>
      <x:c r="Q57" s="5" t="s">
        <x:v>613</x:v>
      </x:c>
      <x:c r="R57" s="5" t="s">
        <x:v>307</x:v>
      </x:c>
      <x:c r="S57" s="5" t="s">
        <x:v>308</x:v>
      </x:c>
      <x:c r="T57" s="5" t="s">
        <x:v>94</x:v>
      </x:c>
      <x:c r="U57" s="23" t="str">
        <x:v>确认通过</x:v>
      </x:c>
    </x:row>
    <x:row r="58">
      <x:c r="A58" s="4" t="s">
        <x:v>771</x:v>
      </x:c>
      <x:c r="B58" s="5" t="s">
        <x:v>772</x:v>
      </x:c>
      <x:c r="C58" s="5">
        <x:v>1</x:v>
      </x:c>
      <x:c r="D58" s="5" t="s">
        <x:v>309</x:v>
      </x:c>
      <x:c r="E58" s="5" t="s">
        <x:v>311</x:v>
      </x:c>
      <x:c r="F58" s="5" t="s">
        <x:v>733</x:v>
      </x:c>
      <x:c r="G58" s="5" t="s">
        <x:v>85</x:v>
      </x:c>
      <x:c r="H58" s="5" t="s">
        <x:v>661</x:v>
      </x:c>
      <x:c r="I58" s="5" t="s">
        <x:v>105</x:v>
      </x:c>
      <x:c r="J58" s="5" t="s">
        <x:v>734</x:v>
      </x:c>
      <x:c r="K58" s="5" t="s">
        <x:v>508</x:v>
      </x:c>
      <x:c r="L58" s="5" t="s">
        <x:v>314</x:v>
      </x:c>
      <x:c r="M58" s="5" t="s">
        <x:v>314</x:v>
      </x:c>
      <x:c r="N58" s="5"/>
      <x:c r="O58" s="5" t="s">
        <x:v>90</x:v>
      </x:c>
      <x:c r="P58" s="5"/>
      <x:c r="Q58" s="5" t="s">
        <x:v>622</x:v>
      </x:c>
      <x:c r="R58" s="5" t="s">
        <x:v>620</x:v>
      </x:c>
      <x:c r="S58" s="5" t="s">
        <x:v>621</x:v>
      </x:c>
      <x:c r="T58" s="5" t="s">
        <x:v>94</x:v>
      </x:c>
      <x:c r="U58" s="23" t="str">
        <x:v>确认通过</x:v>
      </x:c>
    </x:row>
    <x:row r="59">
      <x:c r="A59" s="4" t="s">
        <x:v>773</x:v>
      </x:c>
      <x:c r="B59" s="5" t="s">
        <x:v>774</x:v>
      </x:c>
      <x:c r="C59" s="5">
        <x:v>1</x:v>
      </x:c>
      <x:c r="D59" s="5" t="s">
        <x:v>319</x:v>
      </x:c>
      <x:c r="E59" s="5" t="s">
        <x:v>321</x:v>
      </x:c>
      <x:c r="F59" s="5" t="s">
        <x:v>733</x:v>
      </x:c>
      <x:c r="G59" s="5" t="s">
        <x:v>85</x:v>
      </x:c>
      <x:c r="H59" s="5" t="s">
        <x:v>661</x:v>
      </x:c>
      <x:c r="I59" s="5" t="s">
        <x:v>105</x:v>
      </x:c>
      <x:c r="J59" s="5" t="s">
        <x:v>734</x:v>
      </x:c>
      <x:c r="K59" s="5" t="s">
        <x:v>508</x:v>
      </x:c>
      <x:c r="L59" s="5" t="s">
        <x:v>314</x:v>
      </x:c>
      <x:c r="M59" s="5" t="s">
        <x:v>314</x:v>
      </x:c>
      <x:c r="N59" s="5"/>
      <x:c r="O59" s="5" t="s">
        <x:v>90</x:v>
      </x:c>
      <x:c r="P59" s="5"/>
      <x:c r="Q59" s="5" t="s">
        <x:v>622</x:v>
      </x:c>
      <x:c r="R59" s="5" t="s">
        <x:v>620</x:v>
      </x:c>
      <x:c r="S59" s="5" t="s">
        <x:v>621</x:v>
      </x:c>
      <x:c r="T59" s="5" t="s">
        <x:v>94</x:v>
      </x:c>
      <x:c r="U59" s="23" t="str">
        <x:v>确认通过</x:v>
      </x:c>
    </x:row>
    <x:row r="60" ht="23">
      <x:c r="A60" s="4" t="s">
        <x:v>775</x:v>
      </x:c>
      <x:c r="B60" s="5" t="s">
        <x:v>776</x:v>
      </x:c>
      <x:c r="C60" s="5">
        <x:v>1</x:v>
      </x:c>
      <x:c r="D60" s="5" t="s">
        <x:v>362</x:v>
      </x:c>
      <x:c r="E60" s="5" t="s">
        <x:v>363</x:v>
      </x:c>
      <x:c r="F60" s="5" t="s">
        <x:v>777</x:v>
      </x:c>
      <x:c r="G60" s="5" t="s">
        <x:v>176</x:v>
      </x:c>
      <x:c r="H60" s="5" t="s">
        <x:v>178</x:v>
      </x:c>
      <x:c r="I60" s="5" t="s">
        <x:v>105</x:v>
      </x:c>
      <x:c r="J60" s="5" t="s">
        <x:v>778</x:v>
      </x:c>
      <x:c r="K60" s="5" t="s">
        <x:v>779</x:v>
      </x:c>
      <x:c r="L60" s="5" t="s">
        <x:v>171</x:v>
      </x:c>
      <x:c r="M60" s="5" t="s">
        <x:v>171</x:v>
      </x:c>
      <x:c r="N60" s="5" t="s">
        <x:v>181</x:v>
      </x:c>
      <x:c r="O60" s="5" t="s">
        <x:v>780</x:v>
      </x:c>
      <x:c r="P60" s="5"/>
      <x:c r="Q60" s="5" t="s">
        <x:v>183</x:v>
      </x:c>
      <x:c r="R60" s="5" t="s">
        <x:v>212</x:v>
      </x:c>
      <x:c r="S60" s="5" t="s">
        <x:v>174</x:v>
      </x:c>
      <x:c r="T60" s="5" t="s">
        <x:v>94</x:v>
      </x:c>
      <x:c r="U60" s="23" t="str">
        <x:v>确认通过</x:v>
      </x:c>
    </x:row>
    <x:row r="61">
      <x:c r="A61" s="4" t="s">
        <x:v>775</x:v>
      </x:c>
      <x:c r="B61" s="5" t="s">
        <x:v>781</x:v>
      </x:c>
      <x:c r="C61" s="5">
        <x:v>2</x:v>
      </x:c>
      <x:c r="D61" s="5" t="s">
        <x:v>176</x:v>
      </x:c>
      <x:c r="E61" s="5" t="s">
        <x:v>178</x:v>
      </x:c>
      <x:c r="F61" s="5" t="s">
        <x:v>660</x:v>
      </x:c>
      <x:c r="G61" s="5" t="s">
        <x:v>85</x:v>
      </x:c>
      <x:c r="H61" s="5" t="s">
        <x:v>661</x:v>
      </x:c>
      <x:c r="I61" s="5" t="s">
        <x:v>105</x:v>
      </x:c>
      <x:c r="J61" s="5" t="s">
        <x:v>782</x:v>
      </x:c>
      <x:c r="K61" s="5" t="s">
        <x:v>508</x:v>
      </x:c>
      <x:c r="L61" s="5" t="s">
        <x:v>171</x:v>
      </x:c>
      <x:c r="M61" s="5" t="s">
        <x:v>171</x:v>
      </x:c>
      <x:c r="N61" s="5" t="s">
        <x:v>181</x:v>
      </x:c>
      <x:c r="O61" s="5" t="s">
        <x:v>783</x:v>
      </x:c>
      <x:c r="P61" s="5"/>
      <x:c r="Q61" s="5" t="s">
        <x:v>784</x:v>
      </x:c>
      <x:c r="R61" s="5" t="s">
        <x:v>184</x:v>
      </x:c>
      <x:c r="S61" s="5" t="s">
        <x:v>185</x:v>
      </x:c>
      <x:c r="T61" s="5" t="s">
        <x:v>94</x:v>
      </x:c>
      <x:c r="U61" s="23" t="str">
        <x:v>确认通过</x:v>
      </x:c>
    </x:row>
    <x:row r="62" ht="23">
      <x:c r="A62" s="4" t="s">
        <x:v>785</x:v>
      </x:c>
      <x:c r="B62" s="5" t="s">
        <x:v>786</x:v>
      </x:c>
      <x:c r="C62" s="5">
        <x:v>1</x:v>
      </x:c>
      <x:c r="D62" s="5" t="s">
        <x:v>370</x:v>
      </x:c>
      <x:c r="E62" s="5" t="s">
        <x:v>371</x:v>
      </x:c>
      <x:c r="F62" s="5" t="s">
        <x:v>787</x:v>
      </x:c>
      <x:c r="G62" s="5" t="s">
        <x:v>205</x:v>
      </x:c>
      <x:c r="H62" s="5" t="s">
        <x:v>207</x:v>
      </x:c>
      <x:c r="I62" s="5" t="s">
        <x:v>367</x:v>
      </x:c>
      <x:c r="J62" s="5" t="s">
        <x:v>788</x:v>
      </x:c>
      <x:c r="K62" s="5" t="s">
        <x:v>779</x:v>
      </x:c>
      <x:c r="L62" s="5"/>
      <x:c r="M62" s="5" t="s">
        <x:v>181</x:v>
      </x:c>
      <x:c r="N62" s="5"/>
      <x:c r="O62" s="5" t="s">
        <x:v>789</x:v>
      </x:c>
      <x:c r="P62" s="5"/>
      <x:c r="Q62" s="5" t="s">
        <x:v>790</x:v>
      </x:c>
      <x:c r="R62" s="5" t="s">
        <x:v>212</x:v>
      </x:c>
      <x:c r="S62" s="5" t="s">
        <x:v>174</x:v>
      </x:c>
      <x:c r="T62" s="5" t="s">
        <x:v>94</x:v>
      </x:c>
      <x:c r="U62" s="23" t="str">
        <x:v>确认通过</x:v>
      </x:c>
    </x:row>
    <x:row r="63" ht="23">
      <x:c r="A63" s="4" t="s">
        <x:v>791</x:v>
      </x:c>
      <x:c r="B63" s="5" t="s">
        <x:v>792</x:v>
      </x:c>
      <x:c r="C63" s="5">
        <x:v>1</x:v>
      </x:c>
      <x:c r="D63" s="5" t="s">
        <x:v>378</x:v>
      </x:c>
      <x:c r="E63" s="5" t="s">
        <x:v>379</x:v>
      </x:c>
      <x:c r="F63" s="5" t="s">
        <x:v>793</x:v>
      </x:c>
      <x:c r="G63" s="5" t="s">
        <x:v>205</x:v>
      </x:c>
      <x:c r="H63" s="5" t="s">
        <x:v>207</x:v>
      </x:c>
      <x:c r="I63" s="5" t="s">
        <x:v>367</x:v>
      </x:c>
      <x:c r="J63" s="5" t="s">
        <x:v>788</x:v>
      </x:c>
      <x:c r="K63" s="5" t="s">
        <x:v>779</x:v>
      </x:c>
      <x:c r="L63" s="5"/>
      <x:c r="M63" s="5" t="s">
        <x:v>181</x:v>
      </x:c>
      <x:c r="N63" s="5"/>
      <x:c r="O63" s="5" t="s">
        <x:v>789</x:v>
      </x:c>
      <x:c r="P63" s="5"/>
      <x:c r="Q63" s="5" t="s">
        <x:v>790</x:v>
      </x:c>
      <x:c r="R63" s="5" t="s">
        <x:v>212</x:v>
      </x:c>
      <x:c r="S63" s="5" t="s">
        <x:v>174</x:v>
      </x:c>
      <x:c r="T63" s="5" t="s">
        <x:v>94</x:v>
      </x:c>
      <x:c r="U63" s="23" t="str">
        <x:v>确认通过</x:v>
      </x:c>
    </x:row>
    <x:row r="64" ht="23">
      <x:c r="A64" s="4" t="s">
        <x:v>794</x:v>
      </x:c>
      <x:c r="B64" s="5" t="s">
        <x:v>795</x:v>
      </x:c>
      <x:c r="C64" s="5">
        <x:v>1</x:v>
      </x:c>
      <x:c r="D64" s="5" t="s">
        <x:v>370</x:v>
      </x:c>
      <x:c r="E64" s="5" t="s">
        <x:v>371</x:v>
      </x:c>
      <x:c r="F64" s="5" t="s">
        <x:v>787</x:v>
      </x:c>
      <x:c r="G64" s="5" t="s">
        <x:v>196</x:v>
      </x:c>
      <x:c r="H64" s="5" t="s">
        <x:v>198</x:v>
      </x:c>
      <x:c r="I64" s="5" t="s">
        <x:v>367</x:v>
      </x:c>
      <x:c r="J64" s="5" t="s">
        <x:v>788</x:v>
      </x:c>
      <x:c r="K64" s="5" t="s">
        <x:v>779</x:v>
      </x:c>
      <x:c r="L64" s="5"/>
      <x:c r="M64" s="5" t="s">
        <x:v>171</x:v>
      </x:c>
      <x:c r="N64" s="5"/>
      <x:c r="O64" s="5" t="s">
        <x:v>789</x:v>
      </x:c>
      <x:c r="P64" s="5"/>
      <x:c r="Q64" s="5" t="s">
        <x:v>202</x:v>
      </x:c>
      <x:c r="R64" s="5" t="s">
        <x:v>796</x:v>
      </x:c>
      <x:c r="S64" s="5" t="s">
        <x:v>797</x:v>
      </x:c>
      <x:c r="T64" s="5" t="s">
        <x:v>94</x:v>
      </x:c>
      <x:c r="U64" s="23" t="str">
        <x:v>确认通过</x:v>
      </x:c>
    </x:row>
    <x:row r="65" ht="23">
      <x:c r="A65" s="4" t="s">
        <x:v>798</x:v>
      </x:c>
      <x:c r="B65" s="5" t="s">
        <x:v>799</x:v>
      </x:c>
      <x:c r="C65" s="5">
        <x:v>1</x:v>
      </x:c>
      <x:c r="D65" s="5" t="s">
        <x:v>383</x:v>
      </x:c>
      <x:c r="E65" s="5" t="s">
        <x:v>384</x:v>
      </x:c>
      <x:c r="F65" s="5" t="s">
        <x:v>787</x:v>
      </x:c>
      <x:c r="G65" s="5" t="s">
        <x:v>148</x:v>
      </x:c>
      <x:c r="H65" s="5" t="s">
        <x:v>150</x:v>
      </x:c>
      <x:c r="I65" s="5" t="s">
        <x:v>367</x:v>
      </x:c>
      <x:c r="J65" s="5" t="s">
        <x:v>788</x:v>
      </x:c>
      <x:c r="K65" s="5" t="s">
        <x:v>779</x:v>
      </x:c>
      <x:c r="L65" s="5"/>
      <x:c r="M65" s="5" t="s">
        <x:v>143</x:v>
      </x:c>
      <x:c r="N65" s="5"/>
      <x:c r="O65" s="5" t="s">
        <x:v>789</x:v>
      </x:c>
      <x:c r="P65" s="5"/>
      <x:c r="Q65" s="5" t="s">
        <x:v>155</x:v>
      </x:c>
      <x:c r="R65" s="5" t="s">
        <x:v>388</x:v>
      </x:c>
      <x:c r="S65" s="5" t="s">
        <x:v>389</x:v>
      </x:c>
      <x:c r="T65" s="5" t="s">
        <x:v>94</x:v>
      </x:c>
      <x:c r="U65" s="23" t="str">
        <x:v>确认通过</x:v>
      </x:c>
    </x:row>
    <x:row r="66">
      <x:c r="A66" s="4" t="s">
        <x:v>800</x:v>
      </x:c>
      <x:c r="B66" s="5" t="s">
        <x:v>801</x:v>
      </x:c>
      <x:c r="C66" s="5">
        <x:v>1</x:v>
      </x:c>
      <x:c r="D66" s="5" t="s">
        <x:v>390</x:v>
      </x:c>
      <x:c r="E66" s="5" t="s">
        <x:v>391</x:v>
      </x:c>
      <x:c r="F66" s="5" t="s">
        <x:v>787</x:v>
      </x:c>
      <x:c r="G66" s="5" t="s">
        <x:v>158</x:v>
      </x:c>
      <x:c r="H66" s="5" t="s">
        <x:v>160</x:v>
      </x:c>
      <x:c r="I66" s="5" t="s">
        <x:v>367</x:v>
      </x:c>
      <x:c r="J66" s="5" t="s">
        <x:v>788</x:v>
      </x:c>
      <x:c r="K66" s="5" t="s">
        <x:v>779</x:v>
      </x:c>
      <x:c r="L66" s="5"/>
      <x:c r="M66" s="5" t="s">
        <x:v>143</x:v>
      </x:c>
      <x:c r="N66" s="5"/>
      <x:c r="O66" s="5" t="s">
        <x:v>789</x:v>
      </x:c>
      <x:c r="P66" s="5"/>
      <x:c r="Q66" s="5" t="s">
        <x:v>145</x:v>
      </x:c>
      <x:c r="R66" s="5" t="s">
        <x:v>389</x:v>
      </x:c>
      <x:c r="S66" s="5" t="s">
        <x:v>394</x:v>
      </x:c>
      <x:c r="T66" s="5" t="s">
        <x:v>94</x:v>
      </x:c>
      <x:c r="U66" s="23" t="str">
        <x:v>确认通过</x:v>
      </x:c>
    </x:row>
    <x:row r="67" ht="23">
      <x:c r="A67" s="4" t="s">
        <x:v>802</x:v>
      </x:c>
      <x:c r="B67" s="5" t="s">
        <x:v>803</x:v>
      </x:c>
      <x:c r="C67" s="5">
        <x:v>1</x:v>
      </x:c>
      <x:c r="D67" s="5" t="s">
        <x:v>395</x:v>
      </x:c>
      <x:c r="E67" s="5" t="s">
        <x:v>396</x:v>
      </x:c>
      <x:c r="F67" s="5" t="s">
        <x:v>787</x:v>
      </x:c>
      <x:c r="G67" s="5" t="s">
        <x:v>247</x:v>
      </x:c>
      <x:c r="H67" s="5" t="s">
        <x:v>249</x:v>
      </x:c>
      <x:c r="I67" s="5" t="s">
        <x:v>367</x:v>
      </x:c>
      <x:c r="J67" s="5" t="s">
        <x:v>788</x:v>
      </x:c>
      <x:c r="K67" s="5" t="s">
        <x:v>779</x:v>
      </x:c>
      <x:c r="L67" s="5"/>
      <x:c r="M67" s="5" t="s">
        <x:v>218</x:v>
      </x:c>
      <x:c r="N67" s="5"/>
      <x:c r="O67" s="5" t="s">
        <x:v>789</x:v>
      </x:c>
      <x:c r="P67" s="5"/>
      <x:c r="Q67" s="5" t="s">
        <x:v>253</x:v>
      </x:c>
      <x:c r="R67" s="5" t="s">
        <x:v>399</x:v>
      </x:c>
      <x:c r="S67" s="5" t="s">
        <x:v>388</x:v>
      </x:c>
      <x:c r="T67" s="5" t="s">
        <x:v>94</x:v>
      </x:c>
      <x:c r="U67" s="23" t="str">
        <x:v>确认通过</x:v>
      </x:c>
    </x:row>
    <x:row r="68" ht="23">
      <x:c r="A68" s="4" t="s">
        <x:v>804</x:v>
      </x:c>
      <x:c r="B68" s="5" t="s">
        <x:v>805</x:v>
      </x:c>
      <x:c r="C68" s="5">
        <x:v>1</x:v>
      </x:c>
      <x:c r="D68" s="5" t="s">
        <x:v>400</x:v>
      </x:c>
      <x:c r="E68" s="5" t="s">
        <x:v>401</x:v>
      </x:c>
      <x:c r="F68" s="5" t="s">
        <x:v>787</x:v>
      </x:c>
      <x:c r="G68" s="5" t="s">
        <x:v>232</x:v>
      </x:c>
      <x:c r="H68" s="5" t="s">
        <x:v>234</x:v>
      </x:c>
      <x:c r="I68" s="5" t="s">
        <x:v>367</x:v>
      </x:c>
      <x:c r="J68" s="5" t="s">
        <x:v>788</x:v>
      </x:c>
      <x:c r="K68" s="5" t="s">
        <x:v>779</x:v>
      </x:c>
      <x:c r="L68" s="5"/>
      <x:c r="M68" s="5" t="s">
        <x:v>218</x:v>
      </x:c>
      <x:c r="N68" s="5"/>
      <x:c r="O68" s="5" t="s">
        <x:v>789</x:v>
      </x:c>
      <x:c r="P68" s="5"/>
      <x:c r="Q68" s="5" t="s">
        <x:v>220</x:v>
      </x:c>
      <x:c r="R68" s="5" t="s">
        <x:v>404</x:v>
      </x:c>
      <x:c r="S68" s="5" t="s">
        <x:v>405</x:v>
      </x:c>
      <x:c r="T68" s="5" t="s">
        <x:v>94</x:v>
      </x:c>
      <x:c r="U68" s="23" t="str">
        <x:v>确认通过</x:v>
      </x:c>
    </x:row>
    <x:row r="69" ht="23">
      <x:c r="A69" s="7" t="s">
        <x:v>806</x:v>
      </x:c>
      <x:c r="B69" s="8" t="s">
        <x:v>807</x:v>
      </x:c>
      <x:c r="C69" s="8">
        <x:v>1</x:v>
      </x:c>
      <x:c r="D69" s="8" t="s">
        <x:v>406</x:v>
      </x:c>
      <x:c r="E69" s="8" t="s">
        <x:v>407</x:v>
      </x:c>
      <x:c r="F69" s="8" t="s">
        <x:v>787</x:v>
      </x:c>
      <x:c r="G69" s="8" t="s">
        <x:v>319</x:v>
      </x:c>
      <x:c r="H69" s="8" t="s">
        <x:v>321</x:v>
      </x:c>
      <x:c r="I69" s="8" t="s">
        <x:v>367</x:v>
      </x:c>
      <x:c r="J69" s="8" t="s">
        <x:v>788</x:v>
      </x:c>
      <x:c r="K69" s="8" t="s">
        <x:v>779</x:v>
      </x:c>
      <x:c r="L69" s="8"/>
      <x:c r="M69" s="8" t="s">
        <x:v>314</x:v>
      </x:c>
      <x:c r="N69" s="8"/>
      <x:c r="O69" s="8" t="s">
        <x:v>789</x:v>
      </x:c>
      <x:c r="P69" s="8"/>
      <x:c r="Q69" s="8" t="s">
        <x:v>325</x:v>
      </x:c>
      <x:c r="R69" s="8" t="s">
        <x:v>410</x:v>
      </x:c>
      <x:c r="S69" s="8" t="s">
        <x:v>411</x:v>
      </x:c>
      <x:c r="T69" s="8" t="s">
        <x:v>94</x:v>
      </x:c>
      <x:c r="U69" s="24" t="str">
        <x:v>确认通过</x:v>
      </x:c>
    </x:row>
  </x:sheetData>
  <x:mergeCells>
    <x:mergeCell ref="A1:U1"/>
    <x:mergeCell ref="A2:U2"/>
  </x:mergeCells>
  <x:conditionalFormatting sqref="I5:I69">
    <x:cfRule type="expression" dxfId="5" priority="1">
      <x:formula>I5="否"</x:formula>
    </x:cfRule>
    <x:cfRule type="expression" dxfId="4" priority="2">
      <x:formula>I5="是"</x:formula>
    </x:cfRule>
  </x:conditionalFormatting>
  <x:dataValidations count="3">
    <x:dataValidation type="list" sqref="I5:I69">
      <x:formula1>"是,否"</x:formula1>
    </x:dataValidation>
    <x:dataValidation type="list" sqref="K5:K69">
      <x:formula1>"DIRECT,INDIRECT"</x:formula1>
    </x:dataValidation>
    <x:dataValidation type="list" sqref="U5:U69">
      <x:formula1>"待用户复核,确认通过,修改后通过,信息不足保留未知,退回复核"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8342e5dde240fa"/>
  </x:tableParts>
</x:worksheet>
</file>

<file path=xl/worksheets/sheet6.xml><?xml version="1.0" encoding="utf-8"?>
<x:worksheet xmlns:x="http://schemas.openxmlformats.org/spreadsheetml/2006/main">
  <x:sheetFormatPr defaultRowHeight="14"/>
  <x:cols>
    <x:col min="1" max="1" width="13" customWidth="1"/>
    <x:col min="2" max="2" width="18" customWidth="1"/>
    <x:col min="3" max="3" width="24" customWidth="1"/>
    <x:col min="4" max="5" width="13" customWidth="1"/>
    <x:col min="6" max="6" width="28" customWidth="1"/>
    <x:col min="7" max="7" width="58" customWidth="1"/>
    <x:col min="8" max="8" width="42" customWidth="1"/>
    <x:col min="9" max="9" width="12" customWidth="1"/>
    <x:col min="10" max="10" width="28" customWidth="1"/>
    <x:col min="11" max="11" width="16" customWidth="1"/>
    <x:col min="12" max="12" width="38" customWidth="1"/>
    <x:col min="13" max="13" width="16" customWidth="1"/>
  </x:cols>
  <x:sheetData>
    <x:row r="1" ht="12" customHeight="1">
      <x:c r="A1" s="37" t="s">
        <x:v>808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</x:row>
    <x:row r="2" ht="24" customHeight="1">
      <x:c r="A2" s="38" t="s">
        <x:v>809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</x:row>
    <x:row r="4" ht="28" customHeight="1">
      <x:c r="A4" s="13" t="s">
        <x:v>420</x:v>
      </x:c>
      <x:c r="B4" s="14" t="s">
        <x:v>810</x:v>
      </x:c>
      <x:c r="C4" s="14" t="s">
        <x:v>811</x:v>
      </x:c>
      <x:c r="D4" s="14" t="s">
        <x:v>812</x:v>
      </x:c>
      <x:c r="E4" s="14" t="s">
        <x:v>813</x:v>
      </x:c>
      <x:c r="F4" s="14" t="s">
        <x:v>814</x:v>
      </x:c>
      <x:c r="G4" s="14" t="s">
        <x:v>815</x:v>
      </x:c>
      <x:c r="H4" s="14" t="s">
        <x:v>816</x:v>
      </x:c>
      <x:c r="I4" s="14" t="s">
        <x:v>817</x:v>
      </x:c>
      <x:c r="J4" s="14" t="s">
        <x:v>818</x:v>
      </x:c>
      <x:c r="K4" s="14" t="s">
        <x:v>819</x:v>
      </x:c>
      <x:c r="L4" s="14" t="s">
        <x:v>820</x:v>
      </x:c>
      <x:c r="M4" s="15" t="s">
        <x:v>821</x:v>
      </x:c>
    </x:row>
    <x:row r="5" ht="23">
      <x:c r="A5" s="1" t="s">
        <x:v>93</x:v>
      </x:c>
      <x:c r="B5" s="2" t="s">
        <x:v>822</x:v>
      </x:c>
      <x:c r="C5" s="2" t="s">
        <x:v>823</x:v>
      </x:c>
      <x:c r="D5" s="2" t="s">
        <x:v>95</x:v>
      </x:c>
      <x:c r="E5" s="2" t="s">
        <x:v>96</x:v>
      </x:c>
      <x:c r="F5" s="2" t="s">
        <x:v>824</x:v>
      </x:c>
      <x:c r="G5" s="2" t="s">
        <x:v>825</x:v>
      </x:c>
      <x:c r="H5" s="2" t="s">
        <x:v>826</x:v>
      </x:c>
      <x:c r="I5" s="2" t="s">
        <x:v>827</x:v>
      </x:c>
      <x:c r="J5" s="2" t="s">
        <x:v>828</x:v>
      </x:c>
      <x:c r="K5" s="2"/>
      <x:c r="L5" s="2" t="s">
        <x:v>8</x:v>
      </x:c>
      <x:c r="M5" s="3" t="s">
        <x:v>105</x:v>
      </x:c>
    </x:row>
    <x:row r="6" ht="23">
      <x:c r="A6" s="4" t="s">
        <x:v>522</x:v>
      </x:c>
      <x:c r="B6" s="5" t="s">
        <x:v>829</x:v>
      </x:c>
      <x:c r="C6" s="5" t="s">
        <x:v>830</x:v>
      </x:c>
      <x:c r="D6" s="5" t="s">
        <x:v>175</x:v>
      </x:c>
      <x:c r="E6" s="5" t="s">
        <x:v>513</x:v>
      </x:c>
      <x:c r="F6" s="5" t="s">
        <x:v>831</x:v>
      </x:c>
      <x:c r="G6" s="5" t="s">
        <x:v>832</x:v>
      </x:c>
      <x:c r="H6" s="5" t="s">
        <x:v>833</x:v>
      </x:c>
      <x:c r="I6" s="5" t="s">
        <x:v>827</x:v>
      </x:c>
      <x:c r="J6" s="5" t="s">
        <x:v>834</x:v>
      </x:c>
      <x:c r="K6" s="5" t="s">
        <x:v>835</x:v>
      </x:c>
      <x:c r="L6" s="5" t="s">
        <x:v>8</x:v>
      </x:c>
      <x:c r="M6" s="6" t="s">
        <x:v>105</x:v>
      </x:c>
    </x:row>
    <x:row r="7" ht="23">
      <x:c r="A7" s="4" t="s">
        <x:v>541</x:v>
      </x:c>
      <x:c r="B7" s="5" t="s">
        <x:v>829</x:v>
      </x:c>
      <x:c r="C7" s="5" t="s">
        <x:v>171</x:v>
      </x:c>
      <x:c r="D7" s="5" t="s">
        <x:v>174</x:v>
      </x:c>
      <x:c r="E7" s="5" t="s">
        <x:v>175</x:v>
      </x:c>
      <x:c r="F7" s="5" t="s">
        <x:v>831</x:v>
      </x:c>
      <x:c r="G7" s="5" t="s">
        <x:v>542</x:v>
      </x:c>
      <x:c r="H7" s="5" t="s">
        <x:v>836</x:v>
      </x:c>
      <x:c r="I7" s="5" t="s">
        <x:v>827</x:v>
      </x:c>
      <x:c r="J7" s="5" t="s">
        <x:v>837</x:v>
      </x:c>
      <x:c r="K7" s="5" t="s">
        <x:v>171</x:v>
      </x:c>
      <x:c r="L7" s="5" t="s">
        <x:v>8</x:v>
      </x:c>
      <x:c r="M7" s="6" t="s">
        <x:v>105</x:v>
      </x:c>
    </x:row>
    <x:row r="8" ht="23">
      <x:c r="A8" s="4" t="s">
        <x:v>838</x:v>
      </x:c>
      <x:c r="B8" s="5" t="s">
        <x:v>839</x:v>
      </x:c>
      <x:c r="C8" s="5" t="s">
        <x:v>840</x:v>
      </x:c>
      <x:c r="D8" s="5" t="s">
        <x:v>212</x:v>
      </x:c>
      <x:c r="E8" s="5" t="s">
        <x:v>174</x:v>
      </x:c>
      <x:c r="F8" s="5" t="s">
        <x:v>841</x:v>
      </x:c>
      <x:c r="G8" s="5" t="s">
        <x:v>842</x:v>
      </x:c>
      <x:c r="H8" s="5" t="s">
        <x:v>843</x:v>
      </x:c>
      <x:c r="I8" s="5" t="s">
        <x:v>827</x:v>
      </x:c>
      <x:c r="J8" s="5" t="s">
        <x:v>844</x:v>
      </x:c>
      <x:c r="K8" s="5" t="s">
        <x:v>181</x:v>
      </x:c>
      <x:c r="L8" s="5" t="s">
        <x:v>8</x:v>
      </x:c>
      <x:c r="M8" s="6" t="s">
        <x:v>105</x:v>
      </x:c>
    </x:row>
    <x:row r="9" ht="23">
      <x:c r="A9" s="4" t="s">
        <x:v>790</x:v>
      </x:c>
      <x:c r="B9" s="5" t="s">
        <x:v>845</x:v>
      </x:c>
      <x:c r="C9" s="5" t="s">
        <x:v>846</x:v>
      </x:c>
      <x:c r="D9" s="5" t="s">
        <x:v>212</x:v>
      </x:c>
      <x:c r="E9" s="5" t="s">
        <x:v>174</x:v>
      </x:c>
      <x:c r="F9" s="5" t="s">
        <x:v>841</x:v>
      </x:c>
      <x:c r="G9" s="5" t="s">
        <x:v>847</x:v>
      </x:c>
      <x:c r="H9" s="5" t="s">
        <x:v>848</x:v>
      </x:c>
      <x:c r="I9" s="5" t="s">
        <x:v>827</x:v>
      </x:c>
      <x:c r="J9" s="5" t="s">
        <x:v>849</x:v>
      </x:c>
      <x:c r="K9" s="5" t="s">
        <x:v>181</x:v>
      </x:c>
      <x:c r="L9" s="5" t="s">
        <x:v>8</x:v>
      </x:c>
      <x:c r="M9" s="6" t="s">
        <x:v>105</x:v>
      </x:c>
    </x:row>
    <x:row r="10" ht="23">
      <x:c r="A10" s="4" t="s">
        <x:v>244</x:v>
      </x:c>
      <x:c r="B10" s="5" t="s">
        <x:v>829</x:v>
      </x:c>
      <x:c r="C10" s="5" t="s">
        <x:v>218</x:v>
      </x:c>
      <x:c r="D10" s="5" t="s">
        <x:v>245</x:v>
      </x:c>
      <x:c r="E10" s="5" t="s">
        <x:v>246</x:v>
      </x:c>
      <x:c r="F10" s="5" t="s">
        <x:v>850</x:v>
      </x:c>
      <x:c r="G10" s="5" t="s">
        <x:v>851</x:v>
      </x:c>
      <x:c r="H10" s="5" t="s">
        <x:v>852</x:v>
      </x:c>
      <x:c r="I10" s="5" t="s">
        <x:v>827</x:v>
      </x:c>
      <x:c r="J10" s="5" t="s">
        <x:v>853</x:v>
      </x:c>
      <x:c r="K10" s="5" t="s">
        <x:v>218</x:v>
      </x:c>
      <x:c r="L10" s="5" t="s">
        <x:v>8</x:v>
      </x:c>
      <x:c r="M10" s="6" t="s">
        <x:v>105</x:v>
      </x:c>
    </x:row>
    <x:row r="11">
      <x:c r="A11" s="4" t="s">
        <x:v>854</x:v>
      </x:c>
      <x:c r="B11" s="5" t="s">
        <x:v>829</x:v>
      </x:c>
      <x:c r="C11" s="5" t="s">
        <x:v>284</x:v>
      </x:c>
      <x:c r="D11" s="5" t="s">
        <x:v>245</x:v>
      </x:c>
      <x:c r="E11" s="5" t="s">
        <x:v>246</x:v>
      </x:c>
      <x:c r="F11" s="5" t="s">
        <x:v>855</x:v>
      </x:c>
      <x:c r="G11" s="5" t="s">
        <x:v>856</x:v>
      </x:c>
      <x:c r="H11" s="5" t="s">
        <x:v>857</x:v>
      </x:c>
      <x:c r="I11" s="5" t="s">
        <x:v>827</x:v>
      </x:c>
      <x:c r="J11" s="5" t="s">
        <x:v>858</x:v>
      </x:c>
      <x:c r="K11" s="5" t="s">
        <x:v>284</x:v>
      </x:c>
      <x:c r="L11" s="5" t="s">
        <x:v>8</x:v>
      </x:c>
      <x:c r="M11" s="6" t="s">
        <x:v>105</x:v>
      </x:c>
    </x:row>
    <x:row r="12">
      <x:c r="A12" s="4" t="s">
        <x:v>859</x:v>
      </x:c>
      <x:c r="B12" s="5" t="s">
        <x:v>860</x:v>
      </x:c>
      <x:c r="C12" s="5" t="s">
        <x:v>124</x:v>
      </x:c>
      <x:c r="D12" s="5" t="s">
        <x:v>308</x:v>
      </x:c>
      <x:c r="E12" s="5" t="s">
        <x:v>861</x:v>
      </x:c>
      <x:c r="F12" s="5" t="s">
        <x:v>862</x:v>
      </x:c>
      <x:c r="G12" s="5" t="s">
        <x:v>863</x:v>
      </x:c>
      <x:c r="H12" s="5" t="s">
        <x:v>864</x:v>
      </x:c>
      <x:c r="I12" s="5" t="s">
        <x:v>865</x:v>
      </x:c>
      <x:c r="J12" s="5" t="s">
        <x:v>866</x:v>
      </x:c>
      <x:c r="K12" s="5" t="s">
        <x:v>131</x:v>
      </x:c>
      <x:c r="L12" s="5" t="s">
        <x:v>8</x:v>
      </x:c>
      <x:c r="M12" s="6" t="s">
        <x:v>105</x:v>
      </x:c>
    </x:row>
    <x:row r="13">
      <x:c r="A13" s="4" t="s">
        <x:v>306</x:v>
      </x:c>
      <x:c r="B13" s="5" t="s">
        <x:v>860</x:v>
      </x:c>
      <x:c r="C13" s="5" t="s">
        <x:v>299</x:v>
      </x:c>
      <x:c r="D13" s="5" t="s">
        <x:v>307</x:v>
      </x:c>
      <x:c r="E13" s="5" t="s">
        <x:v>308</x:v>
      </x:c>
      <x:c r="F13" s="5" t="s">
        <x:v>867</x:v>
      </x:c>
      <x:c r="G13" s="5" t="s">
        <x:v>868</x:v>
      </x:c>
      <x:c r="H13" s="5" t="s">
        <x:v>869</x:v>
      </x:c>
      <x:c r="I13" s="5" t="s">
        <x:v>827</x:v>
      </x:c>
      <x:c r="J13" s="5" t="s">
        <x:v>870</x:v>
      </x:c>
      <x:c r="K13" s="5" t="s">
        <x:v>304</x:v>
      </x:c>
      <x:c r="L13" s="5" t="s">
        <x:v>8</x:v>
      </x:c>
      <x:c r="M13" s="6" t="s">
        <x:v>105</x:v>
      </x:c>
    </x:row>
    <x:row r="14" ht="23">
      <x:c r="A14" s="4" t="s">
        <x:v>316</x:v>
      </x:c>
      <x:c r="B14" s="5" t="s">
        <x:v>829</x:v>
      </x:c>
      <x:c r="C14" s="5" t="s">
        <x:v>314</x:v>
      </x:c>
      <x:c r="D14" s="5" t="s">
        <x:v>620</x:v>
      </x:c>
      <x:c r="E14" s="5" t="s">
        <x:v>621</x:v>
      </x:c>
      <x:c r="F14" s="5" t="s">
        <x:v>871</x:v>
      </x:c>
      <x:c r="G14" s="5" t="s">
        <x:v>872</x:v>
      </x:c>
      <x:c r="H14" s="5" t="s">
        <x:v>873</x:v>
      </x:c>
      <x:c r="I14" s="5" t="s">
        <x:v>827</x:v>
      </x:c>
      <x:c r="J14" s="5" t="s">
        <x:v>874</x:v>
      </x:c>
      <x:c r="K14" s="5" t="s">
        <x:v>314</x:v>
      </x:c>
      <x:c r="L14" s="5" t="s">
        <x:v>8</x:v>
      </x:c>
      <x:c r="M14" s="6" t="s">
        <x:v>105</x:v>
      </x:c>
    </x:row>
    <x:row r="15" ht="23">
      <x:c r="A15" s="4" t="s">
        <x:v>333</x:v>
      </x:c>
      <x:c r="B15" s="5" t="s">
        <x:v>829</x:v>
      </x:c>
      <x:c r="C15" s="5" t="s">
        <x:v>332</x:v>
      </x:c>
      <x:c r="D15" s="5" t="s">
        <x:v>342</x:v>
      </x:c>
      <x:c r="E15" s="5" t="s">
        <x:v>343</x:v>
      </x:c>
      <x:c r="F15" s="5" t="s">
        <x:v>875</x:v>
      </x:c>
      <x:c r="G15" s="5" t="s">
        <x:v>876</x:v>
      </x:c>
      <x:c r="H15" s="5" t="s">
        <x:v>877</x:v>
      </x:c>
      <x:c r="I15" s="5" t="s">
        <x:v>827</x:v>
      </x:c>
      <x:c r="J15" s="5" t="s">
        <x:v>878</x:v>
      </x:c>
      <x:c r="K15" s="5" t="s">
        <x:v>332</x:v>
      </x:c>
      <x:c r="L15" s="5" t="s">
        <x:v>8</x:v>
      </x:c>
      <x:c r="M15" s="6" t="s">
        <x:v>105</x:v>
      </x:c>
    </x:row>
    <x:row r="16">
      <x:c r="A16" s="4" t="s">
        <x:v>879</x:v>
      </x:c>
      <x:c r="B16" s="5" t="s">
        <x:v>880</x:v>
      </x:c>
      <x:c r="C16" s="5" t="s">
        <x:v>881</x:v>
      </x:c>
      <x:c r="D16" s="5" t="s">
        <x:v>882</x:v>
      </x:c>
      <x:c r="E16" s="5" t="s">
        <x:v>883</x:v>
      </x:c>
      <x:c r="F16" s="5" t="s">
        <x:v>884</x:v>
      </x:c>
      <x:c r="G16" s="5" t="s">
        <x:v>885</x:v>
      </x:c>
      <x:c r="H16" s="5" t="s">
        <x:v>886</x:v>
      </x:c>
      <x:c r="I16" s="5" t="s">
        <x:v>827</x:v>
      </x:c>
      <x:c r="J16" s="5" t="s">
        <x:v>887</x:v>
      </x:c>
      <x:c r="K16" s="5"/>
      <x:c r="L16" s="5" t="s">
        <x:v>8</x:v>
      </x:c>
      <x:c r="M16" s="6" t="s">
        <x:v>105</x:v>
      </x:c>
    </x:row>
    <x:row r="17" ht="23">
      <x:c r="A17" s="4" t="s">
        <x:v>145</x:v>
      </x:c>
      <x:c r="B17" s="5" t="s">
        <x:v>888</x:v>
      </x:c>
      <x:c r="C17" s="5" t="s">
        <x:v>889</x:v>
      </x:c>
      <x:c r="D17" s="5" t="s">
        <x:v>890</x:v>
      </x:c>
      <x:c r="E17" s="5" t="s">
        <x:v>891</x:v>
      </x:c>
      <x:c r="F17" s="5" t="s">
        <x:v>892</x:v>
      </x:c>
      <x:c r="G17" s="5" t="s">
        <x:v>893</x:v>
      </x:c>
      <x:c r="H17" s="5" t="s">
        <x:v>894</x:v>
      </x:c>
      <x:c r="I17" s="5" t="s">
        <x:v>827</x:v>
      </x:c>
      <x:c r="J17" s="5" t="s">
        <x:v>895</x:v>
      </x:c>
      <x:c r="K17" s="5" t="s">
        <x:v>143</x:v>
      </x:c>
      <x:c r="L17" s="5" t="s">
        <x:v>8</x:v>
      </x:c>
      <x:c r="M17" s="6" t="s">
        <x:v>105</x:v>
      </x:c>
    </x:row>
    <x:row r="18" ht="23">
      <x:c r="A18" s="4" t="s">
        <x:v>155</x:v>
      </x:c>
      <x:c r="B18" s="5" t="s">
        <x:v>888</x:v>
      </x:c>
      <x:c r="C18" s="5" t="s">
        <x:v>896</x:v>
      </x:c>
      <x:c r="D18" s="5" t="s">
        <x:v>388</x:v>
      </x:c>
      <x:c r="E18" s="5" t="s">
        <x:v>389</x:v>
      </x:c>
      <x:c r="F18" s="5" t="s">
        <x:v>897</x:v>
      </x:c>
      <x:c r="G18" s="5" t="s">
        <x:v>898</x:v>
      </x:c>
      <x:c r="H18" s="5" t="s">
        <x:v>899</x:v>
      </x:c>
      <x:c r="I18" s="5" t="s">
        <x:v>827</x:v>
      </x:c>
      <x:c r="J18" s="5" t="s">
        <x:v>849</x:v>
      </x:c>
      <x:c r="K18" s="5" t="s">
        <x:v>143</x:v>
      </x:c>
      <x:c r="L18" s="5" t="s">
        <x:v>8</x:v>
      </x:c>
      <x:c r="M18" s="6" t="s">
        <x:v>105</x:v>
      </x:c>
    </x:row>
    <x:row r="19" ht="23">
      <x:c r="A19" s="4" t="s">
        <x:v>253</x:v>
      </x:c>
      <x:c r="B19" s="5" t="s">
        <x:v>888</x:v>
      </x:c>
      <x:c r="C19" s="5" t="s">
        <x:v>900</x:v>
      </x:c>
      <x:c r="D19" s="5" t="s">
        <x:v>901</x:v>
      </x:c>
      <x:c r="E19" s="5" t="s">
        <x:v>902</x:v>
      </x:c>
      <x:c r="F19" s="5" t="s">
        <x:v>903</x:v>
      </x:c>
      <x:c r="G19" s="5" t="s">
        <x:v>904</x:v>
      </x:c>
      <x:c r="H19" s="5" t="s">
        <x:v>905</x:v>
      </x:c>
      <x:c r="I19" s="5" t="s">
        <x:v>827</x:v>
      </x:c>
      <x:c r="J19" s="5" t="s">
        <x:v>849</x:v>
      </x:c>
      <x:c r="K19" s="5" t="s">
        <x:v>218</x:v>
      </x:c>
      <x:c r="L19" s="5" t="s">
        <x:v>8</x:v>
      </x:c>
      <x:c r="M19" s="6" t="s">
        <x:v>105</x:v>
      </x:c>
    </x:row>
    <x:row r="20">
      <x:c r="A20" s="4" t="s">
        <x:v>325</x:v>
      </x:c>
      <x:c r="B20" s="5" t="s">
        <x:v>888</x:v>
      </x:c>
      <x:c r="C20" s="5" t="s">
        <x:v>906</x:v>
      </x:c>
      <x:c r="D20" s="5" t="s">
        <x:v>410</x:v>
      </x:c>
      <x:c r="E20" s="5" t="s">
        <x:v>411</x:v>
      </x:c>
      <x:c r="F20" s="5" t="s">
        <x:v>907</x:v>
      </x:c>
      <x:c r="G20" s="5" t="s">
        <x:v>908</x:v>
      </x:c>
      <x:c r="H20" s="5" t="s">
        <x:v>909</x:v>
      </x:c>
      <x:c r="I20" s="5" t="s">
        <x:v>827</x:v>
      </x:c>
      <x:c r="J20" s="5" t="s">
        <x:v>849</x:v>
      </x:c>
      <x:c r="K20" s="5" t="s">
        <x:v>314</x:v>
      </x:c>
      <x:c r="L20" s="5" t="s">
        <x:v>8</x:v>
      </x:c>
      <x:c r="M20" s="6" t="s">
        <x:v>105</x:v>
      </x:c>
    </x:row>
    <x:row r="21">
      <x:c r="A21" s="4" t="s">
        <x:v>202</x:v>
      </x:c>
      <x:c r="B21" s="5" t="s">
        <x:v>888</x:v>
      </x:c>
      <x:c r="C21" s="5" t="s">
        <x:v>910</x:v>
      </x:c>
      <x:c r="D21" s="5" t="s">
        <x:v>796</x:v>
      </x:c>
      <x:c r="E21" s="5" t="s">
        <x:v>797</x:v>
      </x:c>
      <x:c r="F21" s="5" t="s">
        <x:v>911</x:v>
      </x:c>
      <x:c r="G21" s="5" t="s">
        <x:v>912</x:v>
      </x:c>
      <x:c r="H21" s="5" t="s">
        <x:v>913</x:v>
      </x:c>
      <x:c r="I21" s="5" t="s">
        <x:v>827</x:v>
      </x:c>
      <x:c r="J21" s="5" t="s">
        <x:v>849</x:v>
      </x:c>
      <x:c r="K21" s="5" t="s">
        <x:v>171</x:v>
      </x:c>
      <x:c r="L21" s="5" t="s">
        <x:v>8</x:v>
      </x:c>
      <x:c r="M21" s="6" t="s">
        <x:v>105</x:v>
      </x:c>
    </x:row>
    <x:row r="22" ht="23">
      <x:c r="A22" s="4" t="s">
        <x:v>220</x:v>
      </x:c>
      <x:c r="B22" s="5" t="s">
        <x:v>888</x:v>
      </x:c>
      <x:c r="C22" s="5" t="s">
        <x:v>914</x:v>
      </x:c>
      <x:c r="D22" s="5" t="s">
        <x:v>915</x:v>
      </x:c>
      <x:c r="E22" s="5" t="s">
        <x:v>916</x:v>
      </x:c>
      <x:c r="F22" s="5" t="s">
        <x:v>917</x:v>
      </x:c>
      <x:c r="G22" s="5" t="s">
        <x:v>918</x:v>
      </x:c>
      <x:c r="H22" s="5" t="s">
        <x:v>919</x:v>
      </x:c>
      <x:c r="I22" s="5" t="s">
        <x:v>920</x:v>
      </x:c>
      <x:c r="J22" s="5" t="s">
        <x:v>921</x:v>
      </x:c>
      <x:c r="K22" s="5" t="s">
        <x:v>218</x:v>
      </x:c>
      <x:c r="L22" s="5" t="s">
        <x:v>8</x:v>
      </x:c>
      <x:c r="M22" s="6" t="s">
        <x:v>105</x:v>
      </x:c>
    </x:row>
    <x:row r="23" ht="23">
      <x:c r="A23" s="4" t="s">
        <x:v>475</x:v>
      </x:c>
      <x:c r="B23" s="5" t="s">
        <x:v>922</x:v>
      </x:c>
      <x:c r="C23" s="5" t="s">
        <x:v>923</x:v>
      </x:c>
      <x:c r="D23" s="5" t="s">
        <x:v>924</x:v>
      </x:c>
      <x:c r="E23" s="5" t="s">
        <x:v>925</x:v>
      </x:c>
      <x:c r="F23" s="5" t="s">
        <x:v>824</x:v>
      </x:c>
      <x:c r="G23" s="5" t="s">
        <x:v>926</x:v>
      </x:c>
      <x:c r="H23" s="5" t="s">
        <x:v>927</x:v>
      </x:c>
      <x:c r="I23" s="5" t="s">
        <x:v>827</x:v>
      </x:c>
      <x:c r="J23" s="5" t="s">
        <x:v>928</x:v>
      </x:c>
      <x:c r="K23" s="5"/>
      <x:c r="L23" s="5" t="s">
        <x:v>8</x:v>
      </x:c>
      <x:c r="M23" s="6" t="s">
        <x:v>105</x:v>
      </x:c>
    </x:row>
    <x:row r="24" ht="23">
      <x:c r="A24" s="4" t="s">
        <x:v>120</x:v>
      </x:c>
      <x:c r="B24" s="5" t="s">
        <x:v>929</x:v>
      </x:c>
      <x:c r="C24" s="5" t="s">
        <x:v>930</x:v>
      </x:c>
      <x:c r="D24" s="5" t="s">
        <x:v>90</x:v>
      </x:c>
      <x:c r="E24" s="5" t="s">
        <x:v>90</x:v>
      </x:c>
      <x:c r="F24" s="5" t="s">
        <x:v>931</x:v>
      </x:c>
      <x:c r="G24" s="5" t="s">
        <x:v>932</x:v>
      </x:c>
      <x:c r="H24" s="5" t="s">
        <x:v>933</x:v>
      </x:c>
      <x:c r="I24" s="5" t="s">
        <x:v>827</x:v>
      </x:c>
      <x:c r="J24" s="5" t="s">
        <x:v>934</x:v>
      </x:c>
      <x:c r="K24" s="5"/>
      <x:c r="L24" s="5" t="s">
        <x:v>935</x:v>
      </x:c>
      <x:c r="M24" s="6" t="s">
        <x:v>105</x:v>
      </x:c>
    </x:row>
    <x:row r="25">
      <x:c r="A25" s="4" t="s">
        <x:v>936</x:v>
      </x:c>
      <x:c r="B25" s="5" t="s">
        <x:v>937</x:v>
      </x:c>
      <x:c r="C25" s="5" t="s">
        <x:v>938</x:v>
      </x:c>
      <x:c r="D25" s="5" t="s">
        <x:v>90</x:v>
      </x:c>
      <x:c r="E25" s="5" t="s">
        <x:v>90</x:v>
      </x:c>
      <x:c r="F25" s="5" t="s">
        <x:v>939</x:v>
      </x:c>
      <x:c r="G25" s="5" t="s">
        <x:v>940</x:v>
      </x:c>
      <x:c r="H25" s="5" t="s">
        <x:v>941</x:v>
      </x:c>
      <x:c r="I25" s="5" t="s">
        <x:v>827</x:v>
      </x:c>
      <x:c r="J25" s="5" t="s">
        <x:v>942</x:v>
      </x:c>
      <x:c r="K25" s="5"/>
      <x:c r="L25" s="5" t="s">
        <x:v>943</x:v>
      </x:c>
      <x:c r="M25" s="6" t="s">
        <x:v>105</x:v>
      </x:c>
    </x:row>
    <x:row r="26">
      <x:c r="A26" s="4" t="s">
        <x:v>944</x:v>
      </x:c>
      <x:c r="B26" s="5" t="s">
        <x:v>945</x:v>
      </x:c>
      <x:c r="C26" s="5" t="s">
        <x:v>946</x:v>
      </x:c>
      <x:c r="D26" s="5" t="s">
        <x:v>947</x:v>
      </x:c>
      <x:c r="E26" s="5" t="s">
        <x:v>948</x:v>
      </x:c>
      <x:c r="F26" s="5" t="s">
        <x:v>949</x:v>
      </x:c>
      <x:c r="G26" s="5" t="s">
        <x:v>950</x:v>
      </x:c>
      <x:c r="H26" s="5" t="s">
        <x:v>951</x:v>
      </x:c>
      <x:c r="I26" s="5" t="s">
        <x:v>827</x:v>
      </x:c>
      <x:c r="J26" s="5" t="s">
        <x:v>952</x:v>
      </x:c>
      <x:c r="K26" s="5"/>
      <x:c r="L26" s="5" t="s">
        <x:v>8</x:v>
      </x:c>
      <x:c r="M26" s="6" t="s">
        <x:v>105</x:v>
      </x:c>
    </x:row>
    <x:row r="27" ht="23">
      <x:c r="A27" s="7" t="s">
        <x:v>953</x:v>
      </x:c>
      <x:c r="B27" s="8" t="s">
        <x:v>954</x:v>
      </x:c>
      <x:c r="C27" s="8" t="s">
        <x:v>955</x:v>
      </x:c>
      <x:c r="D27" s="8" t="s">
        <x:v>212</x:v>
      </x:c>
      <x:c r="E27" s="8" t="s">
        <x:v>174</x:v>
      </x:c>
      <x:c r="F27" s="8" t="s">
        <x:v>841</x:v>
      </x:c>
      <x:c r="G27" s="8" t="s">
        <x:v>956</x:v>
      </x:c>
      <x:c r="H27" s="8" t="s">
        <x:v>957</x:v>
      </x:c>
      <x:c r="I27" s="8" t="s">
        <x:v>827</x:v>
      </x:c>
      <x:c r="J27" s="8" t="s">
        <x:v>958</x:v>
      </x:c>
      <x:c r="K27" s="8" t="s">
        <x:v>181</x:v>
      </x:c>
      <x:c r="L27" s="8" t="s">
        <x:v>8</x:v>
      </x:c>
      <x:c r="M27" s="9" t="s">
        <x:v>105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2f35b4a65674a38"/>
  </x:tableParts>
</x:worksheet>
</file>

<file path=xl/worksheets/sheet7.xml><?xml version="1.0" encoding="utf-8"?>
<x:worksheet xmlns:x="http://schemas.openxmlformats.org/spreadsheetml/2006/main">
  <x:sheetFormatPr defaultRowHeight="14"/>
  <x:cols>
    <x:col min="1" max="1" width="13" customWidth="1"/>
    <x:col min="2" max="2" width="18" customWidth="1"/>
    <x:col min="3" max="3" width="24" customWidth="1"/>
    <x:col min="4" max="4" width="12" customWidth="1"/>
    <x:col min="5" max="5" width="52" customWidth="1"/>
    <x:col min="6" max="6" width="28" customWidth="1"/>
    <x:col min="7" max="7" width="34" customWidth="1"/>
    <x:col min="8" max="8" width="44" customWidth="1"/>
    <x:col min="9" max="9" width="20" customWidth="1"/>
    <x:col min="10" max="10" width="38" customWidth="1"/>
    <x:col min="11" max="11" width="14" customWidth="1"/>
  </x:cols>
  <x:sheetData>
    <x:row r="1" ht="12" customHeight="1">
      <x:c r="A1" s="37" t="s">
        <x:v>959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24" customHeight="1">
      <x:c r="A2" s="38" t="s">
        <x:v>960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</x:row>
    <x:row r="4" ht="28" customHeight="1">
      <x:c r="A4" s="13" t="s">
        <x:v>961</x:v>
      </x:c>
      <x:c r="B4" s="14" t="s">
        <x:v>962</x:v>
      </x:c>
      <x:c r="C4" s="14" t="s">
        <x:v>963</x:v>
      </x:c>
      <x:c r="D4" s="14" t="s">
        <x:v>964</x:v>
      </x:c>
      <x:c r="E4" s="14" t="s">
        <x:v>965</x:v>
      </x:c>
      <x:c r="F4" s="14" t="s">
        <x:v>966</x:v>
      </x:c>
      <x:c r="G4" s="14" t="s">
        <x:v>967</x:v>
      </x:c>
      <x:c r="H4" s="14" t="s">
        <x:v>968</x:v>
      </x:c>
      <x:c r="I4" s="14" t="s">
        <x:v>969</x:v>
      </x:c>
      <x:c r="J4" s="14" t="s">
        <x:v>84</x:v>
      </x:c>
      <x:c r="K4" s="15" t="s">
        <x:v>970</x:v>
      </x:c>
    </x:row>
    <x:row r="5" ht="23">
      <x:c r="A5" s="1" t="s">
        <x:v>971</x:v>
      </x:c>
      <x:c r="B5" s="2" t="s">
        <x:v>972</x:v>
      </x:c>
      <x:c r="C5" s="2" t="s">
        <x:v>973</x:v>
      </x:c>
      <x:c r="D5" s="2" t="s">
        <x:v>974</x:v>
      </x:c>
      <x:c r="E5" s="2" t="s">
        <x:v>975</x:v>
      </x:c>
      <x:c r="F5" s="2" t="s">
        <x:v>173</x:v>
      </x:c>
      <x:c r="G5" s="2" t="s">
        <x:v>976</x:v>
      </x:c>
      <x:c r="H5" s="2" t="s">
        <x:v>977</x:v>
      </x:c>
      <x:c r="I5" s="20" t="str">
        <x:v>确认通过</x:v>
      </x:c>
      <x:c r="J5" s="20" t="str">
        <x:v>用户已确认按 proposed_action 处理；阶段八审查复核通过。</x:v>
      </x:c>
      <x:c r="K5" s="22" t="str">
        <x:v>已关闭</x:v>
      </x:c>
    </x:row>
    <x:row r="6" ht="23">
      <x:c r="A6" s="4" t="s">
        <x:v>978</x:v>
      </x:c>
      <x:c r="B6" s="5" t="s">
        <x:v>979</x:v>
      </x:c>
      <x:c r="C6" s="5" t="s">
        <x:v>980</x:v>
      </x:c>
      <x:c r="D6" s="5" t="s">
        <x:v>981</x:v>
      </x:c>
      <x:c r="E6" s="5" t="s">
        <x:v>982</x:v>
      </x:c>
      <x:c r="F6" s="5" t="s">
        <x:v>183</x:v>
      </x:c>
      <x:c r="G6" s="5" t="s">
        <x:v>983</x:v>
      </x:c>
      <x:c r="H6" s="5" t="s">
        <x:v>984</x:v>
      </x:c>
      <x:c r="I6" s="19" t="str">
        <x:v>确认通过</x:v>
      </x:c>
      <x:c r="J6" s="19" t="str">
        <x:v>用户已确认按 proposed_action 处理；阶段八审查复核通过。</x:v>
      </x:c>
      <x:c r="K6" s="23" t="str">
        <x:v>已关闭</x:v>
      </x:c>
    </x:row>
    <x:row r="7" ht="23">
      <x:c r="A7" s="4" t="s">
        <x:v>985</x:v>
      </x:c>
      <x:c r="B7" s="5" t="s">
        <x:v>972</x:v>
      </x:c>
      <x:c r="C7" s="5" t="s">
        <x:v>223</x:v>
      </x:c>
      <x:c r="D7" s="5" t="s">
        <x:v>974</x:v>
      </x:c>
      <x:c r="E7" s="5" t="s">
        <x:v>986</x:v>
      </x:c>
      <x:c r="F7" s="5" t="s">
        <x:v>229</x:v>
      </x:c>
      <x:c r="G7" s="5" t="s">
        <x:v>987</x:v>
      </x:c>
      <x:c r="H7" s="5" t="s">
        <x:v>988</x:v>
      </x:c>
      <x:c r="I7" s="20" t="str">
        <x:v>确认通过</x:v>
      </x:c>
      <x:c r="J7" s="19" t="str">
        <x:v>用户已确认按 proposed_action 处理；阶段八审查复核通过。</x:v>
      </x:c>
      <x:c r="K7" s="23" t="str">
        <x:v>已关闭</x:v>
      </x:c>
    </x:row>
    <x:row r="8">
      <x:c r="A8" s="4" t="s">
        <x:v>989</x:v>
      </x:c>
      <x:c r="B8" s="5" t="s">
        <x:v>972</x:v>
      </x:c>
      <x:c r="C8" s="5" t="s">
        <x:v>291</x:v>
      </x:c>
      <x:c r="D8" s="5" t="s">
        <x:v>974</x:v>
      </x:c>
      <x:c r="E8" s="5" t="s">
        <x:v>990</x:v>
      </x:c>
      <x:c r="F8" s="5" t="s">
        <x:v>296</x:v>
      </x:c>
      <x:c r="G8" s="5" t="s">
        <x:v>991</x:v>
      </x:c>
      <x:c r="H8" s="5" t="s">
        <x:v>992</x:v>
      </x:c>
      <x:c r="I8" s="19" t="str">
        <x:v>确认通过</x:v>
      </x:c>
      <x:c r="J8" s="19" t="str">
        <x:v>用户已确认按 proposed_action 处理；阶段八审查复核通过。</x:v>
      </x:c>
      <x:c r="K8" s="23" t="str">
        <x:v>已关闭</x:v>
      </x:c>
    </x:row>
    <x:row r="9" ht="23">
      <x:c r="A9" s="4" t="s">
        <x:v>993</x:v>
      </x:c>
      <x:c r="B9" s="5" t="s">
        <x:v>972</x:v>
      </x:c>
      <x:c r="C9" s="5" t="s">
        <x:v>309</x:v>
      </x:c>
      <x:c r="D9" s="5" t="s">
        <x:v>974</x:v>
      </x:c>
      <x:c r="E9" s="5" t="s">
        <x:v>994</x:v>
      </x:c>
      <x:c r="F9" s="5" t="s">
        <x:v>316</x:v>
      </x:c>
      <x:c r="G9" s="5" t="s">
        <x:v>995</x:v>
      </x:c>
      <x:c r="H9" s="5" t="s">
        <x:v>992</x:v>
      </x:c>
      <x:c r="I9" s="20" t="str">
        <x:v>确认通过</x:v>
      </x:c>
      <x:c r="J9" s="19" t="str">
        <x:v>用户已确认按 proposed_action 处理；阶段八审查复核通过。</x:v>
      </x:c>
      <x:c r="K9" s="23" t="str">
        <x:v>已关闭</x:v>
      </x:c>
    </x:row>
    <x:row r="10" ht="23">
      <x:c r="A10" s="4" t="s">
        <x:v>996</x:v>
      </x:c>
      <x:c r="B10" s="5" t="s">
        <x:v>972</x:v>
      </x:c>
      <x:c r="C10" s="5" t="s">
        <x:v>334</x:v>
      </x:c>
      <x:c r="D10" s="5" t="s">
        <x:v>974</x:v>
      </x:c>
      <x:c r="E10" s="5" t="s">
        <x:v>997</x:v>
      </x:c>
      <x:c r="F10" s="5" t="s">
        <x:v>340</x:v>
      </x:c>
      <x:c r="G10" s="5" t="s">
        <x:v>998</x:v>
      </x:c>
      <x:c r="H10" s="5" t="s">
        <x:v>999</x:v>
      </x:c>
      <x:c r="I10" s="19" t="str">
        <x:v>确认通过</x:v>
      </x:c>
      <x:c r="J10" s="19" t="str">
        <x:v>用户已确认按 proposed_action 处理；阶段八审查复核通过。</x:v>
      </x:c>
      <x:c r="K10" s="23" t="str">
        <x:v>已关闭</x:v>
      </x:c>
    </x:row>
    <x:row r="11">
      <x:c r="A11" s="4" t="s">
        <x:v>1000</x:v>
      </x:c>
      <x:c r="B11" s="5" t="s">
        <x:v>972</x:v>
      </x:c>
      <x:c r="C11" s="5" t="s">
        <x:v>356</x:v>
      </x:c>
      <x:c r="D11" s="5" t="s">
        <x:v>974</x:v>
      </x:c>
      <x:c r="E11" s="5" t="s">
        <x:v>1001</x:v>
      </x:c>
      <x:c r="F11" s="5" t="s">
        <x:v>340</x:v>
      </x:c>
      <x:c r="G11" s="5" t="s">
        <x:v>1002</x:v>
      </x:c>
      <x:c r="H11" s="5" t="s">
        <x:v>999</x:v>
      </x:c>
      <x:c r="I11" s="20" t="str">
        <x:v>确认通过</x:v>
      </x:c>
      <x:c r="J11" s="19" t="str">
        <x:v>用户已确认按 proposed_action 处理；阶段八审查复核通过。</x:v>
      </x:c>
      <x:c r="K11" s="23" t="str">
        <x:v>已关闭</x:v>
      </x:c>
    </x:row>
    <x:row r="12" ht="23">
      <x:c r="A12" s="4" t="s">
        <x:v>1003</x:v>
      </x:c>
      <x:c r="B12" s="5" t="s">
        <x:v>972</x:v>
      </x:c>
      <x:c r="C12" s="5" t="s">
        <x:v>124</x:v>
      </x:c>
      <x:c r="D12" s="5" t="s">
        <x:v>974</x:v>
      </x:c>
      <x:c r="E12" s="5" t="s">
        <x:v>1004</x:v>
      </x:c>
      <x:c r="F12" s="5" t="s">
        <x:v>134</x:v>
      </x:c>
      <x:c r="G12" s="5" t="s">
        <x:v>1005</x:v>
      </x:c>
      <x:c r="H12" s="5" t="s">
        <x:v>1006</x:v>
      </x:c>
      <x:c r="I12" s="19" t="str">
        <x:v>确认通过</x:v>
      </x:c>
      <x:c r="J12" s="19" t="str">
        <x:v>用户已确认按 proposed_action 处理；阶段八审查复核通过。</x:v>
      </x:c>
      <x:c r="K12" s="23" t="str">
        <x:v>已关闭</x:v>
      </x:c>
    </x:row>
    <x:row r="13">
      <x:c r="A13" s="4" t="s">
        <x:v>1007</x:v>
      </x:c>
      <x:c r="B13" s="5" t="s">
        <x:v>972</x:v>
      </x:c>
      <x:c r="C13" s="5" t="s">
        <x:v>299</x:v>
      </x:c>
      <x:c r="D13" s="5" t="s">
        <x:v>974</x:v>
      </x:c>
      <x:c r="E13" s="5" t="s">
        <x:v>1008</x:v>
      </x:c>
      <x:c r="F13" s="5" t="s">
        <x:v>306</x:v>
      </x:c>
      <x:c r="G13" s="5" t="s">
        <x:v>1009</x:v>
      </x:c>
      <x:c r="H13" s="5" t="s">
        <x:v>1010</x:v>
      </x:c>
      <x:c r="I13" s="20" t="str">
        <x:v>确认通过</x:v>
      </x:c>
      <x:c r="J13" s="19" t="str">
        <x:v>用户已确认按 proposed_action 处理；阶段八审查复核通过。</x:v>
      </x:c>
      <x:c r="K13" s="23" t="str">
        <x:v>已关闭</x:v>
      </x:c>
    </x:row>
    <x:row r="14" ht="23">
      <x:c r="A14" s="4" t="s">
        <x:v>1011</x:v>
      </x:c>
      <x:c r="B14" s="5" t="s">
        <x:v>1012</x:v>
      </x:c>
      <x:c r="C14" s="5" t="s">
        <x:v>1013</x:v>
      </x:c>
      <x:c r="D14" s="5" t="s">
        <x:v>981</x:v>
      </x:c>
      <x:c r="E14" s="5" t="s">
        <x:v>1014</x:v>
      </x:c>
      <x:c r="F14" s="5" t="s">
        <x:v>1015</x:v>
      </x:c>
      <x:c r="G14" s="5" t="s">
        <x:v>1016</x:v>
      </x:c>
      <x:c r="H14" s="5" t="s">
        <x:v>1017</x:v>
      </x:c>
      <x:c r="I14" s="19" t="str">
        <x:v>确认通过</x:v>
      </x:c>
      <x:c r="J14" s="19" t="str">
        <x:v>用户已确认按 proposed_action 处理；阶段八审查复核通过。</x:v>
      </x:c>
      <x:c r="K14" s="23" t="str">
        <x:v>已关闭</x:v>
      </x:c>
    </x:row>
    <x:row r="15" ht="23">
      <x:c r="A15" s="4" t="s">
        <x:v>1018</x:v>
      </x:c>
      <x:c r="B15" s="5" t="s">
        <x:v>1019</x:v>
      </x:c>
      <x:c r="C15" s="5" t="s">
        <x:v>1020</x:v>
      </x:c>
      <x:c r="D15" s="5" t="s">
        <x:v>1021</x:v>
      </x:c>
      <x:c r="E15" s="5" t="s">
        <x:v>1022</x:v>
      </x:c>
      <x:c r="F15" s="5" t="s">
        <x:v>1023</x:v>
      </x:c>
      <x:c r="G15" s="5" t="s">
        <x:v>1024</x:v>
      </x:c>
      <x:c r="H15" s="5" t="s">
        <x:v>1025</x:v>
      </x:c>
      <x:c r="I15" s="20" t="str">
        <x:v>确认通过</x:v>
      </x:c>
      <x:c r="J15" s="19" t="str">
        <x:v>用户已确认按 proposed_action 处理；阶段八审查复核通过。</x:v>
      </x:c>
      <x:c r="K15" s="23" t="str">
        <x:v>已关闭</x:v>
      </x:c>
    </x:row>
    <x:row r="16">
      <x:c r="A16" s="4" t="s">
        <x:v>1026</x:v>
      </x:c>
      <x:c r="B16" s="5" t="s">
        <x:v>829</x:v>
      </x:c>
      <x:c r="C16" s="5" t="s">
        <x:v>1027</x:v>
      </x:c>
      <x:c r="D16" s="5" t="s">
        <x:v>1028</x:v>
      </x:c>
      <x:c r="E16" s="5" t="s">
        <x:v>1029</x:v>
      </x:c>
      <x:c r="F16" s="5" t="s">
        <x:v>1030</x:v>
      </x:c>
      <x:c r="G16" s="5" t="s">
        <x:v>1031</x:v>
      </x:c>
      <x:c r="H16" s="5" t="s">
        <x:v>1032</x:v>
      </x:c>
      <x:c r="I16" s="19" t="str">
        <x:v>确认通过</x:v>
      </x:c>
      <x:c r="J16" s="19" t="str">
        <x:v>用户已确认按 proposed_action 处理；阶段八审查复核通过。</x:v>
      </x:c>
      <x:c r="K16" s="23" t="str">
        <x:v>已关闭</x:v>
      </x:c>
    </x:row>
    <x:row r="17">
      <x:c r="A17" s="4" t="s">
        <x:v>1033</x:v>
      </x:c>
      <x:c r="B17" s="5" t="s">
        <x:v>829</x:v>
      </x:c>
      <x:c r="C17" s="5" t="s">
        <x:v>1034</x:v>
      </x:c>
      <x:c r="D17" s="5" t="s">
        <x:v>1035</x:v>
      </x:c>
      <x:c r="E17" s="5" t="s">
        <x:v>1036</x:v>
      </x:c>
      <x:c r="F17" s="5" t="s">
        <x:v>1037</x:v>
      </x:c>
      <x:c r="G17" s="5" t="s">
        <x:v>1038</x:v>
      </x:c>
      <x:c r="H17" s="5" t="s">
        <x:v>1039</x:v>
      </x:c>
      <x:c r="I17" s="20" t="str">
        <x:v>确认通过</x:v>
      </x:c>
      <x:c r="J17" s="19" t="str">
        <x:v>用户已确认按 proposed_action 处理；阶段八审查复核通过。</x:v>
      </x:c>
      <x:c r="K17" s="23" t="str">
        <x:v>已关闭</x:v>
      </x:c>
    </x:row>
    <x:row r="18">
      <x:c r="A18" s="7" t="s">
        <x:v>1040</x:v>
      </x:c>
      <x:c r="B18" s="8" t="s">
        <x:v>928</x:v>
      </x:c>
      <x:c r="C18" s="8" t="s">
        <x:v>124</x:v>
      </x:c>
      <x:c r="D18" s="8" t="s">
        <x:v>1041</x:v>
      </x:c>
      <x:c r="E18" s="8" t="s">
        <x:v>1042</x:v>
      </x:c>
      <x:c r="F18" s="8" t="s">
        <x:v>475</x:v>
      </x:c>
      <x:c r="G18" s="8" t="s">
        <x:v>1043</x:v>
      </x:c>
      <x:c r="H18" s="8" t="s">
        <x:v>1044</x:v>
      </x:c>
      <x:c r="I18" s="19" t="str">
        <x:v>确认通过</x:v>
      </x:c>
      <x:c r="J18" s="21" t="str">
        <x:v>用户已确认按 proposed_action 处理；阶段八审查复核通过。</x:v>
      </x:c>
      <x:c r="K18" s="24" t="str">
        <x:v>已关闭</x:v>
      </x:c>
    </x:row>
  </x:sheetData>
  <x:mergeCells>
    <x:mergeCell ref="A1:K1"/>
    <x:mergeCell ref="A2:K2"/>
  </x:mergeCells>
  <x:conditionalFormatting sqref="K5:K18">
    <x:cfRule type="expression" dxfId="3" priority="1">
      <x:formula>K5="已关闭"</x:formula>
    </x:cfRule>
    <x:cfRule type="expression" dxfId="2" priority="2">
      <x:formula>K5="未关闭"</x:formula>
    </x:cfRule>
  </x:conditionalFormatting>
  <x:dataValidations count="2">
    <x:dataValidation type="list" sqref="I5:I18">
      <x:formula1>"未复核,确认通过,修改后通过,信息不足保留未知,退回复核"</x:formula1>
    </x:dataValidation>
    <x:dataValidation type="list" sqref="K5:K18">
      <x:formula1>"未关闭,已关闭"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f97b838df64ec5"/>
  </x:tableParts>
</x:worksheet>
</file>

<file path=xl/worksheets/sheet8.xml><?xml version="1.0" encoding="utf-8"?>
<x:worksheet xmlns:x="http://schemas.openxmlformats.org/spreadsheetml/2006/main">
  <x:sheetFormatPr defaultRowHeight="14"/>
  <x:cols>
    <x:col min="1" max="1" width="13" customWidth="1"/>
    <x:col min="2" max="2" width="32" customWidth="1"/>
    <x:col min="3" max="3" width="46" customWidth="1"/>
    <x:col min="4" max="4" width="14" customWidth="1"/>
    <x:col min="5" max="5" width="42" customWidth="1"/>
    <x:col min="6" max="6" width="18" customWidth="1"/>
  </x:cols>
  <x:sheetData>
    <x:row r="1" ht="12" customHeight="1">
      <x:c r="A1" s="37" t="s">
        <x:v>1045</x:v>
      </x:c>
      <x:c r="B1" s="37"/>
      <x:c r="C1" s="37"/>
      <x:c r="D1" s="37"/>
      <x:c r="E1" s="37"/>
      <x:c r="F1" s="37"/>
    </x:row>
    <x:row r="2" ht="24" customHeight="1">
      <x:c r="A2" s="38" t="str">
        <x:v>全部结构检查与人工复核闭环检查均应为PASS；阶段状态必须为FINAL_APPROVED。</x:v>
      </x:c>
      <x:c r="B2" s="38"/>
      <x:c r="C2" s="38"/>
      <x:c r="D2" s="38"/>
      <x:c r="E2" s="38"/>
      <x:c r="F2" s="38"/>
    </x:row>
    <x:row r="4" ht="28" customHeight="1">
      <x:c r="A4" s="13" t="s">
        <x:v>1046</x:v>
      </x:c>
      <x:c r="B4" s="14" t="s">
        <x:v>1047</x:v>
      </x:c>
      <x:c r="C4" s="14" t="s">
        <x:v>1048</x:v>
      </x:c>
      <x:c r="D4" s="14" t="s">
        <x:v>1049</x:v>
      </x:c>
      <x:c r="E4" s="14" t="s">
        <x:v>1050</x:v>
      </x:c>
      <x:c r="F4" s="15" t="s">
        <x:v>1051</x:v>
      </x:c>
    </x:row>
    <x:row r="5">
      <x:c r="A5" s="1" t="s">
        <x:v>1052</x:v>
      </x:c>
      <x:c r="B5" s="2" t="s">
        <x:v>1053</x:v>
      </x:c>
      <x:c r="C5" s="2" t="s">
        <x:v>1054</x:v>
      </x:c>
      <x:c r="D5" s="31" t="str">
        <x:f>IF(COUNTBLANK('01_主体主表'!A5:A49)=0,"PASS","FAIL")</x:f>
        <x:v>PASS</x:v>
      </x:c>
      <x:c r="E5" s="31" t="str">
        <x:f>"空白ID数量="&amp;COUNTBLANK('01_主体主表'!A5:A49)</x:f>
        <x:v>空白ID数量=0</x:v>
      </x:c>
      <x:c r="F5" s="32" t="str">
        <x:f t="shared" ref="F5:F15" si="0">IF(D5="PASS","通过","未通过")</x:f>
        <x:v>通过</x:v>
      </x:c>
    </x:row>
    <x:row r="6">
      <x:c r="A6" s="4" t="s">
        <x:v>1055</x:v>
      </x:c>
      <x:c r="B6" s="5" t="s">
        <x:v>1056</x:v>
      </x:c>
      <x:c r="C6" s="5" t="s">
        <x:v>1057</x:v>
      </x:c>
      <x:c r="D6" s="33" t="str">
        <x:f>IF(SUMPRODUCT(--(COUNTIF('01_主体主表'!A5:A49,'01_主体主表'!A5:A49)&gt;1))=0,"PASS","FAIL")</x:f>
        <x:v>PASS</x:v>
      </x:c>
      <x:c r="E6" s="33" t="s">
        <x:v>1058</x:v>
      </x:c>
      <x:c r="F6" s="34" t="str">
        <x:f t="shared" si="0">IF(D6="PASS","通过","未通过")</x:f>
        <x:v>通过</x:v>
      </x:c>
    </x:row>
    <x:row r="7">
      <x:c r="A7" s="4" t="s">
        <x:v>1059</x:v>
      </x:c>
      <x:c r="B7" s="5" t="s">
        <x:v>1060</x:v>
      </x:c>
      <x:c r="C7" s="5" t="s">
        <x:v>1061</x:v>
      </x:c>
      <x:c r="D7" s="33" t="str">
        <x:f>IF(SUMPRODUCT(--(COUNTIF('03_投资事件'!A5:A37,'03_投资事件'!A5:A37)&gt;1))=0,"PASS","FAIL")</x:f>
        <x:v>PASS</x:v>
      </x:c>
      <x:c r="E7" s="33" t="s">
        <x:v>1058</x:v>
      </x:c>
      <x:c r="F7" s="34" t="str">
        <x:f t="shared" si="0">IF(D7="PASS","通过","未通过")</x:f>
        <x:v>通过</x:v>
      </x:c>
    </x:row>
    <x:row r="8">
      <x:c r="A8" s="4" t="s">
        <x:v>1062</x:v>
      </x:c>
      <x:c r="B8" s="5" t="s">
        <x:v>1063</x:v>
      </x:c>
      <x:c r="C8" s="5" t="s">
        <x:v>1064</x:v>
      </x:c>
      <x:c r="D8" s="33" t="str">
        <x:f>IF(COUNTBLANK('03_投资事件'!U5:W37)=0,"PASS","FAIL")</x:f>
        <x:v>PASS</x:v>
      </x:c>
      <x:c r="E8" s="33" t="s">
        <x:v>1065</x:v>
      </x:c>
      <x:c r="F8" s="34" t="str">
        <x:f t="shared" si="0">IF(D8="PASS","通过","未通过")</x:f>
        <x:v>通过</x:v>
      </x:c>
    </x:row>
    <x:row r="9">
      <x:c r="A9" s="4" t="s">
        <x:v>1066</x:v>
      </x:c>
      <x:c r="B9" s="5" t="s">
        <x:v>1067</x:v>
      </x:c>
      <x:c r="C9" s="5" t="s">
        <x:v>1068</x:v>
      </x:c>
      <x:c r="D9" s="33" t="str">
        <x:f>IF(COUNTBLANK('03_投资事件'!J5:K37)=0,"PASS","FAIL")</x:f>
        <x:v>PASS</x:v>
      </x:c>
      <x:c r="E9" s="33" t="s">
        <x:v>1069</x:v>
      </x:c>
      <x:c r="F9" s="34" t="str">
        <x:f t="shared" si="0">IF(D9="PASS","通过","未通过")</x:f>
        <x:v>通过</x:v>
      </x:c>
    </x:row>
    <x:row r="10">
      <x:c r="A10" s="4" t="s">
        <x:v>1070</x:v>
      </x:c>
      <x:c r="B10" s="5" t="s">
        <x:v>1071</x:v>
      </x:c>
      <x:c r="C10" s="5" t="s">
        <x:v>1072</x:v>
      </x:c>
      <x:c r="D10" s="33" t="str">
        <x:f>IF(COUNTIFS('03_投资事件'!R5:R37,"NOT_DISCLOSED",'03_投资事件'!P5:P37,"?*")=0,"PASS","FAIL")</x:f>
        <x:v>PASS</x:v>
      </x:c>
      <x:c r="E10" s="33" t="s">
        <x:v>1073</x:v>
      </x:c>
      <x:c r="F10" s="34" t="str">
        <x:f t="shared" si="0">IF(D10="PASS","通过","未通过")</x:f>
        <x:v>通过</x:v>
      </x:c>
    </x:row>
    <x:row r="11">
      <x:c r="A11" s="4" t="s">
        <x:v>1074</x:v>
      </x:c>
      <x:c r="B11" s="5" t="s">
        <x:v>1075</x:v>
      </x:c>
      <x:c r="C11" s="5" t="s">
        <x:v>1076</x:v>
      </x:c>
      <x:c r="D11" s="33" t="str">
        <x:f>IF(COUNTBLANK('04_投资路径边'!D5:H69)=0,"PASS","FAIL")</x:f>
        <x:v>PASS</x:v>
      </x:c>
      <x:c r="E11" s="33" t="s">
        <x:v>1077</x:v>
      </x:c>
      <x:c r="F11" s="34" t="str">
        <x:f t="shared" si="0">IF(D11="PASS","通过","未通过")</x:f>
        <x:v>通过</x:v>
      </x:c>
    </x:row>
    <x:row r="12">
      <x:c r="A12" s="4" t="s">
        <x:v>1078</x:v>
      </x:c>
      <x:c r="B12" s="5" t="s">
        <x:v>1079</x:v>
      </x:c>
      <x:c r="C12" s="5" t="s">
        <x:v>1080</x:v>
      </x:c>
      <x:c r="D12" s="33" t="str">
        <x:f>IF(COUNTIFS('04_投资路径边'!F5:F69,"*GENERAL_PARTNER*",'04_投资路径边'!I5:I69,"&lt;&gt;否")=0,"PASS","FAIL")</x:f>
        <x:v>PASS</x:v>
      </x:c>
      <x:c r="E12" s="33" t="s">
        <x:v>1081</x:v>
      </x:c>
      <x:c r="F12" s="34" t="str">
        <x:f t="shared" si="0">IF(D12="PASS","通过","未通过")</x:f>
        <x:v>通过</x:v>
      </x:c>
    </x:row>
    <x:row r="13">
      <x:c r="A13" s="4" t="s">
        <x:v>1082</x:v>
      </x:c>
      <x:c r="B13" s="5" t="s">
        <x:v>1083</x:v>
      </x:c>
      <x:c r="C13" s="5" t="s">
        <x:v>1084</x:v>
      </x:c>
      <x:c r="D13" s="33" t="str">
        <x:f>IF(COUNTIFS('01_主体主表'!G5:G49,"CONFIRMED",'01_主体主表'!P5:P49,"&lt;&gt;HIGH")+COUNTIFS('01_主体主表'!G5:G49,"CONFIRMED",'01_主体主表'!O5:O49,"")=0,"PASS","FAIL")</x:f>
        <x:v>PASS</x:v>
      </x:c>
      <x:c r="E13" s="33" t="s">
        <x:v>1085</x:v>
      </x:c>
      <x:c r="F13" s="34" t="str">
        <x:f t="shared" si="0">IF(D13="PASS","通过","未通过")</x:f>
        <x:v>通过</x:v>
      </x:c>
    </x:row>
    <x:row r="14">
      <x:c r="A14" s="4" t="s">
        <x:v>1086</x:v>
      </x:c>
      <x:c r="B14" s="5" t="s">
        <x:v>1087</x:v>
      </x:c>
      <x:c r="C14" s="5" t="s">
        <x:v>1088</x:v>
      </x:c>
      <x:c r="D14" s="33" t="str">
        <x:f>IF(COUNTIF('06_待人工复核'!K5:K18,"未关闭")=0,"PASS","FAIL")</x:f>
        <x:v>PASS</x:v>
      </x:c>
      <x:c r="E14" s="33" t="str">
        <x:f>"未关闭项数量="&amp;COUNTIF('06_待人工复核'!K5:K18,"未关闭")</x:f>
        <x:v>未关闭项数量=0</x:v>
      </x:c>
      <x:c r="F14" s="34" t="str">
        <x:f t="shared" si="0"/>
        <x:v>通过</x:v>
      </x:c>
    </x:row>
    <x:row r="15">
      <x:c r="A15" s="7" t="s">
        <x:v>1089</x:v>
      </x:c>
      <x:c r="B15" s="8" t="str">
        <x:v>阶段状态</x:v>
      </x:c>
      <x:c r="C15" s="8" t="str">
        <x:v>最终阶段状态为FINAL_APPROVED</x:v>
      </x:c>
      <x:c r="D15" s="35" t="str">
        <x:f>IF('00_阶段说明'!F13="FINAL_APPROVED","PASS","FAIL")</x:f>
        <x:v>PASS</x:v>
      </x:c>
      <x:c r="E15" s="35" t="str">
        <x:v>最终验收后必须保持FINAL_APPROVED</x:v>
      </x:c>
      <x:c r="F15" s="36" t="str">
        <x:f t="shared" si="0"/>
        <x:v>通过</x:v>
      </x:c>
    </x:row>
  </x:sheetData>
  <x:mergeCells>
    <x:mergeCell ref="A1:F1"/>
    <x:mergeCell ref="A2:F2"/>
  </x:mergeCells>
  <x:conditionalFormatting sqref="D5:D15">
    <x:cfRule type="expression" dxfId="1" priority="1">
      <x:formula>D5="PASS"</x:formula>
    </x:cfRule>
    <x:cfRule type="expression" dxfId="0" priority="2">
      <x:formula>D5="FAIL"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436c98333b4f90"/>
  </x:tableParts>
</x:worksheet>
</file>

<file path=xl/worksheets/sheet9.xml><?xml version="1.0" encoding="utf-8"?>
<x:worksheet xmlns:x="http://schemas.openxmlformats.org/spreadsheetml/2006/main">
  <x:sheetFormatPr defaultRowHeight="14"/>
  <x:cols>
    <x:col min="1" max="8" width="22" customWidth="1"/>
  </x:cols>
  <x:sheetData>
    <x:row r="1">
      <x:c r="A1" s="13" t="s">
        <x:v>71</x:v>
      </x:c>
      <x:c r="B1" s="14" t="s">
        <x:v>83</x:v>
      </x:c>
      <x:c r="C1" s="14" t="s">
        <x:v>502</x:v>
      </x:c>
      <x:c r="D1" s="14" t="s">
        <x:v>80</x:v>
      </x:c>
      <x:c r="E1" s="14" t="s">
        <x:v>489</x:v>
      </x:c>
      <x:c r="F1" s="14" t="s">
        <x:v>490</x:v>
      </x:c>
      <x:c r="G1" s="14" t="s">
        <x:v>491</x:v>
      </x:c>
      <x:c r="H1" s="15" t="s">
        <x:v>651</x:v>
      </x:c>
    </x:row>
    <x:row r="2">
      <x:c r="A2" s="1" t="s">
        <x:v>37</x:v>
      </x:c>
      <x:c r="B2" s="2" t="s">
        <x:v>1090</x:v>
      </x:c>
      <x:c r="C2" s="2" t="s">
        <x:v>1091</x:v>
      </x:c>
      <x:c r="D2" s="2" t="s">
        <x:v>94</x:v>
      </x:c>
      <x:c r="E2" s="2" t="s">
        <x:v>508</x:v>
      </x:c>
      <x:c r="F2" s="2" t="s">
        <x:v>520</x:v>
      </x:c>
      <x:c r="G2" s="2" t="s">
        <x:v>510</x:v>
      </x:c>
      <x:c r="H2" s="3" t="s">
        <x:v>105</x:v>
      </x:c>
    </x:row>
    <x:row r="3">
      <x:c r="A3" s="4" t="s">
        <x:v>38</x:v>
      </x:c>
      <x:c r="B3" s="5" t="s">
        <x:v>1092</x:v>
      </x:c>
      <x:c r="C3" s="5" t="s">
        <x:v>1093</x:v>
      </x:c>
      <x:c r="D3" s="5" t="s">
        <x:v>135</x:v>
      </x:c>
      <x:c r="E3" s="5" t="s">
        <x:v>779</x:v>
      </x:c>
      <x:c r="F3" s="5" t="s">
        <x:v>509</x:v>
      </x:c>
      <x:c r="G3" s="5" t="s">
        <x:v>533</x:v>
      </x:c>
      <x:c r="H3" s="6" t="s">
        <x:v>367</x:v>
      </x:c>
    </x:row>
    <x:row r="4">
      <x:c r="A4" s="4" t="s">
        <x:v>39</x:v>
      </x:c>
      <x:c r="B4" s="5" t="s">
        <x:v>1094</x:v>
      </x:c>
      <x:c r="C4" s="5"/>
      <x:c r="D4" s="5" t="s">
        <x:v>341</x:v>
      </x:c>
      <x:c r="E4" s="5"/>
      <x:c r="F4" s="5" t="s">
        <x:v>1095</x:v>
      </x:c>
      <x:c r="G4" s="5" t="s">
        <x:v>1096</x:v>
      </x:c>
      <x:c r="H4" s="6"/>
    </x:row>
    <x:row r="5">
      <x:c r="A5" s="4" t="s">
        <x:v>40</x:v>
      </x:c>
      <x:c r="B5" s="5" t="s">
        <x:v>1097</x:v>
      </x:c>
      <x:c r="C5" s="5"/>
      <x:c r="D5" s="5"/>
      <x:c r="E5" s="5"/>
      <x:c r="F5" s="5"/>
      <x:c r="G5" s="5" t="s">
        <x:v>559</x:v>
      </x:c>
      <x:c r="H5" s="6"/>
    </x:row>
    <x:row r="6">
      <x:c r="A6" s="7" t="s">
        <x:v>41</x:v>
      </x:c>
      <x:c r="B6" s="8" t="s">
        <x:v>1098</x:v>
      </x:c>
      <x:c r="C6" s="8"/>
      <x:c r="D6" s="8"/>
      <x:c r="E6" s="8"/>
      <x:c r="F6" s="8"/>
      <x:c r="G6" s="8" t="s">
        <x:v>1099</x:v>
      </x:c>
      <x:c r="H6" s="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34" hidden="0" customWidth="1"/>
    <x:col min="4" max="4" width="12" hidden="0" customWidth="1"/>
    <x:col min="5" max="5" width="14" hidden="0" customWidth="1"/>
    <x:col min="6" max="6" width="22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24" hidden="0" customWidth="1"/>
    <x:col min="13" max="13" width="24" hidden="0" customWidth="1"/>
    <x:col min="14" max="14" width="50" hidden="0" customWidth="1"/>
    <x:col min="15" max="15" width="24" hidden="0" customWidth="1"/>
    <x:col min="16" max="16" width="14" hidden="0" customWidth="1"/>
    <x:col min="17" max="17" width="14" hidden="0" customWidth="1"/>
    <x:col min="18" max="18" width="11" hidden="0" customWidth="1"/>
    <x:col min="19" max="19" width="28" hidden="0" customWidth="1"/>
    <x:col min="20" max="20" width="42" hidden="0" customWidth="1"/>
  </x:cols>
  <x:sheetData>
    <x:row r="1" ht="30" customHeight="1">
      <x:c r="A1" s="83" t="str">
        <x:v>08 PE/VC主体及投资路径最终识别表</x:v>
      </x:c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</x:row>
    <x:row r="2" ht="36" customHeight="1">
      <x:c r="A2" s="90" t="str">
        <x:v>最终分类仅依据301563云汉芯城招股说明书及阶段四至阶段七验收成果。CONFIRMED为核心PE/VC；CANDIDATE与UNRESOLVED不得在对外统计中自动计入确定PE/VC数量。</x:v>
      </x:c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  <x:c r="M2" s="90"/>
      <x:c r="N2" s="90"/>
      <x:c r="O2" s="90"/>
      <x:c r="P2" s="90"/>
      <x:c r="Q2" s="90"/>
      <x:c r="R2" s="90"/>
      <x:c r="S2" s="90"/>
      <x:c r="T2" s="90"/>
    </x:row>
    <x:row r="4">
      <x:c r="A4" s="97" t="str">
        <x:v>最终记录数</x:v>
      </x:c>
      <x:c r="B4" s="103" t="n">
        <x:v>45</x:v>
      </x:c>
      <x:c r="C4" s="97" t="str">
        <x:v>CONFIRMED</x:v>
      </x:c>
      <x:c r="D4" s="103" t="n">
        <x:v>12</x:v>
      </x:c>
      <x:c r="E4" s="97" t="str">
        <x:v>CANDIDATE</x:v>
      </x:c>
      <x:c r="F4" s="103" t="n">
        <x:v>6</x:v>
      </x:c>
      <x:c r="G4" s="97" t="str">
        <x:v>RELATED</x:v>
      </x:c>
      <x:c r="H4" s="103" t="n">
        <x:v>8</x:v>
      </x:c>
      <x:c r="I4" s="97" t="str">
        <x:v>UNRESOLVED</x:v>
      </x:c>
      <x:c r="J4" s="103" t="n">
        <x:v>2</x:v>
      </x:c>
    </x:row>
    <x:row r="6" ht="42" customHeight="1">
      <x:c r="A6" s="117" t="str">
        <x:v>final_record_id</x:v>
      </x:c>
      <x:c r="B6" s="118" t="str">
        <x:v>entity_id</x:v>
      </x:c>
      <x:c r="C6" s="118" t="str">
        <x:v>canonical_name</x:v>
      </x:c>
      <x:c r="D6" s="118" t="str">
        <x:v>entity_type</x:v>
      </x:c>
      <x:c r="E6" s="118" t="str">
        <x:v>pevc_status</x:v>
      </x:c>
      <x:c r="F6" s="118" t="str">
        <x:v>final_inclusion</x:v>
      </x:c>
      <x:c r="G6" s="118" t="str">
        <x:v>pevc_role</x:v>
      </x:c>
      <x:c r="H6" s="118" t="str">
        <x:v>direct_shareholder_flag</x:v>
      </x:c>
      <x:c r="I6" s="118" t="str">
        <x:v>first_entry_event_id</x:v>
      </x:c>
      <x:c r="J6" s="118" t="str">
        <x:v>last_exit_event_id</x:v>
      </x:c>
      <x:c r="K6" s="118" t="str">
        <x:v>current_or_final_status</x:v>
      </x:c>
      <x:c r="L6" s="118" t="str">
        <x:v>investment_event_ids</x:v>
      </x:c>
      <x:c r="M6" s="118" t="str">
        <x:v>entry_and_exit_methods</x:v>
      </x:c>
      <x:c r="N6" s="118" t="str">
        <x:v>path_or_relation_summary</x:v>
      </x:c>
      <x:c r="O6" s="118" t="str">
        <x:v>evidence_ids</x:v>
      </x:c>
      <x:c r="P6" s="118" t="str">
        <x:v>pdf_pages</x:v>
      </x:c>
      <x:c r="Q6" s="118" t="str">
        <x:v>printed_pages</x:v>
      </x:c>
      <x:c r="R6" s="118" t="str">
        <x:v>confidence</x:v>
      </x:c>
      <x:c r="S6" s="118" t="str">
        <x:v>final_review_conclusion</x:v>
      </x:c>
      <x:c r="T6" s="119" t="str">
        <x:v>remaining_unknowns</x:v>
      </x:c>
    </x:row>
    <x:row r="7">
      <x:c r="A7" s="151" t="str">
        <x:v>PEVC-001</x:v>
      </x:c>
      <x:c r="B7" s="152" t="str">
        <x:v>ENT-025</x:v>
      </x:c>
      <x:c r="C7" s="152" t="str">
        <x:v>上海临港松江股权投资基金合伙企业（有限合伙）</x:v>
      </x:c>
      <x:c r="D7" s="152" t="str">
        <x:v>有限合伙</x:v>
      </x:c>
      <x:c r="E7" s="152" t="str">
        <x:v>CONFIRMED</x:v>
      </x:c>
      <x:c r="F7" s="152" t="str">
        <x:v>纳入PE/VC核心名单</x:v>
      </x:c>
      <x:c r="G7" s="152" t="str">
        <x:v>直接股权投资基金</x:v>
      </x:c>
      <x:c r="H7" s="152" t="str">
        <x:v>是</x:v>
      </x:c>
      <x:c r="I7" s="152" t="str">
        <x:v>CE-010-03</x:v>
      </x:c>
      <x:c r="J7" s="152"/>
      <x:c r="K7" s="152" t="str">
        <x:v>持续持有</x:v>
      </x:c>
      <x:c r="L7" s="152" t="str">
        <x:v>CE-010-03</x:v>
      </x:c>
      <x:c r="M7" s="152" t="str">
        <x:v>受让进入</x:v>
      </x:c>
      <x:c r="N7" s="152" t="str">
        <x:v>曾烨→上海临港松江股权投资基金合伙企业（有限合伙）→发行人；刘云锋→上海临港松江股权投资基金合伙企业（有限合伙）→发行人</x:v>
      </x:c>
      <x:c r="O7" s="152" t="str">
        <x:v>EVD-007｜EVD-019</x:v>
      </x:c>
      <x:c r="P7" s="152" t="str">
        <x:v>59—61</x:v>
      </x:c>
      <x:c r="Q7" s="152" t="str">
        <x:v>58—60</x:v>
      </x:c>
      <x:c r="R7" s="152" t="str">
        <x:v>HIGH</x:v>
      </x:c>
      <x:c r="S7" s="152" t="str">
        <x:v>确认通过，维持CONFIRMED分类。</x:v>
      </x:c>
      <x:c r="T7" s="153" t="str"/>
    </x:row>
    <x:row r="8">
      <x:c r="A8" s="154" t="str">
        <x:v>PEVC-002</x:v>
      </x:c>
      <x:c r="B8" s="155" t="str">
        <x:v>ENT-006</x:v>
      </x:c>
      <x:c r="C8" s="155" t="str">
        <x:v>东方富海（上海）创业投资企业（有限合伙）</x:v>
      </x:c>
      <x:c r="D8" s="155" t="str">
        <x:v>有限合伙</x:v>
      </x:c>
      <x:c r="E8" s="155" t="str">
        <x:v>CONFIRMED</x:v>
      </x:c>
      <x:c r="F8" s="155" t="str">
        <x:v>纳入PE/VC核心名单</x:v>
      </x:c>
      <x:c r="G8" s="155" t="str">
        <x:v>直接PE/VC投资主体</x:v>
      </x:c>
      <x:c r="H8" s="155" t="str">
        <x:v>是</x:v>
      </x:c>
      <x:c r="I8" s="155" t="str">
        <x:v>CE-004</x:v>
      </x:c>
      <x:c r="J8" s="155"/>
      <x:c r="K8" s="155" t="str">
        <x:v>持续持有</x:v>
      </x:c>
      <x:c r="L8" s="155" t="str">
        <x:v>CE-004｜CE-005</x:v>
      </x:c>
      <x:c r="M8" s="155" t="str">
        <x:v>增资进入｜追加增资</x:v>
      </x:c>
      <x:c r="N8" s="155" t="str">
        <x:v>东方富海（上海）创业投资企业（有限合伙）→发行人</x:v>
      </x:c>
      <x:c r="O8" s="155" t="str">
        <x:v>EVD-014</x:v>
      </x:c>
      <x:c r="P8" s="155" t="str">
        <x:v>56｜83</x:v>
      </x:c>
      <x:c r="Q8" s="155" t="str">
        <x:v>55｜82</x:v>
      </x:c>
      <x:c r="R8" s="155" t="str">
        <x:v>HIGH</x:v>
      </x:c>
      <x:c r="S8" s="155" t="str">
        <x:v>确认通过，维持CONFIRMED分类。</x:v>
      </x:c>
      <x:c r="T8" s="156" t="str"/>
    </x:row>
    <x:row r="9">
      <x:c r="A9" s="154" t="str">
        <x:v>PEVC-003</x:v>
      </x:c>
      <x:c r="B9" s="155" t="str">
        <x:v>ENT-029</x:v>
      </x:c>
      <x:c r="C9" s="155" t="str">
        <x:v>中小企业发展基金（深圳南山有限合伙）</x:v>
      </x:c>
      <x:c r="D9" s="155" t="str">
        <x:v>有限合伙</x:v>
      </x:c>
      <x:c r="E9" s="155" t="str">
        <x:v>CONFIRMED</x:v>
      </x:c>
      <x:c r="F9" s="155" t="str">
        <x:v>纳入PE/VC核心名单</x:v>
      </x:c>
      <x:c r="G9" s="155" t="str">
        <x:v>直接中小企业发展基金</x:v>
      </x:c>
      <x:c r="H9" s="155" t="str">
        <x:v>是</x:v>
      </x:c>
      <x:c r="I9" s="155" t="str">
        <x:v>CE-013-01</x:v>
      </x:c>
      <x:c r="J9" s="155"/>
      <x:c r="K9" s="155" t="str">
        <x:v>持续持有</x:v>
      </x:c>
      <x:c r="L9" s="155" t="str">
        <x:v>CE-013-01</x:v>
      </x:c>
      <x:c r="M9" s="155" t="str">
        <x:v>增资进入</x:v>
      </x:c>
      <x:c r="N9" s="155" t="str">
        <x:v>中小企业基金→发行人</x:v>
      </x:c>
      <x:c r="O9" s="155" t="str">
        <x:v>EVD-016</x:v>
      </x:c>
      <x:c r="P9" s="155" t="str">
        <x:v>63—65｜87</x:v>
      </x:c>
      <x:c r="Q9" s="155" t="str">
        <x:v>62—64｜86</x:v>
      </x:c>
      <x:c r="R9" s="155" t="str">
        <x:v>HIGH</x:v>
      </x:c>
      <x:c r="S9" s="155" t="str">
        <x:v>确认通过，维持CONFIRMED分类。</x:v>
      </x:c>
      <x:c r="T9" s="156" t="str"/>
    </x:row>
    <x:row r="10">
      <x:c r="A10" s="154" t="str">
        <x:v>PEVC-004</x:v>
      </x:c>
      <x:c r="B10" s="155" t="str">
        <x:v>ENT-016</x:v>
      </x:c>
      <x:c r="C10" s="155" t="str">
        <x:v>中科贵银（贵州）产业投资基金（有限合伙）</x:v>
      </x:c>
      <x:c r="D10" s="155" t="str">
        <x:v>有限合伙</x:v>
      </x:c>
      <x:c r="E10" s="155" t="str">
        <x:v>CONFIRMED</x:v>
      </x:c>
      <x:c r="F10" s="155" t="str">
        <x:v>纳入PE/VC核心名单</x:v>
      </x:c>
      <x:c r="G10" s="155" t="str">
        <x:v>直接产业投资基金</x:v>
      </x:c>
      <x:c r="H10" s="155" t="str">
        <x:v>是</x:v>
      </x:c>
      <x:c r="I10" s="155" t="str">
        <x:v>CE-010-01</x:v>
      </x:c>
      <x:c r="J10" s="155"/>
      <x:c r="K10" s="155" t="str">
        <x:v>持续持有</x:v>
      </x:c>
      <x:c r="L10" s="155" t="str">
        <x:v>CE-010-01</x:v>
      </x:c>
      <x:c r="M10" s="155" t="str">
        <x:v>增资进入</x:v>
      </x:c>
      <x:c r="N10" s="155" t="str">
        <x:v>中科贵银（贵州）产业投资基金（有限合伙）→发行人</x:v>
      </x:c>
      <x:c r="O10" s="155" t="str">
        <x:v>EVD-018</x:v>
      </x:c>
      <x:c r="P10" s="155" t="str">
        <x:v>59—61｜91</x:v>
      </x:c>
      <x:c r="Q10" s="155" t="str">
        <x:v>58—60｜90</x:v>
      </x:c>
      <x:c r="R10" s="155" t="str">
        <x:v>HIGH</x:v>
      </x:c>
      <x:c r="S10" s="155" t="str">
        <x:v>确认通过，维持CONFIRMED分类。</x:v>
      </x:c>
      <x:c r="T10" s="156" t="str"/>
    </x:row>
    <x:row r="11">
      <x:c r="A11" s="154" t="str">
        <x:v>PEVC-005</x:v>
      </x:c>
      <x:c r="B11" s="155" t="str">
        <x:v>ENT-R001</x:v>
      </x:c>
      <x:c r="C11" s="155" t="str">
        <x:v>丰利财富新三板成长基金</x:v>
      </x:c>
      <x:c r="D11" s="155" t="str">
        <x:v>基金</x:v>
      </x:c>
      <x:c r="E11" s="155" t="str">
        <x:v>CONFIRMED</x:v>
      </x:c>
      <x:c r="F11" s="155" t="str">
        <x:v>纳入PE/VC核心名单</x:v>
      </x:c>
      <x:c r="G11" s="155" t="str">
        <x:v>经济资金来源基金</x:v>
      </x:c>
      <x:c r="H11" s="155" t="str">
        <x:v>否</x:v>
      </x:c>
      <x:c r="I11" s="155" t="str">
        <x:v>CE-007</x:v>
      </x:c>
      <x:c r="J11" s="155" t="str">
        <x:v>CE-009</x:v>
      </x:c>
      <x:c r="K11" s="155" t="str">
        <x:v>已退出</x:v>
      </x:c>
      <x:c r="L11" s="155" t="str"/>
      <x:c r="M11" s="155" t="str"/>
      <x:c r="N11" s="155" t="str">
        <x:v>原文明示丰利财富代表该基金投资发行人，资金来源为基金募集资金。</x:v>
      </x:c>
      <x:c r="O11" s="155" t="str">
        <x:v>EVD-004｜EVD-025</x:v>
      </x:c>
      <x:c r="P11" s="155" t="str">
        <x:v>58</x:v>
      </x:c>
      <x:c r="Q11" s="155" t="str">
        <x:v>57</x:v>
      </x:c>
      <x:c r="R11" s="155" t="str">
        <x:v>HIGH</x:v>
      </x:c>
      <x:c r="S11" s="155" t="str">
        <x:v>确认通过，维持CONFIRMED分类。</x:v>
      </x:c>
      <x:c r="T11" s="156" t="str"/>
    </x:row>
    <x:row r="12">
      <x:c r="A12" s="154" t="str">
        <x:v>PEVC-006</x:v>
      </x:c>
      <x:c r="B12" s="155" t="str">
        <x:v>ENT-014</x:v>
      </x:c>
      <x:c r="C12" s="155" t="str">
        <x:v>北京国科瑞华战略性新兴产业投资基金（有限合伙）</x:v>
      </x:c>
      <x:c r="D12" s="155" t="str">
        <x:v>有限合伙</x:v>
      </x:c>
      <x:c r="E12" s="155" t="str">
        <x:v>CONFIRMED</x:v>
      </x:c>
      <x:c r="F12" s="155" t="str">
        <x:v>纳入PE/VC核心名单</x:v>
      </x:c>
      <x:c r="G12" s="155" t="str">
        <x:v>直接产业投资基金</x:v>
      </x:c>
      <x:c r="H12" s="155" t="str">
        <x:v>是</x:v>
      </x:c>
      <x:c r="I12" s="155" t="str">
        <x:v>CE-010-01</x:v>
      </x:c>
      <x:c r="J12" s="155"/>
      <x:c r="K12" s="155" t="str">
        <x:v>持续持有</x:v>
      </x:c>
      <x:c r="L12" s="155" t="str">
        <x:v>CE-010-01</x:v>
      </x:c>
      <x:c r="M12" s="155" t="str">
        <x:v>增资进入</x:v>
      </x:c>
      <x:c r="N12" s="155" t="str">
        <x:v>北京国科瑞华战略性新兴产业投资基金（有限合伙）→发行人</x:v>
      </x:c>
      <x:c r="O12" s="155" t="str">
        <x:v>EVD-018</x:v>
      </x:c>
      <x:c r="P12" s="155" t="str">
        <x:v>59—61｜89</x:v>
      </x:c>
      <x:c r="Q12" s="155" t="str">
        <x:v>58—60｜88</x:v>
      </x:c>
      <x:c r="R12" s="155" t="str">
        <x:v>HIGH</x:v>
      </x:c>
      <x:c r="S12" s="155" t="str">
        <x:v>确认通过，维持CONFIRMED分类。</x:v>
      </x:c>
      <x:c r="T12" s="156" t="str"/>
    </x:row>
    <x:row r="13">
      <x:c r="A13" s="154" t="str">
        <x:v>PEVC-007</x:v>
      </x:c>
      <x:c r="B13" s="155" t="str">
        <x:v>ENT-013</x:v>
      </x:c>
      <x:c r="C13" s="155" t="str">
        <x:v>厦门富海天健创业投资合伙企业（有限合伙）</x:v>
      </x:c>
      <x:c r="D13" s="155" t="str">
        <x:v>有限合伙</x:v>
      </x:c>
      <x:c r="E13" s="155" t="str">
        <x:v>CONFIRMED</x:v>
      </x:c>
      <x:c r="F13" s="155" t="str">
        <x:v>纳入PE/VC核心名单</x:v>
      </x:c>
      <x:c r="G13" s="155" t="str">
        <x:v>直接创业投资主体</x:v>
      </x:c>
      <x:c r="H13" s="155" t="str">
        <x:v>是</x:v>
      </x:c>
      <x:c r="I13" s="155" t="str">
        <x:v>CE-009</x:v>
      </x:c>
      <x:c r="J13" s="155"/>
      <x:c r="K13" s="155" t="str">
        <x:v>持续持有</x:v>
      </x:c>
      <x:c r="L13" s="155" t="str">
        <x:v>CE-009</x:v>
      </x:c>
      <x:c r="M13" s="155" t="str">
        <x:v>受让进入</x:v>
      </x:c>
      <x:c r="N13" s="155" t="str">
        <x:v>丰利财富→天健创投→发行人</x:v>
      </x:c>
      <x:c r="O13" s="155" t="str">
        <x:v>EVD-004｜EVD-005</x:v>
      </x:c>
      <x:c r="P13" s="155" t="str">
        <x:v>58</x:v>
      </x:c>
      <x:c r="Q13" s="155" t="str">
        <x:v>57</x:v>
      </x:c>
      <x:c r="R13" s="155" t="str">
        <x:v>HIGH</x:v>
      </x:c>
      <x:c r="S13" s="155" t="str">
        <x:v>确认通过，维持CONFIRMED分类。</x:v>
      </x:c>
      <x:c r="T13" s="156" t="str"/>
    </x:row>
    <x:row r="14">
      <x:c r="A14" s="154" t="str">
        <x:v>PEVC-008</x:v>
      </x:c>
      <x:c r="B14" s="155" t="str">
        <x:v>ENT-012</x:v>
      </x:c>
      <x:c r="C14" s="155" t="str">
        <x:v>富海深湾（深圳）移动创新私募创业投资基金合伙企业（有限合伙）</x:v>
      </x:c>
      <x:c r="D14" s="155" t="str">
        <x:v>有限合伙</x:v>
      </x:c>
      <x:c r="E14" s="155" t="str">
        <x:v>CONFIRMED</x:v>
      </x:c>
      <x:c r="F14" s="155" t="str">
        <x:v>纳入PE/VC核心名单</x:v>
      </x:c>
      <x:c r="G14" s="155" t="str">
        <x:v>直接私募创业投资基金</x:v>
      </x:c>
      <x:c r="H14" s="155" t="str">
        <x:v>是</x:v>
      </x:c>
      <x:c r="I14" s="155" t="str">
        <x:v>CE-007</x:v>
      </x:c>
      <x:c r="J14" s="155"/>
      <x:c r="K14" s="155" t="str">
        <x:v>持续持有</x:v>
      </x:c>
      <x:c r="L14" s="155" t="str">
        <x:v>CE-007</x:v>
      </x:c>
      <x:c r="M14" s="155" t="str">
        <x:v>增资进入</x:v>
      </x:c>
      <x:c r="N14" s="155" t="str">
        <x:v>富海深湾（深圳）移动创新私募创业投资基金合伙企业（有限合伙）→发行人</x:v>
      </x:c>
      <x:c r="O14" s="155" t="str">
        <x:v>EVD-017</x:v>
      </x:c>
      <x:c r="P14" s="155" t="str">
        <x:v>57｜88—89</x:v>
      </x:c>
      <x:c r="Q14" s="155" t="str">
        <x:v>56｜87—88</x:v>
      </x:c>
      <x:c r="R14" s="155" t="str">
        <x:v>HIGH</x:v>
      </x:c>
      <x:c r="S14" s="155" t="str">
        <x:v>确认通过，维持CONFIRMED分类。</x:v>
      </x:c>
      <x:c r="T14" s="156" t="str"/>
    </x:row>
    <x:row r="15">
      <x:c r="A15" s="154" t="str">
        <x:v>PEVC-009</x:v>
      </x:c>
      <x:c r="B15" s="155" t="str">
        <x:v>ENT-024</x:v>
      </x:c>
      <x:c r="C15" s="155" t="str">
        <x:v>深圳东方富海节能环保创业投资基金合伙企业（有限合伙）</x:v>
      </x:c>
      <x:c r="D15" s="155" t="str">
        <x:v>有限合伙</x:v>
      </x:c>
      <x:c r="E15" s="155" t="str">
        <x:v>CONFIRMED</x:v>
      </x:c>
      <x:c r="F15" s="155" t="str">
        <x:v>纳入PE/VC核心名单</x:v>
      </x:c>
      <x:c r="G15" s="155" t="str">
        <x:v>直接创业投资基金</x:v>
      </x:c>
      <x:c r="H15" s="155" t="str">
        <x:v>是</x:v>
      </x:c>
      <x:c r="I15" s="155" t="str">
        <x:v>CE-010-03</x:v>
      </x:c>
      <x:c r="J15" s="155"/>
      <x:c r="K15" s="155" t="str">
        <x:v>持续持有</x:v>
      </x:c>
      <x:c r="L15" s="155" t="str">
        <x:v>CE-010-03</x:v>
      </x:c>
      <x:c r="M15" s="155" t="str">
        <x:v>受让进入</x:v>
      </x:c>
      <x:c r="N15" s="155" t="str">
        <x:v>曾烨→深圳东方富海节能环保创业投资基金合伙企业（有限合伙）→发行人</x:v>
      </x:c>
      <x:c r="O15" s="155" t="str">
        <x:v>EVD-007｜EVD-019</x:v>
      </x:c>
      <x:c r="P15" s="155" t="str">
        <x:v>59—61</x:v>
      </x:c>
      <x:c r="Q15" s="155" t="str">
        <x:v>58—60</x:v>
      </x:c>
      <x:c r="R15" s="155" t="str">
        <x:v>HIGH</x:v>
      </x:c>
      <x:c r="S15" s="155" t="str">
        <x:v>确认通过，维持CONFIRMED分类。</x:v>
      </x:c>
      <x:c r="T15" s="156" t="str"/>
    </x:row>
    <x:row r="16">
      <x:c r="A16" s="154" t="str">
        <x:v>PEVC-010</x:v>
      </x:c>
      <x:c r="B16" s="155" t="str">
        <x:v>ENT-018</x:v>
      </x:c>
      <x:c r="C16" s="155" t="str">
        <x:v>深圳南山东方富海中小微创业投资基金合伙企业（有限合伙）</x:v>
      </x:c>
      <x:c r="D16" s="155" t="str">
        <x:v>有限合伙</x:v>
      </x:c>
      <x:c r="E16" s="155" t="str">
        <x:v>CONFIRMED</x:v>
      </x:c>
      <x:c r="F16" s="155" t="str">
        <x:v>纳入PE/VC核心名单</x:v>
      </x:c>
      <x:c r="G16" s="155" t="str">
        <x:v>直接创业投资基金</x:v>
      </x:c>
      <x:c r="H16" s="155" t="str">
        <x:v>是</x:v>
      </x:c>
      <x:c r="I16" s="155" t="str">
        <x:v>CE-010-01</x:v>
      </x:c>
      <x:c r="J16" s="155"/>
      <x:c r="K16" s="155" t="str">
        <x:v>持续持有</x:v>
      </x:c>
      <x:c r="L16" s="155" t="str">
        <x:v>CE-010-01</x:v>
      </x:c>
      <x:c r="M16" s="155" t="str">
        <x:v>增资进入</x:v>
      </x:c>
      <x:c r="N16" s="155" t="str">
        <x:v>深圳南山东方富海中小微创业投资基金合伙企业（有限合伙）→发行人</x:v>
      </x:c>
      <x:c r="O16" s="155" t="str">
        <x:v>EVD-015</x:v>
      </x:c>
      <x:c r="P16" s="155" t="str">
        <x:v>59—61｜84—85</x:v>
      </x:c>
      <x:c r="Q16" s="155" t="str">
        <x:v>58—60｜83—84</x:v>
      </x:c>
      <x:c r="R16" s="155" t="str">
        <x:v>HIGH</x:v>
      </x:c>
      <x:c r="S16" s="155" t="str">
        <x:v>确认通过，维持CONFIRMED分类。</x:v>
      </x:c>
      <x:c r="T16" s="156" t="str"/>
    </x:row>
    <x:row r="17">
      <x:c r="A17" s="154" t="str">
        <x:v>PEVC-011</x:v>
      </x:c>
      <x:c r="B17" s="155" t="str">
        <x:v>ENT-019</x:v>
      </x:c>
      <x:c r="C17" s="155" t="str">
        <x:v>珠海拓域壹号股权投资基金（有限合伙）</x:v>
      </x:c>
      <x:c r="D17" s="155" t="str">
        <x:v>有限合伙</x:v>
      </x:c>
      <x:c r="E17" s="155" t="str">
        <x:v>CONFIRMED</x:v>
      </x:c>
      <x:c r="F17" s="155" t="str">
        <x:v>纳入PE/VC核心名单</x:v>
      </x:c>
      <x:c r="G17" s="155" t="str">
        <x:v>直接股权投资基金</x:v>
      </x:c>
      <x:c r="H17" s="155" t="str">
        <x:v>是</x:v>
      </x:c>
      <x:c r="I17" s="155" t="str">
        <x:v>CE-010-01</x:v>
      </x:c>
      <x:c r="J17" s="155"/>
      <x:c r="K17" s="155" t="str">
        <x:v>持续持有</x:v>
      </x:c>
      <x:c r="L17" s="155" t="str">
        <x:v>CE-010-01</x:v>
      </x:c>
      <x:c r="M17" s="155" t="str">
        <x:v>增资进入</x:v>
      </x:c>
      <x:c r="N17" s="155" t="str">
        <x:v>珠海拓域壹号股权投资基金（有限合伙）→发行人</x:v>
      </x:c>
      <x:c r="O17" s="155" t="str">
        <x:v>EVD-006｜EVD-019</x:v>
      </x:c>
      <x:c r="P17" s="155" t="str">
        <x:v>59—61</x:v>
      </x:c>
      <x:c r="Q17" s="155" t="str">
        <x:v>58—60</x:v>
      </x:c>
      <x:c r="R17" s="155" t="str">
        <x:v>HIGH</x:v>
      </x:c>
      <x:c r="S17" s="155" t="str">
        <x:v>确认通过，维持CONFIRMED分类。</x:v>
      </x:c>
      <x:c r="T17" s="156" t="str"/>
    </x:row>
    <x:row r="18">
      <x:c r="A18" s="154" t="str">
        <x:v>PEVC-012</x:v>
      </x:c>
      <x:c r="B18" s="155" t="str">
        <x:v>ENT-007</x:v>
      </x:c>
      <x:c r="C18" s="155" t="str">
        <x:v>芜湖富海浩研创业投资基金（有限合伙）</x:v>
      </x:c>
      <x:c r="D18" s="155" t="str">
        <x:v>有限合伙</x:v>
      </x:c>
      <x:c r="E18" s="155" t="str">
        <x:v>CONFIRMED</x:v>
      </x:c>
      <x:c r="F18" s="155" t="str">
        <x:v>纳入PE/VC核心名单</x:v>
      </x:c>
      <x:c r="G18" s="155" t="str">
        <x:v>直接PE/VC投资基金</x:v>
      </x:c>
      <x:c r="H18" s="155" t="str">
        <x:v>是</x:v>
      </x:c>
      <x:c r="I18" s="155" t="str">
        <x:v>CE-004</x:v>
      </x:c>
      <x:c r="J18" s="155"/>
      <x:c r="K18" s="155" t="str">
        <x:v>持续持有</x:v>
      </x:c>
      <x:c r="L18" s="155" t="str">
        <x:v>CE-004｜CE-005｜CE-007</x:v>
      </x:c>
      <x:c r="M18" s="155" t="str">
        <x:v>增资进入｜追加增资</x:v>
      </x:c>
      <x:c r="N18" s="155" t="str">
        <x:v>芜湖富海浩研创业投资基金（有限合伙）→发行人；芜湖富海→发行人</x:v>
      </x:c>
      <x:c r="O18" s="155" t="str">
        <x:v>EVD-013</x:v>
      </x:c>
      <x:c r="P18" s="155" t="str">
        <x:v>56｜82—83</x:v>
      </x:c>
      <x:c r="Q18" s="155" t="str">
        <x:v>55｜81—82</x:v>
      </x:c>
      <x:c r="R18" s="155" t="str">
        <x:v>HIGH</x:v>
      </x:c>
      <x:c r="S18" s="155" t="str">
        <x:v>确认通过，维持CONFIRMED分类。</x:v>
      </x:c>
      <x:c r="T18" s="156" t="str"/>
    </x:row>
    <x:row r="19">
      <x:c r="A19" s="154" t="str">
        <x:v>PEVC-013</x:v>
      </x:c>
      <x:c r="B19" s="155" t="str">
        <x:v>ENT-015</x:v>
      </x:c>
      <x:c r="C19" s="155" t="str">
        <x:v>CASREV FUND II-USD L.P.</x:v>
      </x:c>
      <x:c r="D19" s="155" t="str">
        <x:v>有限合伙</x:v>
      </x:c>
      <x:c r="E19" s="155" t="str">
        <x:v>CANDIDATE</x:v>
      </x:c>
      <x:c r="F19" s="155" t="str">
        <x:v>保留PE/VC候选</x:v>
      </x:c>
      <x:c r="G19" s="155" t="str">
        <x:v>境外直接投资基金候选</x:v>
      </x:c>
      <x:c r="H19" s="155" t="str">
        <x:v>是</x:v>
      </x:c>
      <x:c r="I19" s="155" t="str">
        <x:v>CE-010-01</x:v>
      </x:c>
      <x:c r="J19" s="155"/>
      <x:c r="K19" s="155" t="str">
        <x:v>持续持有</x:v>
      </x:c>
      <x:c r="L19" s="155" t="str">
        <x:v>CE-010-01</x:v>
      </x:c>
      <x:c r="M19" s="155" t="str">
        <x:v>增资进入</x:v>
      </x:c>
      <x:c r="N19" s="155" t="str">
        <x:v>CASREV FUND II-USD L.P.→发行人</x:v>
      </x:c>
      <x:c r="O19" s="155" t="str">
        <x:v>EVD-006｜EVD-018</x:v>
      </x:c>
      <x:c r="P19" s="155" t="str">
        <x:v>59—61｜90</x:v>
      </x:c>
      <x:c r="Q19" s="155" t="str">
        <x:v>58—60｜89</x:v>
      </x:c>
      <x:c r="R19" s="155" t="str">
        <x:v>MEDIUM</x:v>
      </x:c>
      <x:c r="S19" s="155" t="str">
        <x:v>确认通过，维持CANDIDATE分类。</x:v>
      </x:c>
      <x:c r="T19" s="156" t="str">
        <x:v>招股说明书缺少足以确认PE/VC性质的明示信息。</x:v>
      </x:c>
    </x:row>
    <x:row r="20">
      <x:c r="A20" s="154" t="str">
        <x:v>PEVC-014</x:v>
      </x:c>
      <x:c r="B20" s="155" t="str">
        <x:v>ENT-026</x:v>
      </x:c>
      <x:c r="C20" s="155" t="str">
        <x:v>上海鸿迪投资集团有限公司</x:v>
      </x:c>
      <x:c r="D20" s="155" t="str">
        <x:v>公司</x:v>
      </x:c>
      <x:c r="E20" s="155" t="str">
        <x:v>CANDIDATE</x:v>
      </x:c>
      <x:c r="F20" s="155" t="str">
        <x:v>保留PE/VC候选</x:v>
      </x:c>
      <x:c r="G20" s="155" t="str">
        <x:v>直接机构投资主体</x:v>
      </x:c>
      <x:c r="H20" s="155" t="str">
        <x:v>是</x:v>
      </x:c>
      <x:c r="I20" s="155" t="str">
        <x:v>CE-010-03</x:v>
      </x:c>
      <x:c r="J20" s="155"/>
      <x:c r="K20" s="155" t="str">
        <x:v>持续持有</x:v>
      </x:c>
      <x:c r="L20" s="155" t="str">
        <x:v>CE-010-03｜CE-013-02</x:v>
      </x:c>
      <x:c r="M20" s="155" t="str">
        <x:v>受让进入｜追加受让</x:v>
      </x:c>
      <x:c r="N20" s="155" t="str">
        <x:v>刘云锋→上海鸿迪投资集团有限公司→发行人；曾烨→上海鸿迪投资集团有限公司→发行人</x:v>
      </x:c>
      <x:c r="O20" s="155" t="str">
        <x:v>EVD-007｜EVD-011</x:v>
      </x:c>
      <x:c r="P20" s="155" t="str">
        <x:v>59—61｜64—65</x:v>
      </x:c>
      <x:c r="Q20" s="155" t="str">
        <x:v>58—60｜63—64</x:v>
      </x:c>
      <x:c r="R20" s="155" t="str">
        <x:v>MEDIUM</x:v>
      </x:c>
      <x:c r="S20" s="155" t="str">
        <x:v>确认通过，维持CANDIDATE分类。</x:v>
      </x:c>
      <x:c r="T20" s="156" t="str">
        <x:v>招股说明书缺少足以确认PE/VC性质的明示信息。</x:v>
      </x:c>
    </x:row>
    <x:row r="21">
      <x:c r="A21" s="154" t="str">
        <x:v>PEVC-015</x:v>
      </x:c>
      <x:c r="B21" s="155" t="str">
        <x:v>ENT-028</x:v>
      </x:c>
      <x:c r="C21" s="155" t="str">
        <x:v>厦门西堤拾贰投资合伙企业（有限合伙）</x:v>
      </x:c>
      <x:c r="D21" s="155" t="str">
        <x:v>有限合伙</x:v>
      </x:c>
      <x:c r="E21" s="155" t="str">
        <x:v>CANDIDATE</x:v>
      </x:c>
      <x:c r="F21" s="155" t="str">
        <x:v>保留PE/VC候选</x:v>
      </x:c>
      <x:c r="G21" s="155" t="str">
        <x:v>直接投资合伙企业</x:v>
      </x:c>
      <x:c r="H21" s="155" t="str">
        <x:v>是</x:v>
      </x:c>
      <x:c r="I21" s="155" t="str">
        <x:v>CE-013-01</x:v>
      </x:c>
      <x:c r="J21" s="155"/>
      <x:c r="K21" s="155" t="str">
        <x:v>持续持有</x:v>
      </x:c>
      <x:c r="L21" s="155" t="str">
        <x:v>CE-013-01</x:v>
      </x:c>
      <x:c r="M21" s="155" t="str">
        <x:v>增资进入</x:v>
      </x:c>
      <x:c r="N21" s="155" t="str">
        <x:v>厦门西堤→发行人</x:v>
      </x:c>
      <x:c r="O21" s="155" t="str">
        <x:v>EVD-010</x:v>
      </x:c>
      <x:c r="P21" s="155" t="str">
        <x:v>63—65</x:v>
      </x:c>
      <x:c r="Q21" s="155" t="str">
        <x:v>62—64</x:v>
      </x:c>
      <x:c r="R21" s="155" t="str">
        <x:v>MEDIUM</x:v>
      </x:c>
      <x:c r="S21" s="155" t="str">
        <x:v>确认通过，维持CANDIDATE分类。</x:v>
      </x:c>
      <x:c r="T21" s="156" t="str">
        <x:v>招股说明书缺少足以确认PE/VC性质的明示信息。</x:v>
      </x:c>
    </x:row>
    <x:row r="22">
      <x:c r="A22" s="154" t="str">
        <x:v>PEVC-016</x:v>
      </x:c>
      <x:c r="B22" s="155" t="str">
        <x:v>ENT-011</x:v>
      </x:c>
      <x:c r="C22" s="155" t="str">
        <x:v>昆山红土高新创业投资有限公司</x:v>
      </x:c>
      <x:c r="D22" s="155" t="str">
        <x:v>公司</x:v>
      </x:c>
      <x:c r="E22" s="155" t="str">
        <x:v>CANDIDATE</x:v>
      </x:c>
      <x:c r="F22" s="155" t="str">
        <x:v>保留PE/VC候选</x:v>
      </x:c>
      <x:c r="G22" s="155" t="str">
        <x:v>直接机构投资主体</x:v>
      </x:c>
      <x:c r="H22" s="155" t="str">
        <x:v>是</x:v>
      </x:c>
      <x:c r="I22" s="155" t="str">
        <x:v>CE-007</x:v>
      </x:c>
      <x:c r="J22" s="155"/>
      <x:c r="K22" s="155" t="str">
        <x:v>持续持有</x:v>
      </x:c>
      <x:c r="L22" s="155" t="str">
        <x:v>CE-007</x:v>
      </x:c>
      <x:c r="M22" s="155" t="str">
        <x:v>增资进入</x:v>
      </x:c>
      <x:c r="N22" s="155" t="str">
        <x:v>昆山红土高新创业投资有限公司→发行人</x:v>
      </x:c>
      <x:c r="O22" s="155" t="str">
        <x:v>EVD-003｜EVD-020</x:v>
      </x:c>
      <x:c r="P22" s="155" t="str">
        <x:v>57</x:v>
      </x:c>
      <x:c r="Q22" s="155" t="str">
        <x:v>56</x:v>
      </x:c>
      <x:c r="R22" s="155" t="str">
        <x:v>MEDIUM</x:v>
      </x:c>
      <x:c r="S22" s="155" t="str">
        <x:v>确认通过，维持CANDIDATE分类。</x:v>
      </x:c>
      <x:c r="T22" s="156" t="str">
        <x:v>招股说明书缺少足以确认PE/VC性质的明示信息。</x:v>
      </x:c>
    </x:row>
    <x:row r="23">
      <x:c r="A23" s="154" t="str">
        <x:v>PEVC-017</x:v>
      </x:c>
      <x:c r="B23" s="155" t="str">
        <x:v>ENT-008</x:v>
      </x:c>
      <x:c r="C23" s="155" t="str">
        <x:v>深圳市创新投资集团有限公司</x:v>
      </x:c>
      <x:c r="D23" s="155" t="str">
        <x:v>公司</x:v>
      </x:c>
      <x:c r="E23" s="155" t="str">
        <x:v>CANDIDATE</x:v>
      </x:c>
      <x:c r="F23" s="155" t="str">
        <x:v>保留PE/VC候选</x:v>
      </x:c>
      <x:c r="G23" s="155" t="str">
        <x:v>直接机构投资主体</x:v>
      </x:c>
      <x:c r="H23" s="155" t="str">
        <x:v>是</x:v>
      </x:c>
      <x:c r="I23" s="155" t="str">
        <x:v>CE-007</x:v>
      </x:c>
      <x:c r="J23" s="155"/>
      <x:c r="K23" s="155" t="str">
        <x:v>持续持有</x:v>
      </x:c>
      <x:c r="L23" s="155" t="str">
        <x:v>CE-007</x:v>
      </x:c>
      <x:c r="M23" s="155" t="str">
        <x:v>增资进入</x:v>
      </x:c>
      <x:c r="N23" s="155" t="str">
        <x:v>深圳市创新投资集团有限公司→发行人</x:v>
      </x:c>
      <x:c r="O23" s="155" t="str">
        <x:v>EVD-003｜EVD-020</x:v>
      </x:c>
      <x:c r="P23" s="155" t="str">
        <x:v>57</x:v>
      </x:c>
      <x:c r="Q23" s="155" t="str">
        <x:v>56</x:v>
      </x:c>
      <x:c r="R23" s="155" t="str">
        <x:v>MEDIUM</x:v>
      </x:c>
      <x:c r="S23" s="155" t="str">
        <x:v>确认通过，维持CANDIDATE分类。</x:v>
      </x:c>
      <x:c r="T23" s="156" t="str">
        <x:v>招股说明书缺少足以确认PE/VC性质的明示信息。</x:v>
      </x:c>
    </x:row>
    <x:row r="24">
      <x:c r="A24" s="154" t="str">
        <x:v>PEVC-018</x:v>
      </x:c>
      <x:c r="B24" s="155" t="str">
        <x:v>ENT-010</x:v>
      </x:c>
      <x:c r="C24" s="155" t="str">
        <x:v>镇江红土创业投资有限公司</x:v>
      </x:c>
      <x:c r="D24" s="155" t="str">
        <x:v>公司</x:v>
      </x:c>
      <x:c r="E24" s="155" t="str">
        <x:v>CANDIDATE</x:v>
      </x:c>
      <x:c r="F24" s="155" t="str">
        <x:v>保留PE/VC候选</x:v>
      </x:c>
      <x:c r="G24" s="155" t="str">
        <x:v>直接机构投资主体</x:v>
      </x:c>
      <x:c r="H24" s="155" t="str">
        <x:v>是</x:v>
      </x:c>
      <x:c r="I24" s="155" t="str">
        <x:v>CE-007</x:v>
      </x:c>
      <x:c r="J24" s="155"/>
      <x:c r="K24" s="155" t="str">
        <x:v>持续持有</x:v>
      </x:c>
      <x:c r="L24" s="155" t="str">
        <x:v>CE-007</x:v>
      </x:c>
      <x:c r="M24" s="155" t="str">
        <x:v>增资进入</x:v>
      </x:c>
      <x:c r="N24" s="155" t="str">
        <x:v>镇江红土创业投资有限公司→发行人</x:v>
      </x:c>
      <x:c r="O24" s="155" t="str">
        <x:v>EVD-003｜EVD-020</x:v>
      </x:c>
      <x:c r="P24" s="155" t="str">
        <x:v>57</x:v>
      </x:c>
      <x:c r="Q24" s="155" t="str">
        <x:v>56</x:v>
      </x:c>
      <x:c r="R24" s="155" t="str">
        <x:v>MEDIUM</x:v>
      </x:c>
      <x:c r="S24" s="155" t="str">
        <x:v>确认通过，维持CANDIDATE分类。</x:v>
      </x:c>
      <x:c r="T24" s="156" t="str">
        <x:v>招股说明书缺少足以确认PE/VC性质的明示信息。</x:v>
      </x:c>
    </x:row>
    <x:row r="25">
      <x:c r="A25" s="154" t="str">
        <x:v>PEVC-019</x:v>
      </x:c>
      <x:c r="B25" s="155" t="str">
        <x:v>ENT-R004</x:v>
      </x:c>
      <x:c r="C25" s="155" t="str">
        <x:v>东方富海（上海）投资管理合伙企业（有限合伙）</x:v>
      </x:c>
      <x:c r="D25" s="155" t="str">
        <x:v>有限合伙</x:v>
      </x:c>
      <x:c r="E25" s="155" t="str">
        <x:v>RELATED</x:v>
      </x:c>
      <x:c r="F25" s="155" t="str">
        <x:v>仅列PE/VC相关主体</x:v>
      </x:c>
      <x:c r="G25" s="155" t="str">
        <x:v>GP</x:v>
      </x:c>
      <x:c r="H25" s="155" t="str">
        <x:v>否</x:v>
      </x:c>
      <x:c r="I25" s="155" t="str">
        <x:v>CE-004</x:v>
      </x:c>
      <x:c r="J25" s="155"/>
      <x:c r="K25" s="155" t="str">
        <x:v>关系主体</x:v>
      </x:c>
      <x:c r="L25" s="155" t="str"/>
      <x:c r="M25" s="155" t="str"/>
      <x:c r="N25" s="155" t="str">
        <x:v>招股书股东构成表披露其为东方富海GP。</x:v>
      </x:c>
      <x:c r="O25" s="155" t="str">
        <x:v>EVD-014｜EVD-024</x:v>
      </x:c>
      <x:c r="P25" s="155" t="str">
        <x:v>83</x:v>
      </x:c>
      <x:c r="Q25" s="155" t="str">
        <x:v>82</x:v>
      </x:c>
      <x:c r="R25" s="155" t="str">
        <x:v>HIGH</x:v>
      </x:c>
      <x:c r="S25" s="155" t="str">
        <x:v>确认通过，维持RELATED分类。</x:v>
      </x:c>
      <x:c r="T25" s="156" t="str">
        <x:v>相关关系不自动构成发行人权益投资路径；未披露持有比例或最终受益人不推算。</x:v>
      </x:c>
    </x:row>
    <x:row r="26">
      <x:c r="A26" s="154" t="str">
        <x:v>PEVC-020</x:v>
      </x:c>
      <x:c r="B26" s="155" t="str">
        <x:v>ENT-R002</x:v>
      </x:c>
      <x:c r="C26" s="155" t="str">
        <x:v>东方富海（芜湖）股权投资基金管理企业（有限合伙）</x:v>
      </x:c>
      <x:c r="D26" s="155" t="str">
        <x:v>有限合伙</x:v>
      </x:c>
      <x:c r="E26" s="155" t="str">
        <x:v>RELATED</x:v>
      </x:c>
      <x:c r="F26" s="155" t="str">
        <x:v>仅列PE/VC相关主体</x:v>
      </x:c>
      <x:c r="G26" s="155" t="str">
        <x:v>GP/基金管理相关主体</x:v>
      </x:c>
      <x:c r="H26" s="155" t="str">
        <x:v>否</x:v>
      </x:c>
      <x:c r="I26" s="155" t="str">
        <x:v>CE-009</x:v>
      </x:c>
      <x:c r="J26" s="155"/>
      <x:c r="K26" s="155" t="str">
        <x:v>关系主体</x:v>
      </x:c>
      <x:c r="L26" s="155" t="str"/>
      <x:c r="M26" s="155" t="str"/>
      <x:c r="N26" s="155" t="str">
        <x:v>原文披露其为天健创投普通合伙人；亦为富海深湾GP。GP关系默认不形成发行人权益路径。</x:v>
      </x:c>
      <x:c r="O26" s="155" t="str">
        <x:v>EVD-005｜EVD-017｜EVD-024</x:v>
      </x:c>
      <x:c r="P26" s="155" t="str">
        <x:v>58｜88—89</x:v>
      </x:c>
      <x:c r="Q26" s="155" t="str">
        <x:v>57｜87—88</x:v>
      </x:c>
      <x:c r="R26" s="155" t="str">
        <x:v>HIGH</x:v>
      </x:c>
      <x:c r="S26" s="155" t="str">
        <x:v>确认通过，维持RELATED分类。</x:v>
      </x:c>
      <x:c r="T26" s="156" t="str">
        <x:v>相关关系不自动构成发行人权益投资路径；未披露持有比例或最终受益人不推算。</x:v>
      </x:c>
    </x:row>
    <x:row r="27">
      <x:c r="A27" s="154" t="str">
        <x:v>PEVC-021</x:v>
      </x:c>
      <x:c r="B27" s="155" t="str">
        <x:v>ENT-R007</x:v>
      </x:c>
      <x:c r="C27" s="155" t="str">
        <x:v>中国科技产业投资管理有限公司</x:v>
      </x:c>
      <x:c r="D27" s="155" t="str">
        <x:v>公司</x:v>
      </x:c>
      <x:c r="E27" s="155" t="str">
        <x:v>RELATED</x:v>
      </x:c>
      <x:c r="F27" s="155" t="str">
        <x:v>仅列PE/VC相关主体</x:v>
      </x:c>
      <x:c r="G27" s="155" t="str">
        <x:v>GP</x:v>
      </x:c>
      <x:c r="H27" s="155" t="str">
        <x:v>否</x:v>
      </x:c>
      <x:c r="I27" s="155" t="str">
        <x:v>CE-010-01</x:v>
      </x:c>
      <x:c r="J27" s="155"/>
      <x:c r="K27" s="155" t="str">
        <x:v>关系主体</x:v>
      </x:c>
      <x:c r="L27" s="155" t="str"/>
      <x:c r="M27" s="155" t="str"/>
      <x:c r="N27" s="155" t="str">
        <x:v>招股书股东构成表披露其为中科贵银GP。</x:v>
      </x:c>
      <x:c r="O27" s="155" t="str">
        <x:v>EVD-018｜EVD-024</x:v>
      </x:c>
      <x:c r="P27" s="155" t="str">
        <x:v>91</x:v>
      </x:c>
      <x:c r="Q27" s="155" t="str">
        <x:v>90</x:v>
      </x:c>
      <x:c r="R27" s="155" t="str">
        <x:v>HIGH</x:v>
      </x:c>
      <x:c r="S27" s="155" t="str">
        <x:v>确认通过，维持RELATED分类。</x:v>
      </x:c>
      <x:c r="T27" s="156" t="str">
        <x:v>相关关系不自动构成发行人权益投资路径；未披露持有比例或最终受益人不推算。</x:v>
      </x:c>
    </x:row>
    <x:row r="28">
      <x:c r="A28" s="154" t="str">
        <x:v>PEVC-022</x:v>
      </x:c>
      <x:c r="B28" s="155" t="str">
        <x:v>ENT-009</x:v>
      </x:c>
      <x:c r="C28" s="155" t="str">
        <x:v>丰利财富（北京）国际资本管理股份有限公司</x:v>
      </x:c>
      <x:c r="D28" s="155" t="str">
        <x:v>公司</x:v>
      </x:c>
      <x:c r="E28" s="155" t="str">
        <x:v>RELATED</x:v>
      </x:c>
      <x:c r="F28" s="155" t="str">
        <x:v>仅列PE/VC相关主体</x:v>
      </x:c>
      <x:c r="G28" s="155" t="str">
        <x:v>直接名义持股主体/代表基金投资</x:v>
      </x:c>
      <x:c r="H28" s="155" t="str">
        <x:v>是</x:v>
      </x:c>
      <x:c r="I28" s="155" t="str">
        <x:v>CE-007</x:v>
      </x:c>
      <x:c r="J28" s="155" t="str">
        <x:v>CE-009</x:v>
      </x:c>
      <x:c r="K28" s="155" t="str">
        <x:v>全部退出</x:v>
      </x:c>
      <x:c r="L28" s="155" t="str">
        <x:v>CE-007｜CE-009</x:v>
      </x:c>
      <x:c r="M28" s="155" t="str">
        <x:v>增资进入｜股权转让退出</x:v>
      </x:c>
      <x:c r="N28" s="155" t="str">
        <x:v>丰利财富（北京）国际资本管理股份有限公司→发行人；丰利新三板基金→丰利财富→天健创投</x:v>
      </x:c>
      <x:c r="O28" s="155" t="str">
        <x:v>EVD-004｜EVD-025</x:v>
      </x:c>
      <x:c r="P28" s="155" t="str">
        <x:v>57—58</x:v>
      </x:c>
      <x:c r="Q28" s="155" t="str">
        <x:v>56—57</x:v>
      </x:c>
      <x:c r="R28" s="155" t="str">
        <x:v>HIGH</x:v>
      </x:c>
      <x:c r="S28" s="155" t="str">
        <x:v>确认通过，维持RELATED分类。</x:v>
      </x:c>
      <x:c r="T28" s="156" t="str">
        <x:v>相关关系不自动构成发行人权益投资路径；未披露持有比例或最终受益人不推算。</x:v>
      </x:c>
    </x:row>
    <x:row r="29">
      <x:c r="A29" s="154" t="str">
        <x:v>PEVC-023</x:v>
      </x:c>
      <x:c r="B29" s="155" t="str">
        <x:v>ENT-R003</x:v>
      </x:c>
      <x:c r="C29" s="155" t="str">
        <x:v>厦门蜜呆资产管理合伙企业（有限合伙）</x:v>
      </x:c>
      <x:c r="D29" s="155" t="str">
        <x:v>有限合伙</x:v>
      </x:c>
      <x:c r="E29" s="155" t="str">
        <x:v>RELATED</x:v>
      </x:c>
      <x:c r="F29" s="155" t="str">
        <x:v>仅列PE/VC相关主体</x:v>
      </x:c>
      <x:c r="G29" s="155" t="str">
        <x:v>GP/执行事务合伙人</x:v>
      </x:c>
      <x:c r="H29" s="155" t="str">
        <x:v>否</x:v>
      </x:c>
      <x:c r="I29" s="155" t="str">
        <x:v>CE-009</x:v>
      </x:c>
      <x:c r="J29" s="155"/>
      <x:c r="K29" s="155" t="str">
        <x:v>关系主体</x:v>
      </x:c>
      <x:c r="L29" s="155" t="str"/>
      <x:c r="M29" s="155" t="str"/>
      <x:c r="N29" s="155" t="str">
        <x:v>原文披露其为天健创投普通合伙人及执行事务合伙人。</x:v>
      </x:c>
      <x:c r="O29" s="155" t="str">
        <x:v>EVD-005｜EVD-024</x:v>
      </x:c>
      <x:c r="P29" s="155" t="str">
        <x:v>58</x:v>
      </x:c>
      <x:c r="Q29" s="155" t="str">
        <x:v>57</x:v>
      </x:c>
      <x:c r="R29" s="155" t="str">
        <x:v>HIGH</x:v>
      </x:c>
      <x:c r="S29" s="155" t="str">
        <x:v>确认通过，维持RELATED分类。</x:v>
      </x:c>
      <x:c r="T29" s="156" t="str">
        <x:v>相关关系不自动构成发行人权益投资路径；未披露持有比例或最终受益人不推算。</x:v>
      </x:c>
    </x:row>
    <x:row r="30">
      <x:c r="A30" s="154" t="str">
        <x:v>PEVC-024</x:v>
      </x:c>
      <x:c r="B30" s="155" t="str">
        <x:v>ENT-R006</x:v>
      </x:c>
      <x:c r="C30" s="155" t="str">
        <x:v>深圳市东方富海创业投资管理有限公司</x:v>
      </x:c>
      <x:c r="D30" s="155" t="str">
        <x:v>公司</x:v>
      </x:c>
      <x:c r="E30" s="155" t="str">
        <x:v>RELATED</x:v>
      </x:c>
      <x:c r="F30" s="155" t="str">
        <x:v>仅列PE/VC相关主体</x:v>
      </x:c>
      <x:c r="G30" s="155" t="str">
        <x:v>GP</x:v>
      </x:c>
      <x:c r="H30" s="155" t="str">
        <x:v>否</x:v>
      </x:c>
      <x:c r="I30" s="155" t="str">
        <x:v>CE-010-01</x:v>
      </x:c>
      <x:c r="J30" s="155"/>
      <x:c r="K30" s="155" t="str">
        <x:v>关系主体</x:v>
      </x:c>
      <x:c r="L30" s="155" t="str"/>
      <x:c r="M30" s="155" t="str"/>
      <x:c r="N30" s="155" t="str">
        <x:v>招股书股东构成表披露其为南山富海GP。</x:v>
      </x:c>
      <x:c r="O30" s="155" t="str">
        <x:v>EVD-015｜EVD-024</x:v>
      </x:c>
      <x:c r="P30" s="155" t="str">
        <x:v>84</x:v>
      </x:c>
      <x:c r="Q30" s="155" t="str">
        <x:v>83</x:v>
      </x:c>
      <x:c r="R30" s="155" t="str">
        <x:v>HIGH</x:v>
      </x:c>
      <x:c r="S30" s="155" t="str">
        <x:v>确认通过，维持RELATED分类。</x:v>
      </x:c>
      <x:c r="T30" s="156" t="str">
        <x:v>相关关系不自动构成发行人权益投资路径；未披露持有比例或最终受益人不推算。</x:v>
      </x:c>
    </x:row>
    <x:row r="31">
      <x:c r="A31" s="154" t="str">
        <x:v>PEVC-025</x:v>
      </x:c>
      <x:c r="B31" s="155" t="str">
        <x:v>ENT-R008</x:v>
      </x:c>
      <x:c r="C31" s="155" t="str">
        <x:v>深圳市富海中小企业发展基金股权投资管理有限公司</x:v>
      </x:c>
      <x:c r="D31" s="155" t="str">
        <x:v>公司</x:v>
      </x:c>
      <x:c r="E31" s="155" t="str">
        <x:v>RELATED</x:v>
      </x:c>
      <x:c r="F31" s="155" t="str">
        <x:v>仅列PE/VC相关主体</x:v>
      </x:c>
      <x:c r="G31" s="155" t="str">
        <x:v>GP</x:v>
      </x:c>
      <x:c r="H31" s="155" t="str">
        <x:v>否</x:v>
      </x:c>
      <x:c r="I31" s="155" t="str">
        <x:v>CE-013-01</x:v>
      </x:c>
      <x:c r="J31" s="155"/>
      <x:c r="K31" s="155" t="str">
        <x:v>关系主体</x:v>
      </x:c>
      <x:c r="L31" s="155" t="str"/>
      <x:c r="M31" s="155" t="str"/>
      <x:c r="N31" s="155" t="str">
        <x:v>招股书股东构成表披露其为中小企业基金GP。</x:v>
      </x:c>
      <x:c r="O31" s="155" t="str">
        <x:v>EVD-016｜EVD-024</x:v>
      </x:c>
      <x:c r="P31" s="155" t="str">
        <x:v>87</x:v>
      </x:c>
      <x:c r="Q31" s="155" t="str">
        <x:v>86</x:v>
      </x:c>
      <x:c r="R31" s="155" t="str">
        <x:v>HIGH</x:v>
      </x:c>
      <x:c r="S31" s="155" t="str">
        <x:v>确认通过，维持RELATED分类。</x:v>
      </x:c>
      <x:c r="T31" s="156" t="str">
        <x:v>相关关系不自动构成发行人权益投资路径；未披露持有比例或最终受益人不推算。</x:v>
      </x:c>
    </x:row>
    <x:row r="32">
      <x:c r="A32" s="154" t="str">
        <x:v>PEVC-026</x:v>
      </x:c>
      <x:c r="B32" s="155" t="str">
        <x:v>ENT-R005</x:v>
      </x:c>
      <x:c r="C32" s="155" t="str">
        <x:v>芜湖兴安创业投资基金管理有限公司</x:v>
      </x:c>
      <x:c r="D32" s="155" t="str">
        <x:v>公司</x:v>
      </x:c>
      <x:c r="E32" s="155" t="str">
        <x:v>RELATED</x:v>
      </x:c>
      <x:c r="F32" s="155" t="str">
        <x:v>仅列PE/VC相关主体</x:v>
      </x:c>
      <x:c r="G32" s="155" t="str">
        <x:v>GP</x:v>
      </x:c>
      <x:c r="H32" s="155" t="str">
        <x:v>否</x:v>
      </x:c>
      <x:c r="I32" s="155" t="str">
        <x:v>CE-004</x:v>
      </x:c>
      <x:c r="J32" s="155"/>
      <x:c r="K32" s="155" t="str">
        <x:v>关系主体</x:v>
      </x:c>
      <x:c r="L32" s="155" t="str"/>
      <x:c r="M32" s="155" t="str"/>
      <x:c r="N32" s="155" t="str">
        <x:v>招股书股东构成表披露其为芜湖富海GP。</x:v>
      </x:c>
      <x:c r="O32" s="155" t="str">
        <x:v>EVD-013｜EVD-024</x:v>
      </x:c>
      <x:c r="P32" s="155" t="str">
        <x:v>82</x:v>
      </x:c>
      <x:c r="Q32" s="155" t="str">
        <x:v>81</x:v>
      </x:c>
      <x:c r="R32" s="155" t="str">
        <x:v>HIGH</x:v>
      </x:c>
      <x:c r="S32" s="155" t="str">
        <x:v>确认通过，维持RELATED分类。</x:v>
      </x:c>
      <x:c r="T32" s="156" t="str">
        <x:v>相关关系不自动构成发行人权益投资路径；未披露持有比例或最终受益人不推算。</x:v>
      </x:c>
    </x:row>
    <x:row r="33">
      <x:c r="A33" s="154" t="str">
        <x:v>PEVC-027</x:v>
      </x:c>
      <x:c r="B33" s="155" t="str">
        <x:v>ENT-031</x:v>
      </x:c>
      <x:c r="C33" s="155" t="str">
        <x:v>福建开京集团有限责任公司</x:v>
      </x:c>
      <x:c r="D33" s="155" t="str">
        <x:v>公司</x:v>
      </x:c>
      <x:c r="E33" s="155" t="str">
        <x:v>UNRESOLVED</x:v>
      </x:c>
      <x:c r="F33" s="155" t="str">
        <x:v>信息不足，保留未决</x:v>
      </x:c>
      <x:c r="G33" s="155" t="str">
        <x:v>直接机构受让方</x:v>
      </x:c>
      <x:c r="H33" s="155" t="str">
        <x:v>是</x:v>
      </x:c>
      <x:c r="I33" s="155" t="str">
        <x:v>CE-013-02</x:v>
      </x:c>
      <x:c r="J33" s="155"/>
      <x:c r="K33" s="155" t="str">
        <x:v>持续持有</x:v>
      </x:c>
      <x:c r="L33" s="155" t="str">
        <x:v>CE-013-02</x:v>
      </x:c>
      <x:c r="M33" s="155" t="str">
        <x:v>受让进入</x:v>
      </x:c>
      <x:c r="N33" s="155" t="str">
        <x:v>刘云锋→福建开京集团有限责任公司→发行人</x:v>
      </x:c>
      <x:c r="O33" s="155" t="str">
        <x:v>EVD-011｜EVD-020</x:v>
      </x:c>
      <x:c r="P33" s="155" t="str">
        <x:v>64—65</x:v>
      </x:c>
      <x:c r="Q33" s="155" t="str">
        <x:v>63—64</x:v>
      </x:c>
      <x:c r="R33" s="155" t="str">
        <x:v>LOW</x:v>
      </x:c>
      <x:c r="S33" s="155" t="str">
        <x:v>确认通过，维持UNRESOLVED分类。</x:v>
      </x:c>
      <x:c r="T33" s="156" t="str">
        <x:v>招股说明书未披露主体主营业务、基金属性或投资目的，不能进一步判断。</x:v>
      </x:c>
    </x:row>
    <x:row r="34">
      <x:c r="A34" s="154" t="str">
        <x:v>PEVC-028</x:v>
      </x:c>
      <x:c r="B34" s="155" t="str">
        <x:v>ENT-036</x:v>
      </x:c>
      <x:c r="C34" s="155" t="str">
        <x:v>萍乡市湘裕君源企业管理中心（有限合伙）</x:v>
      </x:c>
      <x:c r="D34" s="155" t="str">
        <x:v>有限合伙</x:v>
      </x:c>
      <x:c r="E34" s="155" t="str">
        <x:v>UNRESOLVED</x:v>
      </x:c>
      <x:c r="F34" s="155" t="str">
        <x:v>信息不足，保留未决</x:v>
      </x:c>
      <x:c r="G34" s="155" t="str">
        <x:v>直接有限合伙受让方</x:v>
      </x:c>
      <x:c r="H34" s="155" t="str">
        <x:v>是</x:v>
      </x:c>
      <x:c r="I34" s="155" t="str">
        <x:v>CE-013-02</x:v>
      </x:c>
      <x:c r="J34" s="155"/>
      <x:c r="K34" s="155" t="str">
        <x:v>持续持有</x:v>
      </x:c>
      <x:c r="L34" s="155" t="str">
        <x:v>CE-013-02</x:v>
      </x:c>
      <x:c r="M34" s="155" t="str">
        <x:v>受让进入｜追加受让</x:v>
      </x:c>
      <x:c r="N34" s="155" t="str">
        <x:v>刘云锋→萍乡市湘裕君源企业管理中心（有限合伙）→发行人；李文发→萍乡市湘裕君源企业管理中心（有限合伙）→发行人；秦国君→萍乡市湘裕君源企业管理中心（有限合伙）→发行人</x:v>
      </x:c>
      <x:c r="O34" s="155" t="str">
        <x:v>EVD-011｜EVD-020</x:v>
      </x:c>
      <x:c r="P34" s="155" t="str">
        <x:v>64—65</x:v>
      </x:c>
      <x:c r="Q34" s="155" t="str">
        <x:v>63—64</x:v>
      </x:c>
      <x:c r="R34" s="155" t="str">
        <x:v>LOW</x:v>
      </x:c>
      <x:c r="S34" s="155" t="str">
        <x:v>确认通过，维持UNRESOLVED分类。</x:v>
      </x:c>
      <x:c r="T34" s="156" t="str">
        <x:v>招股说明书未披露主体主营业务、基金属性或投资目的，不能进一步判断。</x:v>
      </x:c>
    </x:row>
    <x:row r="35">
      <x:c r="A35" s="154" t="str">
        <x:v>PEVC-029</x:v>
      </x:c>
      <x:c r="B35" s="155" t="str">
        <x:v>ENT-ISSUER</x:v>
      </x:c>
      <x:c r="C35" s="155" t="str">
        <x:v>云汉芯城（上海）互联网科技股份有限公司</x:v>
      </x:c>
      <x:c r="D35" s="155" t="str">
        <x:v>发行人</x:v>
      </x:c>
      <x:c r="E35" s="155" t="str">
        <x:v>EXCLUDED</x:v>
      </x:c>
      <x:c r="F35" s="155" t="str">
        <x:v>排除PE/VC名单</x:v>
      </x:c>
      <x:c r="G35" s="155" t="str">
        <x:v>被投资企业</x:v>
      </x:c>
      <x:c r="H35" s="155" t="str">
        <x:v>不适用</x:v>
      </x:c>
      <x:c r="I35" s="155"/>
      <x:c r="J35" s="155"/>
      <x:c r="K35" s="155" t="str">
        <x:v>持续经营</x:v>
      </x:c>
      <x:c r="L35" s="155" t="str"/>
      <x:c r="M35" s="155" t="str"/>
      <x:c r="N35" s="155" t="str">
        <x:v>阶段八路径的最终下游主体，不属于PE/VC。</x:v>
      </x:c>
      <x:c r="O35" s="155" t="str">
        <x:v>EVD-001</x:v>
      </x:c>
      <x:c r="P35" s="155" t="str">
        <x:v>11</x:v>
      </x:c>
      <x:c r="Q35" s="155" t="str">
        <x:v>10</x:v>
      </x:c>
      <x:c r="R35" s="155" t="str">
        <x:v>HIGH</x:v>
      </x:c>
      <x:c r="S35" s="155" t="str">
        <x:v>确认通过，维持EXCLUDED分类。</x:v>
      </x:c>
      <x:c r="T35" s="156" t="str"/>
    </x:row>
    <x:row r="36">
      <x:c r="A36" s="154" t="str">
        <x:v>PEVC-030</x:v>
      </x:c>
      <x:c r="B36" s="155" t="str">
        <x:v>ENT-034</x:v>
      </x:c>
      <x:c r="C36" s="155" t="str">
        <x:v>余满芬</x:v>
      </x:c>
      <x:c r="D36" s="155" t="str">
        <x:v>自然人</x:v>
      </x:c>
      <x:c r="E36" s="155" t="str">
        <x:v>EXCLUDED</x:v>
      </x:c>
      <x:c r="F36" s="155" t="str">
        <x:v>排除PE/VC名单</x:v>
      </x:c>
      <x:c r="G36" s="155" t="str">
        <x:v>自然人受让方</x:v>
      </x:c>
      <x:c r="H36" s="155" t="str">
        <x:v>是</x:v>
      </x:c>
      <x:c r="I36" s="155" t="str">
        <x:v>CE-013-02</x:v>
      </x:c>
      <x:c r="J36" s="155"/>
      <x:c r="K36" s="155" t="str">
        <x:v>持续持有</x:v>
      </x:c>
      <x:c r="L36" s="155" t="str"/>
      <x:c r="M36" s="155" t="str"/>
      <x:c r="N36" s="155" t="str">
        <x:v>自然人，不纳入PE/VC机构主体。</x:v>
      </x:c>
      <x:c r="O36" s="155" t="str">
        <x:v>EVD-011</x:v>
      </x:c>
      <x:c r="P36" s="155" t="str">
        <x:v>56—65</x:v>
      </x:c>
      <x:c r="Q36" s="155" t="str">
        <x:v>55—64</x:v>
      </x:c>
      <x:c r="R36" s="155" t="str">
        <x:v>HIGH</x:v>
      </x:c>
      <x:c r="S36" s="155" t="str">
        <x:v>确认通过，维持EXCLUDED分类。</x:v>
      </x:c>
      <x:c r="T36" s="156" t="str"/>
    </x:row>
    <x:row r="37">
      <x:c r="A37" s="154" t="str">
        <x:v>PEVC-031</x:v>
      </x:c>
      <x:c r="B37" s="155" t="str">
        <x:v>ENT-002</x:v>
      </x:c>
      <x:c r="C37" s="155" t="str">
        <x:v>刘云锋</x:v>
      </x:c>
      <x:c r="D37" s="155" t="str">
        <x:v>自然人</x:v>
      </x:c>
      <x:c r="E37" s="155" t="str">
        <x:v>EXCLUDED</x:v>
      </x:c>
      <x:c r="F37" s="155" t="str">
        <x:v>排除PE/VC名单</x:v>
      </x:c>
      <x:c r="G37" s="155" t="str">
        <x:v>创始股东/交易对手</x:v>
      </x:c>
      <x:c r="H37" s="155" t="str">
        <x:v>是</x:v>
      </x:c>
      <x:c r="I37" s="155" t="str">
        <x:v>CE-001</x:v>
      </x:c>
      <x:c r="J37" s="155"/>
      <x:c r="K37" s="155" t="str">
        <x:v>持续持有</x:v>
      </x:c>
      <x:c r="L37" s="155" t="str"/>
      <x:c r="M37" s="155" t="str"/>
      <x:c r="N37" s="155" t="str">
        <x:v>自然人创始股东。</x:v>
      </x:c>
      <x:c r="O37" s="155" t="str">
        <x:v>EVD-020</x:v>
      </x:c>
      <x:c r="P37" s="155" t="str">
        <x:v>56—65</x:v>
      </x:c>
      <x:c r="Q37" s="155" t="str">
        <x:v>55—64</x:v>
      </x:c>
      <x:c r="R37" s="155" t="str">
        <x:v>HIGH</x:v>
      </x:c>
      <x:c r="S37" s="155" t="str">
        <x:v>确认通过，维持EXCLUDED分类。</x:v>
      </x:c>
      <x:c r="T37" s="156" t="str"/>
    </x:row>
    <x:row r="38">
      <x:c r="A38" s="154" t="str">
        <x:v>PEVC-032</x:v>
      </x:c>
      <x:c r="B38" s="155" t="str">
        <x:v>ENT-023</x:v>
      </x:c>
      <x:c r="C38" s="155" t="str">
        <x:v>周雪峰</x:v>
      </x:c>
      <x:c r="D38" s="155" t="str">
        <x:v>自然人</x:v>
      </x:c>
      <x:c r="E38" s="155" t="str">
        <x:v>EXCLUDED</x:v>
      </x:c>
      <x:c r="F38" s="155" t="str">
        <x:v>排除PE/VC名单</x:v>
      </x:c>
      <x:c r="G38" s="155" t="str">
        <x:v>管理层激励对象</x:v>
      </x:c>
      <x:c r="H38" s="155" t="str">
        <x:v>是</x:v>
      </x:c>
      <x:c r="I38" s="155" t="str">
        <x:v>CE-010-02</x:v>
      </x:c>
      <x:c r="J38" s="155"/>
      <x:c r="K38" s="155" t="str">
        <x:v>持续持有</x:v>
      </x:c>
      <x:c r="L38" s="155" t="str"/>
      <x:c r="M38" s="155" t="str"/>
      <x:c r="N38" s="155" t="str">
        <x:v>管理团队成员，以股权激励价格增资。</x:v>
      </x:c>
      <x:c r="O38" s="155" t="str">
        <x:v>EVD-006</x:v>
      </x:c>
      <x:c r="P38" s="155" t="str">
        <x:v>56—65</x:v>
      </x:c>
      <x:c r="Q38" s="155" t="str">
        <x:v>55—64</x:v>
      </x:c>
      <x:c r="R38" s="155" t="str">
        <x:v>HIGH</x:v>
      </x:c>
      <x:c r="S38" s="155" t="str">
        <x:v>确认通过，维持EXCLUDED分类。</x:v>
      </x:c>
      <x:c r="T38" s="156" t="str"/>
    </x:row>
    <x:row r="39">
      <x:c r="A39" s="154" t="str">
        <x:v>PEVC-033</x:v>
      </x:c>
      <x:c r="B39" s="155" t="str">
        <x:v>ENT-017</x:v>
      </x:c>
      <x:c r="C39" s="155" t="str">
        <x:v>夏东</x:v>
      </x:c>
      <x:c r="D39" s="155" t="str">
        <x:v>自然人</x:v>
      </x:c>
      <x:c r="E39" s="155" t="str">
        <x:v>EXCLUDED</x:v>
      </x:c>
      <x:c r="F39" s="155" t="str">
        <x:v>排除PE/VC名单</x:v>
      </x:c>
      <x:c r="G39" s="155" t="str">
        <x:v>自然人财务投资者</x:v>
      </x:c>
      <x:c r="H39" s="155" t="str">
        <x:v>是</x:v>
      </x:c>
      <x:c r="I39" s="155" t="str">
        <x:v>CE-010-01</x:v>
      </x:c>
      <x:c r="J39" s="155"/>
      <x:c r="K39" s="155" t="str">
        <x:v>持续持有</x:v>
      </x:c>
      <x:c r="L39" s="155" t="str">
        <x:v>CE-010-01</x:v>
      </x:c>
      <x:c r="M39" s="155" t="str">
        <x:v>增资进入</x:v>
      </x:c>
      <x:c r="N39" s="155" t="str">
        <x:v>夏东→发行人</x:v>
      </x:c>
      <x:c r="O39" s="155" t="str">
        <x:v>EVD-006</x:v>
      </x:c>
      <x:c r="P39" s="155" t="str">
        <x:v>59—61</x:v>
      </x:c>
      <x:c r="Q39" s="155" t="str">
        <x:v>58—60</x:v>
      </x:c>
      <x:c r="R39" s="155" t="str">
        <x:v>HIGH</x:v>
      </x:c>
      <x:c r="S39" s="155" t="str">
        <x:v>确认通过，维持EXCLUDED分类。</x:v>
      </x:c>
      <x:c r="T39" s="156" t="str"/>
    </x:row>
    <x:row r="40">
      <x:c r="A40" s="154" t="str">
        <x:v>PEVC-034</x:v>
      </x:c>
      <x:c r="B40" s="155" t="str">
        <x:v>ENT-004</x:v>
      </x:c>
      <x:c r="C40" s="155" t="str">
        <x:v>宁波为赛咨询管理中心（有限合伙）</x:v>
      </x:c>
      <x:c r="D40" s="155" t="str">
        <x:v>有限合伙</x:v>
      </x:c>
      <x:c r="E40" s="155" t="str">
        <x:v>EXCLUDED</x:v>
      </x:c>
      <x:c r="F40" s="155" t="str">
        <x:v>排除PE/VC名单</x:v>
      </x:c>
      <x:c r="G40" s="155" t="str">
        <x:v>员工及管理层持股平台</x:v>
      </x:c>
      <x:c r="H40" s="155" t="str">
        <x:v>是</x:v>
      </x:c>
      <x:c r="I40" s="155" t="str">
        <x:v>CE-003</x:v>
      </x:c>
      <x:c r="J40" s="155" t="str">
        <x:v>CE-011</x:v>
      </x:c>
      <x:c r="K40" s="155" t="str">
        <x:v>部分退出后持续持有</x:v>
      </x:c>
      <x:c r="L40" s="155" t="str">
        <x:v>CE-003</x:v>
      </x:c>
      <x:c r="M40" s="155" t="str">
        <x:v>受让进入</x:v>
      </x:c>
      <x:c r="N40" s="155" t="str">
        <x:v>原股东→为赛咨询→发行人</x:v>
      </x:c>
      <x:c r="O40" s="155" t="str">
        <x:v>EVD-008｜EVD-020</x:v>
      </x:c>
      <x:c r="P40" s="155" t="str">
        <x:v>56｜61—62</x:v>
      </x:c>
      <x:c r="Q40" s="155" t="str">
        <x:v>55｜60—61</x:v>
      </x:c>
      <x:c r="R40" s="155" t="str">
        <x:v>MEDIUM</x:v>
      </x:c>
      <x:c r="S40" s="155" t="str">
        <x:v>确认通过，维持EXCLUDED分类。</x:v>
      </x:c>
      <x:c r="T40" s="156" t="str"/>
    </x:row>
    <x:row r="41">
      <x:c r="A41" s="154" t="str">
        <x:v>PEVC-035</x:v>
      </x:c>
      <x:c r="B41" s="155" t="str">
        <x:v>ENT-035</x:v>
      </x:c>
      <x:c r="C41" s="155" t="str">
        <x:v>崔振南</x:v>
      </x:c>
      <x:c r="D41" s="155" t="str">
        <x:v>自然人</x:v>
      </x:c>
      <x:c r="E41" s="155" t="str">
        <x:v>EXCLUDED</x:v>
      </x:c>
      <x:c r="F41" s="155" t="str">
        <x:v>排除PE/VC名单</x:v>
      </x:c>
      <x:c r="G41" s="155" t="str">
        <x:v>自然人受让方</x:v>
      </x:c>
      <x:c r="H41" s="155" t="str">
        <x:v>是</x:v>
      </x:c>
      <x:c r="I41" s="155" t="str">
        <x:v>CE-013-02</x:v>
      </x:c>
      <x:c r="J41" s="155"/>
      <x:c r="K41" s="155" t="str">
        <x:v>持续持有</x:v>
      </x:c>
      <x:c r="L41" s="155" t="str"/>
      <x:c r="M41" s="155" t="str"/>
      <x:c r="N41" s="155" t="str">
        <x:v>自然人，不纳入PE/VC机构主体。</x:v>
      </x:c>
      <x:c r="O41" s="155" t="str">
        <x:v>EVD-011</x:v>
      </x:c>
      <x:c r="P41" s="155" t="str">
        <x:v>56—65</x:v>
      </x:c>
      <x:c r="Q41" s="155" t="str">
        <x:v>55—64</x:v>
      </x:c>
      <x:c r="R41" s="155" t="str">
        <x:v>HIGH</x:v>
      </x:c>
      <x:c r="S41" s="155" t="str">
        <x:v>确认通过，维持EXCLUDED分类。</x:v>
      </x:c>
      <x:c r="T41" s="156" t="str"/>
    </x:row>
    <x:row r="42">
      <x:c r="A42" s="154" t="str">
        <x:v>PEVC-036</x:v>
      </x:c>
      <x:c r="B42" s="155" t="str">
        <x:v>ENT-003</x:v>
      </x:c>
      <x:c r="C42" s="155" t="str">
        <x:v>曾烨</x:v>
      </x:c>
      <x:c r="D42" s="155" t="str">
        <x:v>自然人</x:v>
      </x:c>
      <x:c r="E42" s="155" t="str">
        <x:v>EXCLUDED</x:v>
      </x:c>
      <x:c r="F42" s="155" t="str">
        <x:v>排除PE/VC名单</x:v>
      </x:c>
      <x:c r="G42" s="155" t="str">
        <x:v>创始股东/交易对手</x:v>
      </x:c>
      <x:c r="H42" s="155" t="str">
        <x:v>是</x:v>
      </x:c>
      <x:c r="I42" s="155" t="str">
        <x:v>CE-002-01</x:v>
      </x:c>
      <x:c r="J42" s="155"/>
      <x:c r="K42" s="155" t="str">
        <x:v>持续持有</x:v>
      </x:c>
      <x:c r="L42" s="155" t="str"/>
      <x:c r="M42" s="155" t="str"/>
      <x:c r="N42" s="155" t="str">
        <x:v>自然人创始股东。</x:v>
      </x:c>
      <x:c r="O42" s="155" t="str">
        <x:v>EVD-020</x:v>
      </x:c>
      <x:c r="P42" s="155" t="str">
        <x:v>56—65</x:v>
      </x:c>
      <x:c r="Q42" s="155" t="str">
        <x:v>55—64</x:v>
      </x:c>
      <x:c r="R42" s="155" t="str">
        <x:v>HIGH</x:v>
      </x:c>
      <x:c r="S42" s="155" t="str">
        <x:v>确认通过，维持EXCLUDED分类。</x:v>
      </x:c>
      <x:c r="T42" s="156" t="str"/>
    </x:row>
    <x:row r="43">
      <x:c r="A43" s="154" t="str">
        <x:v>PEVC-037</x:v>
      </x:c>
      <x:c r="B43" s="155" t="str">
        <x:v>ENT-022</x:v>
      </x:c>
      <x:c r="C43" s="155" t="str">
        <x:v>李剑峰</x:v>
      </x:c>
      <x:c r="D43" s="155" t="str">
        <x:v>自然人</x:v>
      </x:c>
      <x:c r="E43" s="155" t="str">
        <x:v>EXCLUDED</x:v>
      </x:c>
      <x:c r="F43" s="155" t="str">
        <x:v>排除PE/VC名单</x:v>
      </x:c>
      <x:c r="G43" s="155" t="str">
        <x:v>管理层激励对象</x:v>
      </x:c>
      <x:c r="H43" s="155" t="str">
        <x:v>是</x:v>
      </x:c>
      <x:c r="I43" s="155" t="str">
        <x:v>CE-010-02</x:v>
      </x:c>
      <x:c r="J43" s="155"/>
      <x:c r="K43" s="155" t="str">
        <x:v>持续持有</x:v>
      </x:c>
      <x:c r="L43" s="155" t="str"/>
      <x:c r="M43" s="155" t="str"/>
      <x:c r="N43" s="155" t="str">
        <x:v>管理团队成员，以股权激励价格增资。</x:v>
      </x:c>
      <x:c r="O43" s="155" t="str">
        <x:v>EVD-006</x:v>
      </x:c>
      <x:c r="P43" s="155" t="str">
        <x:v>56—65</x:v>
      </x:c>
      <x:c r="Q43" s="155" t="str">
        <x:v>55—64</x:v>
      </x:c>
      <x:c r="R43" s="155" t="str">
        <x:v>HIGH</x:v>
      </x:c>
      <x:c r="S43" s="155" t="str">
        <x:v>确认通过，维持EXCLUDED分类。</x:v>
      </x:c>
      <x:c r="T43" s="156" t="str"/>
    </x:row>
    <x:row r="44">
      <x:c r="A44" s="154" t="str">
        <x:v>PEVC-038</x:v>
      </x:c>
      <x:c r="B44" s="155" t="str">
        <x:v>ENT-020</x:v>
      </x:c>
      <x:c r="C44" s="155" t="str">
        <x:v>李文发</x:v>
      </x:c>
      <x:c r="D44" s="155" t="str">
        <x:v>自然人</x:v>
      </x:c>
      <x:c r="E44" s="155" t="str">
        <x:v>EXCLUDED</x:v>
      </x:c>
      <x:c r="F44" s="155" t="str">
        <x:v>排除PE/VC名单</x:v>
      </x:c>
      <x:c r="G44" s="155" t="str">
        <x:v>管理层激励对象/交易对手</x:v>
      </x:c>
      <x:c r="H44" s="155" t="str">
        <x:v>是</x:v>
      </x:c>
      <x:c r="I44" s="155" t="str">
        <x:v>CE-010-02</x:v>
      </x:c>
      <x:c r="J44" s="155"/>
      <x:c r="K44" s="155" t="str">
        <x:v>持续持有</x:v>
      </x:c>
      <x:c r="L44" s="155" t="str"/>
      <x:c r="M44" s="155" t="str"/>
      <x:c r="N44" s="155" t="str">
        <x:v>管理团队成员，以股权激励价格增资。</x:v>
      </x:c>
      <x:c r="O44" s="155" t="str">
        <x:v>EVD-006｜EVD-008</x:v>
      </x:c>
      <x:c r="P44" s="155" t="str">
        <x:v>56—65</x:v>
      </x:c>
      <x:c r="Q44" s="155" t="str">
        <x:v>55—64</x:v>
      </x:c>
      <x:c r="R44" s="155" t="str">
        <x:v>HIGH</x:v>
      </x:c>
      <x:c r="S44" s="155" t="str">
        <x:v>确认通过，维持EXCLUDED分类。</x:v>
      </x:c>
      <x:c r="T44" s="156" t="str"/>
    </x:row>
    <x:row r="45">
      <x:c r="A45" s="154" t="str">
        <x:v>PEVC-039</x:v>
      </x:c>
      <x:c r="B45" s="155" t="str">
        <x:v>ENT-005</x:v>
      </x:c>
      <x:c r="C45" s="155" t="str">
        <x:v>武汉力源信息技术股份有限公司</x:v>
      </x:c>
      <x:c r="D45" s="155" t="str">
        <x:v>公司</x:v>
      </x:c>
      <x:c r="E45" s="155" t="str">
        <x:v>EXCLUDED</x:v>
      </x:c>
      <x:c r="F45" s="155" t="str">
        <x:v>排除PE/VC名单</x:v>
      </x:c>
      <x:c r="G45" s="155" t="str">
        <x:v>产业投资主体</x:v>
      </x:c>
      <x:c r="H45" s="155" t="str">
        <x:v>是</x:v>
      </x:c>
      <x:c r="I45" s="155" t="str">
        <x:v>CE-004</x:v>
      </x:c>
      <x:c r="J45" s="155"/>
      <x:c r="K45" s="155" t="str">
        <x:v>持续持有</x:v>
      </x:c>
      <x:c r="L45" s="155" t="str">
        <x:v>CE-004｜CE-005</x:v>
      </x:c>
      <x:c r="M45" s="155" t="str">
        <x:v>增资进入｜追加增资</x:v>
      </x:c>
      <x:c r="N45" s="155" t="str">
        <x:v>武汉力源信息技术股份有限公司→发行人</x:v>
      </x:c>
      <x:c r="O45" s="155" t="str">
        <x:v>EVD-013</x:v>
      </x:c>
      <x:c r="P45" s="155" t="str">
        <x:v>56｜81—82</x:v>
      </x:c>
      <x:c r="Q45" s="155" t="str">
        <x:v>55｜80—81</x:v>
      </x:c>
      <x:c r="R45" s="155" t="str">
        <x:v>HIGH</x:v>
      </x:c>
      <x:c r="S45" s="155" t="str">
        <x:v>确认通过，维持EXCLUDED分类。</x:v>
      </x:c>
      <x:c r="T45" s="156" t="str"/>
    </x:row>
    <x:row r="46">
      <x:c r="A46" s="154" t="str">
        <x:v>PEVC-040</x:v>
      </x:c>
      <x:c r="B46" s="155" t="str">
        <x:v>ENT-032</x:v>
      </x:c>
      <x:c r="C46" s="155" t="str">
        <x:v>沈笑彦</x:v>
      </x:c>
      <x:c r="D46" s="155" t="str">
        <x:v>自然人</x:v>
      </x:c>
      <x:c r="E46" s="155" t="str">
        <x:v>EXCLUDED</x:v>
      </x:c>
      <x:c r="F46" s="155" t="str">
        <x:v>排除PE/VC名单</x:v>
      </x:c>
      <x:c r="G46" s="155" t="str">
        <x:v>自然人受让方</x:v>
      </x:c>
      <x:c r="H46" s="155" t="str">
        <x:v>是</x:v>
      </x:c>
      <x:c r="I46" s="155" t="str">
        <x:v>CE-013-02</x:v>
      </x:c>
      <x:c r="J46" s="155"/>
      <x:c r="K46" s="155" t="str">
        <x:v>持续持有</x:v>
      </x:c>
      <x:c r="L46" s="155" t="str"/>
      <x:c r="M46" s="155" t="str"/>
      <x:c r="N46" s="155" t="str">
        <x:v>自然人，不纳入PE/VC机构主体。</x:v>
      </x:c>
      <x:c r="O46" s="155" t="str">
        <x:v>EVD-011</x:v>
      </x:c>
      <x:c r="P46" s="155" t="str">
        <x:v>56—65</x:v>
      </x:c>
      <x:c r="Q46" s="155" t="str">
        <x:v>55—64</x:v>
      </x:c>
      <x:c r="R46" s="155" t="str">
        <x:v>HIGH</x:v>
      </x:c>
      <x:c r="S46" s="155" t="str">
        <x:v>确认通过，维持EXCLUDED分类。</x:v>
      </x:c>
      <x:c r="T46" s="156" t="str"/>
    </x:row>
    <x:row r="47">
      <x:c r="A47" s="154" t="str">
        <x:v>PEVC-041</x:v>
      </x:c>
      <x:c r="B47" s="155" t="str">
        <x:v>ENT-001</x:v>
      </x:c>
      <x:c r="C47" s="155" t="str">
        <x:v>深圳市云汉电子有限公司</x:v>
      </x:c>
      <x:c r="D47" s="155" t="str">
        <x:v>公司</x:v>
      </x:c>
      <x:c r="E47" s="155" t="str">
        <x:v>EXCLUDED</x:v>
      </x:c>
      <x:c r="F47" s="155" t="str">
        <x:v>排除PE/VC名单</x:v>
      </x:c>
      <x:c r="G47" s="155" t="str">
        <x:v>历史经营主体/转让方</x:v>
      </x:c>
      <x:c r="H47" s="155" t="str">
        <x:v>曾为直接股东</x:v>
      </x:c>
      <x:c r="I47" s="155" t="str">
        <x:v>CE-001</x:v>
      </x:c>
      <x:c r="J47" s="155" t="str">
        <x:v>CE-002-01</x:v>
      </x:c>
      <x:c r="K47" s="155" t="str">
        <x:v>全部退出</x:v>
      </x:c>
      <x:c r="L47" s="155" t="str"/>
      <x:c r="M47" s="155" t="str"/>
      <x:c r="N47" s="155" t="str">
        <x:v>发行人前身设立股东，不属于PE/VC。</x:v>
      </x:c>
      <x:c r="O47" s="155" t="str">
        <x:v>EVD-001｜EVD-020</x:v>
      </x:c>
      <x:c r="P47" s="155" t="str">
        <x:v>56—65</x:v>
      </x:c>
      <x:c r="Q47" s="155" t="str">
        <x:v>55—64</x:v>
      </x:c>
      <x:c r="R47" s="155" t="str">
        <x:v>HIGH</x:v>
      </x:c>
      <x:c r="S47" s="155" t="str">
        <x:v>确认通过，维持EXCLUDED分类。</x:v>
      </x:c>
      <x:c r="T47" s="156" t="str"/>
    </x:row>
    <x:row r="48">
      <x:c r="A48" s="154" t="str">
        <x:v>PEVC-042</x:v>
      </x:c>
      <x:c r="B48" s="155" t="str">
        <x:v>ENT-027</x:v>
      </x:c>
      <x:c r="C48" s="155" t="str">
        <x:v>福建火炬电子科技股份有限公司</x:v>
      </x:c>
      <x:c r="D48" s="155" t="str">
        <x:v>公司</x:v>
      </x:c>
      <x:c r="E48" s="155" t="str">
        <x:v>EXCLUDED</x:v>
      </x:c>
      <x:c r="F48" s="155" t="str">
        <x:v>排除PE/VC名单</x:v>
      </x:c>
      <x:c r="G48" s="155" t="str">
        <x:v>产业战略投资主体</x:v>
      </x:c>
      <x:c r="H48" s="155" t="str">
        <x:v>是</x:v>
      </x:c>
      <x:c r="I48" s="155" t="str">
        <x:v>CE-012</x:v>
      </x:c>
      <x:c r="J48" s="155"/>
      <x:c r="K48" s="155" t="str">
        <x:v>持续持有</x:v>
      </x:c>
      <x:c r="L48" s="155" t="str">
        <x:v>CE-012</x:v>
      </x:c>
      <x:c r="M48" s="155" t="str">
        <x:v>增资进入</x:v>
      </x:c>
      <x:c r="N48" s="155" t="str">
        <x:v>火炬电子→发行人</x:v>
      </x:c>
      <x:c r="O48" s="155" t="str">
        <x:v>EVD-009</x:v>
      </x:c>
      <x:c r="P48" s="155" t="str">
        <x:v>62—63</x:v>
      </x:c>
      <x:c r="Q48" s="155" t="str">
        <x:v>61—62</x:v>
      </x:c>
      <x:c r="R48" s="155" t="str">
        <x:v>MEDIUM</x:v>
      </x:c>
      <x:c r="S48" s="155" t="str">
        <x:v>确认通过，维持EXCLUDED分类。</x:v>
      </x:c>
      <x:c r="T48" s="156" t="str"/>
    </x:row>
    <x:row r="49">
      <x:c r="A49" s="154" t="str">
        <x:v>PEVC-043</x:v>
      </x:c>
      <x:c r="B49" s="155" t="str">
        <x:v>ENT-021</x:v>
      </x:c>
      <x:c r="C49" s="155" t="str">
        <x:v>秦国君</x:v>
      </x:c>
      <x:c r="D49" s="155" t="str">
        <x:v>自然人</x:v>
      </x:c>
      <x:c r="E49" s="155" t="str">
        <x:v>EXCLUDED</x:v>
      </x:c>
      <x:c r="F49" s="155" t="str">
        <x:v>排除PE/VC名单</x:v>
      </x:c>
      <x:c r="G49" s="155" t="str">
        <x:v>管理层激励对象/交易对手</x:v>
      </x:c>
      <x:c r="H49" s="155" t="str">
        <x:v>是</x:v>
      </x:c>
      <x:c r="I49" s="155" t="str">
        <x:v>CE-010-02</x:v>
      </x:c>
      <x:c r="J49" s="155"/>
      <x:c r="K49" s="155" t="str">
        <x:v>持续持有</x:v>
      </x:c>
      <x:c r="L49" s="155" t="str"/>
      <x:c r="M49" s="155" t="str"/>
      <x:c r="N49" s="155" t="str">
        <x:v>管理团队成员，以股权激励价格增资。</x:v>
      </x:c>
      <x:c r="O49" s="155" t="str">
        <x:v>EVD-006｜EVD-008</x:v>
      </x:c>
      <x:c r="P49" s="155" t="str">
        <x:v>56—65</x:v>
      </x:c>
      <x:c r="Q49" s="155" t="str">
        <x:v>55—64</x:v>
      </x:c>
      <x:c r="R49" s="155" t="str">
        <x:v>HIGH</x:v>
      </x:c>
      <x:c r="S49" s="155" t="str">
        <x:v>确认通过，维持EXCLUDED分类。</x:v>
      </x:c>
      <x:c r="T49" s="156" t="str"/>
    </x:row>
    <x:row r="50">
      <x:c r="A50" s="154" t="str">
        <x:v>PEVC-044</x:v>
      </x:c>
      <x:c r="B50" s="155" t="str">
        <x:v>ENT-033</x:v>
      </x:c>
      <x:c r="C50" s="155" t="str">
        <x:v>衣嘉平</x:v>
      </x:c>
      <x:c r="D50" s="155" t="str">
        <x:v>自然人</x:v>
      </x:c>
      <x:c r="E50" s="155" t="str">
        <x:v>EXCLUDED</x:v>
      </x:c>
      <x:c r="F50" s="155" t="str">
        <x:v>排除PE/VC名单</x:v>
      </x:c>
      <x:c r="G50" s="155" t="str">
        <x:v>自然人受让方</x:v>
      </x:c>
      <x:c r="H50" s="155" t="str">
        <x:v>是</x:v>
      </x:c>
      <x:c r="I50" s="155" t="str">
        <x:v>CE-013-02</x:v>
      </x:c>
      <x:c r="J50" s="155"/>
      <x:c r="K50" s="155" t="str">
        <x:v>持续持有</x:v>
      </x:c>
      <x:c r="L50" s="155" t="str"/>
      <x:c r="M50" s="155" t="str"/>
      <x:c r="N50" s="155" t="str">
        <x:v>自然人，不纳入PE/VC机构主体。</x:v>
      </x:c>
      <x:c r="O50" s="155" t="str">
        <x:v>EVD-011</x:v>
      </x:c>
      <x:c r="P50" s="155" t="str">
        <x:v>56—65</x:v>
      </x:c>
      <x:c r="Q50" s="155" t="str">
        <x:v>55—64</x:v>
      </x:c>
      <x:c r="R50" s="155" t="str">
        <x:v>HIGH</x:v>
      </x:c>
      <x:c r="S50" s="155" t="str">
        <x:v>确认通过，维持EXCLUDED分类。</x:v>
      </x:c>
      <x:c r="T50" s="156" t="str"/>
    </x:row>
    <x:row r="51">
      <x:c r="A51" s="157" t="str">
        <x:v>PEVC-045</x:v>
      </x:c>
      <x:c r="B51" s="158" t="str">
        <x:v>ENT-030</x:v>
      </x:c>
      <x:c r="C51" s="158" t="str">
        <x:v>郦韩英</x:v>
      </x:c>
      <x:c r="D51" s="158" t="str">
        <x:v>自然人</x:v>
      </x:c>
      <x:c r="E51" s="158" t="str">
        <x:v>EXCLUDED</x:v>
      </x:c>
      <x:c r="F51" s="158" t="str">
        <x:v>排除PE/VC名单</x:v>
      </x:c>
      <x:c r="G51" s="158" t="str">
        <x:v>自然人受让方</x:v>
      </x:c>
      <x:c r="H51" s="158" t="str">
        <x:v>是</x:v>
      </x:c>
      <x:c r="I51" s="158" t="str">
        <x:v>CE-013-02</x:v>
      </x:c>
      <x:c r="J51" s="158"/>
      <x:c r="K51" s="158" t="str">
        <x:v>持续持有</x:v>
      </x:c>
      <x:c r="L51" s="158" t="str"/>
      <x:c r="M51" s="158" t="str"/>
      <x:c r="N51" s="158" t="str">
        <x:v>自然人，不纳入PE/VC机构主体。</x:v>
      </x:c>
      <x:c r="O51" s="158" t="str">
        <x:v>EVD-011</x:v>
      </x:c>
      <x:c r="P51" s="158" t="str">
        <x:v>56—65</x:v>
      </x:c>
      <x:c r="Q51" s="158" t="str">
        <x:v>55—64</x:v>
      </x:c>
      <x:c r="R51" s="158" t="str">
        <x:v>HIGH</x:v>
      </x:c>
      <x:c r="S51" s="158" t="str">
        <x:v>确认通过，维持EXCLUDED分类。</x:v>
      </x:c>
      <x:c r="T51" s="159" t="str"/>
    </x:row>
  </x:sheetData>
  <x:mergeCells>
    <x:mergeCell ref="A1:T1"/>
    <x:mergeCell ref="A2:T2"/>
  </x:mergeCells>
  <x:conditionalFormatting sqref="E7:E51">
    <x:cfRule type="expression" dxfId="11" priority="1">
      <x:formula>E7="CONFIRMED"</x:formula>
    </x:cfRule>
    <x:cfRule type="expression" dxfId="12" priority="2">
      <x:formula>E7="CANDIDATE"</x:formula>
    </x:cfRule>
    <x:cfRule type="expression" dxfId="13" priority="3">
      <x:formula>E7="RELATED"</x:formula>
    </x:cfRule>
    <x:cfRule type="expression" dxfId="14" priority="4">
      <x:formula>E7="EXCLUDED"</x:formula>
    </x:cfRule>
    <x:cfRule type="expression" dxfId="15" priority="5">
      <x:formula>E7="UNRESOLVED"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0114fa6d50418f"/>
  </x:tableParts>
</x:worksheet>
</file>