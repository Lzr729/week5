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fafc9f8dcd473d" /></Relationships>
</file>

<file path=xl/workbook.xml><?xml version="1.0" encoding="utf-8"?>
<x:workbook xmlns:x="http://schemas.openxmlformats.org/spreadsheetml/2006/main">
  <x:sheets>
    <x:sheet xmlns:r="http://schemas.openxmlformats.org/officeDocument/2006/relationships" name="00_使用说明" sheetId="1" r:id="R6f67cd1484784398"/>
    <x:sheet xmlns:r="http://schemas.openxmlformats.org/officeDocument/2006/relationships" name="01_事件主表" sheetId="2" r:id="R785d229c1d8d4cc3"/>
    <x:sheet xmlns:r="http://schemas.openxmlformats.org/officeDocument/2006/relationships" name="02_参与方" sheetId="3" r:id="Rabb407536f4d4dd8"/>
    <x:sheet xmlns:r="http://schemas.openxmlformats.org/officeDocument/2006/relationships" name="03_原文证据" sheetId="4" r:id="R188bf4c0bbca438d"/>
    <x:sheet xmlns:r="http://schemas.openxmlformats.org/officeDocument/2006/relationships" name="04_原文数值" sheetId="5" r:id="R413ba423e09a4bad"/>
    <x:sheet xmlns:r="http://schemas.openxmlformats.org/officeDocument/2006/relationships" name="05_复核清单" sheetId="6" r:id="R9ea625c2d55c405d"/>
    <x:sheet xmlns:r="http://schemas.openxmlformats.org/officeDocument/2006/relationships" name="99_下拉选项" sheetId="7" r:id="Rff4691858fe1484f"/>
    <x:sheet xmlns:r="http://schemas.openxmlformats.org/officeDocument/2006/relationships" name="06_当前事件复核" sheetId="8" r:id="R7a60c96f135a4faa"/>
    <x:sheet xmlns:r="http://schemas.openxmlformats.org/officeDocument/2006/relationships" name="06_批量复核摘要" sheetId="9" r:id="R7173cf4565f348e9"/>
  </x:sheets>
</x:workbook>
</file>

<file path=xl/sharedStrings.xml><?xml version="1.0" encoding="utf-8"?>
<x:sst xmlns:x="http://schemas.openxmlformats.org/spreadsheetml/2006/main">
  <x:si>
    <x:t xml:space="preserve">阶段四：单事件人工理解与标注复核工作簿</x:t>
  </x:si>
  <x:si>
    <x:t xml:space="preserve">用途</x:t>
  </x:si>
  <x:si>
    <x:t xml:space="preserve">用于逐项复核CE-001至CE-014及CE-014五个轮次级候选项；每次仍只处理一个候选事件。</x:t>
  </x:si>
  <x:si>
    <x:t xml:space="preserve">复核进度</x:t>
  </x:si>
  <x:si>
    <x:t xml:space="preserve">事实来源</x:t>
  </x:si>
  <x:si>
    <x:t xml:space="preserve">301563云汉芯城招股说明书PDF为唯一主要事实来源；阶段三文件仅作为定位索引。</x:t>
  </x:si>
  <x:si>
    <x:t xml:space="preserve">指标</x:t>
  </x:si>
  <x:si>
    <x:t xml:space="preserve">结果</x:t>
  </x:si>
  <x:si>
    <x:t xml:space="preserve">复核状态</x:t>
  </x:si>
  <x:si>
    <x:t xml:space="preserve">数量</x:t>
  </x:si>
  <x:si>
    <x:t xml:space="preserve">填写顺序</x:t>
  </x:si>
  <x:si>
    <x:t xml:space="preserve">先在03_原文证据录入全部证据，再填写02_参与方和04_原文数值，最后完成01_事件主表与05_复核清单。</x:t>
  </x:si>
  <x:si>
    <x:t xml:space="preserve">候选记录总数</x:t>
  </x:si>
  <x:si>
    <x:t xml:space="preserve">已验收通过</x:t>
  </x:si>
  <x:si>
    <x:t xml:space="preserve">时间口径</x:t>
  </x:si>
  <x:si>
    <x:t xml:space="preserve">待人工复核</x:t>
  </x:si>
  <x:si>
    <x:t xml:space="preserve">数值边界</x:t>
  </x:si>
  <x:si>
    <x:t xml:space="preserve">只登记原文披露值；不计算最终投资金额、每股价格、持股比例、估值或投资收益。</x:t>
  </x:si>
  <x:si>
    <x:t xml:space="preserve">其他状态</x:t>
  </x:si>
  <x:si>
    <x:t xml:space="preserve">主体边界</x:t>
  </x:si>
  <x:si>
    <x:t xml:space="preserve">本阶段不判断PE/VC属性，不形成投资路径，不串联全部事件。</x:t>
  </x:si>
  <x:si>
    <x:t xml:space="preserve">拆分规则</x:t>
  </x:si>
  <x:si>
    <x:t xml:space="preserve">复合事件可拆分子事件；协议签署、付款、验资和工商登记若仅为同一交易的履行节点，通常不拆分。</x:t>
  </x:si>
  <x:si>
    <x:t xml:space="preserve">完成率</x:t>
  </x:si>
  <x:si>
    <x:t xml:space="preserve">证据要求</x:t>
  </x:si>
  <x:si>
    <x:t xml:space="preserve">每个核心结论必须绑定证据编号、章节编号、PDF阅读器页码、正文印刷页码及原文摘录。</x:t>
  </x:si>
  <x:si>
    <x:t xml:space="preserve">说明</x:t>
  </x:si>
  <x:si>
    <x:t xml:space="preserve">完成率以“已验收通过/候选记录总数”计算。</x:t>
  </x:si>
  <x:si>
    <x:t xml:space="preserve">状态说明</x:t>
  </x:si>
  <x:si>
    <x:t xml:space="preserve">工作簿结构</x:t>
  </x:si>
  <x:si>
    <x:t xml:space="preserve">工作表</x:t>
  </x:si>
  <x:si>
    <x:t xml:space="preserve">作用</x:t>
  </x:si>
  <x:si>
    <x:t xml:space="preserve">01_事件主表</x:t>
  </x:si>
  <x:si>
    <x:t xml:space="preserve">每个主事件、父级事件组或轮次级候选项一行，记录时间、拆分判断和人工结论。</x:t>
  </x:si>
  <x:si>
    <x:t xml:space="preserve">02_参与方</x:t>
  </x:si>
  <x:si>
    <x:t xml:space="preserve">每个事件中的每个主体一行，记录角色及股东变化方向。</x:t>
  </x:si>
  <x:si>
    <x:t xml:space="preserve">03_原文证据</x:t>
  </x:si>
  <x:si>
    <x:t xml:space="preserve">每段原文或完整表格一行，是全部结论的证据底稿。</x:t>
  </x:si>
  <x:si>
    <x:t xml:space="preserve">04_原文数值</x:t>
  </x:si>
  <x:si>
    <x:t xml:space="preserve">每个原文数值一行，严格保留数值、单位和口径。</x:t>
  </x:si>
  <x:si>
    <x:t xml:space="preserve">05_复核清单</x:t>
  </x:si>
  <x:si>
    <x:t xml:space="preserve">按事件检查证据、时间、角色、拆分、数值边界和阶段边界。</x:t>
  </x:si>
  <x:si>
    <x:t xml:space="preserve">99_下拉选项</x:t>
  </x:si>
  <x:si>
    <x:t xml:space="preserve">存放数据验证选项，一般无需修改。</x:t>
  </x:si>
  <x:si>
    <x:t xml:space="preserve">event_id</x:t>
  </x:si>
  <x:si>
    <x:t xml:space="preserve">parent_event_id</x:t>
  </x:si>
  <x:si>
    <x:t xml:space="preserve">event_level</x:t>
  </x:si>
  <x:si>
    <x:t xml:space="preserve">stage3_date</x:t>
  </x:si>
  <x:si>
    <x:t xml:space="preserve">stage3_title</x:t>
  </x:si>
  <x:si>
    <x:t xml:space="preserve">standard_event_name</x:t>
  </x:si>
  <x:si>
    <x:t xml:space="preserve">chapter_no</x:t>
  </x:si>
  <x:si>
    <x:t xml:space="preserve">chapter_title</x:t>
  </x:si>
  <x:si>
    <x:t xml:space="preserve">pdf_pages</x:t>
  </x:si>
  <x:si>
    <x:t xml:space="preserve">printed_pages</x:t>
  </x:si>
  <x:si>
    <x:t xml:space="preserve">event_type</x:t>
  </x:si>
  <x:si>
    <x:t xml:space="preserve">title_date</x:t>
  </x:si>
  <x:si>
    <x:t xml:space="preserve">application_or_resolution_date</x:t>
  </x:si>
  <x:si>
    <x:t xml:space="preserve">agreement_date</x:t>
  </x:si>
  <x:si>
    <x:t xml:space="preserve">payment_or_verification_date</x:t>
  </x:si>
  <x:si>
    <x:t xml:space="preserve">registration_date</x:t>
  </x:si>
  <x:si>
    <x:t xml:space="preserve">actual_completion_date</x:t>
  </x:si>
  <x:si>
    <x:t xml:space="preserve">date_notes</x:t>
  </x:si>
  <x:si>
    <x:t xml:space="preserve">is_composite</x:t>
  </x:si>
  <x:si>
    <x:t xml:space="preserve">split_result</x:t>
  </x:si>
  <x:si>
    <x:t xml:space="preserve">split_reason</x:t>
  </x:si>
  <x:si>
    <x:t xml:space="preserve">shareholder_change_summary</x:t>
  </x:si>
  <x:si>
    <x:t xml:space="preserve">original_values_summary</x:t>
  </x:si>
  <x:si>
    <x:t xml:space="preserve">special_agreement_tag</x:t>
  </x:si>
  <x:si>
    <x:t xml:space="preserve">confirmed_facts</x:t>
  </x:si>
  <x:si>
    <x:t xml:space="preserve">manual_judgment</x:t>
  </x:si>
  <x:si>
    <x:t xml:space="preserve">undisclosed_items</x:t>
  </x:si>
  <x:si>
    <x:t xml:space="preserve">review_questions</x:t>
  </x:si>
  <x:si>
    <x:t xml:space="preserve">review_status</x:t>
  </x:si>
  <x:si>
    <x:t xml:space="preserve">reviewer</x:t>
  </x:si>
  <x:si>
    <x:t xml:space="preserve">review_date</x:t>
  </x:si>
  <x:si>
    <x:t xml:space="preserve">source_note</x:t>
  </x:si>
  <x:si>
    <x:t xml:space="preserve">CE-001</x:t>
  </x:si>
  <x:si>
    <x:t xml:space="preserve">主事件</x:t>
  </x:si>
  <x:si>
    <x:t xml:space="preserve">2008年5月</x:t>
  </x:si>
  <x:si>
    <x:t xml:space="preserve">上海云汉电子有限公司设立</x:t>
  </x:si>
  <x:si>
    <x:t xml:space="preserve">2008年上海云汉电子有限公司设立</x:t>
  </x:si>
  <x:si>
    <x:t xml:space="preserve">C2-2</x:t>
  </x:si>
  <x:si>
    <x:t xml:space="preserve">第四节→二→（二）云汉有限的设立情况</x:t>
  </x:si>
  <x:si>
    <x:t xml:space="preserve">55—56</x:t>
  </x:si>
  <x:si>
    <x:t xml:space="preserve">54—55</x:t>
  </x:si>
  <x:si>
    <x:t xml:space="preserve">公司设立</x:t>
  </x:si>
  <x:si>
    <x:t xml:space="preserve">2008-04-17</x:t>
  </x:si>
  <x:si>
    <x:t xml:space="preserve">原文未披露</x:t>
  </x:si>
  <x:si>
    <x:t xml:space="preserve">截至2008-05-04的出资情况；验资报告出具日2008-05-05</x:t>
  </x:si>
  <x:si>
    <x:t xml:space="preserve">2008-05-07</x:t>
  </x:si>
  <x:si>
    <x:t xml:space="preserve">工商设立登记层面完成：2008-05-07；具体缴款日期原文未披露</x:t>
  </x:si>
  <x:si>
    <x:t xml:space="preserve">流程图仅披露至月份；不得用标题时间替代申请、验资或登记时间。</x:t>
  </x:si>
  <x:si>
    <x:t xml:space="preserve">否</x:t>
  </x:si>
  <x:si>
    <x:t xml:space="preserve">不拆分</x:t>
  </x:si>
  <x:si>
    <x:t xml:space="preserve">设立申请、出资审验和工商登记均为同一公司设立过程的不同程序节点；2021年验资复核不构成新资本事件。</x:t>
  </x:si>
  <x:si>
    <x:t xml:space="preserve">深圳市云汉电子有限公司、刘云锋：设立进入／初始新增</x:t>
  </x:si>
  <x:si>
    <x:t xml:space="preserve">注册资本50万元；两名股东各认缴25万元、各持股50%；登记前50万元已足额缴纳。</x:t>
  </x:si>
  <x:si>
    <x:t xml:space="preserve">不适用</x:t>
  </x:si>
  <x:si>
    <x:t xml:space="preserve">2008-04-17共同申请设立；2008-05-05出具验资报告；2008-05-07完成工商设立登记并取得营业执照。</x:t>
  </x:si>
  <x:si>
    <x:t xml:space="preserve">CE-001属于单一公司设立事件；2008-05-07为工商登记完成日；具体缴款日期不推定。</x:t>
  </x:si>
  <x:si>
    <x:t xml:space="preserve">设立协议名称及签署日；两名股东各自具体缴款日期。</x:t>
  </x:si>
  <x:si>
    <x:t xml:space="preserve">无关键待复核事项。</x:t>
  </x:si>
  <x:si>
    <x:t xml:space="preserve">用户复核确认</x:t>
  </x:si>
  <x:si>
    <x:t xml:space="preserve">阶段三候选事件清单＋本项目CE-001已验收标注</x:t>
  </x:si>
  <x:si>
    <x:t xml:space="preserve">CE-002</x:t>
  </x:si>
  <x:si>
    <x:t xml:space="preserve">2009年12月</x:t>
  </x:si>
  <x:si>
    <x:t xml:space="preserve">有限公司第一次股权转让及增资</x:t>
  </x:si>
  <x:si>
    <x:t xml:space="preserve">2009年12月有限公司第一次股权转让及增资</x:t>
  </x:si>
  <x:si>
    <x:t xml:space="preserve">C2-3</x:t>
  </x:si>
  <x:si>
    <x:t xml:space="preserve">第四节→二→（三）云汉有限设立以来股本演变情况</x:t>
  </x:si>
  <x:si>
    <x:t xml:space="preserve">56</x:t>
  </x:si>
  <x:si>
    <x:t xml:space="preserve">55</x:t>
  </x:si>
  <x:si>
    <x:t xml:space="preserve">股权转让｜增资</x:t>
  </x:si>
  <x:si>
    <x:t xml:space="preserve">2009年12月（结果性表述，仅精确到月份）</x:t>
  </x:si>
  <x:si>
    <x:t xml:space="preserve">原文只披露月份级事件时间；未分别披露转让协议日、增资决议日、缴款验资日及工商变更日。</x:t>
  </x:si>
  <x:si>
    <x:t xml:space="preserve">是</x:t>
  </x:si>
  <x:si>
    <x:t xml:space="preserve">拆分为2个子事件</x:t>
  </x:si>
  <x:si>
    <x:t xml:space="preserve">同一流程图节点包含股权转让和增资两种可独立成立的法律行为：先由深圳云汉电子转让全部持股给曾烨，再由曾烨、刘云锋按原持股比例增资。</x:t>
  </x:si>
  <x:si>
    <x:t xml:space="preserve">深圳云汉电子：全部转让并退出；曾烨：受让进入并参与增资；刘云锋：原股东参与增资。</x:t>
  </x:si>
  <x:si>
    <x:t xml:space="preserve">深圳云汉电子转让有限公司50%股权；曾烨、刘云锋合计增资50万元；注册资本增至100万元。</x:t>
  </x:si>
  <x:si>
    <x:t xml:space="preserve">2009年12月，深圳市云汉电子有限公司将其持有的有限公司50%股权转让给曾烨；曾烨、刘云锋按原持股比例增资50万元，注册资本增至100万元。</x:t>
  </x:si>
  <x:si>
    <x:t xml:space="preserve">CE-002应作为候选事件容器，拆分为CE-002-01股权转让和CE-002-02增资。月份级结果性表述能够确认行为已经发生，但不能推定各项精确完成日期。</x:t>
  </x:si>
  <x:si>
    <x:t xml:space="preserve">股权转让协议名称及签署日；增资协议或股东会决议日；具体缴款和验资日；工商变更日；股权转让价款；两名增资方各自增资额及增资后持股比例。</x:t>
  </x:si>
  <x:si>
    <x:t xml:space="preserve">请人工确认：①拆分为两个子事件；②深圳云汉电子按“全部转让”标记退出；③不计算曾烨、刘云锋各自增资额和增资后持股比例。</x:t>
  </x:si>
  <x:si>
    <x:t xml:space="preserve">事实来源：301563_云汉芯城_IPO招股说明书，PDF第56页／正文第55页流程图</x:t>
  </x:si>
  <x:si>
    <x:t xml:space="preserve">CE-003</x:t>
  </x:si>
  <x:si>
    <x:t xml:space="preserve">2014年6月</x:t>
  </x:si>
  <x:si>
    <x:t xml:space="preserve">有限公司第二次股权转让</x:t>
  </x:si>
  <x:si>
    <x:t xml:space="preserve">刘云锋向曾烨、为赛咨询分别转让有限公司股权</x:t>
  </x:si>
  <x:si>
    <x:t xml:space="preserve">股权转让</x:t>
  </x:si>
  <x:si>
    <x:t xml:space="preserve">2014年6月（结果性表述，仅精确到月份）</x:t>
  </x:si>
  <x:si>
    <x:t xml:space="preserve">流程图仅披露月份级结果；协议签署日、价款支付日和工商变更日均未披露。</x:t>
  </x:si>
  <x:si>
    <x:t xml:space="preserve">同一转让方在同一流程图节点向两名受让方分别转让股权，作为一个整体股权转让事件。</x:t>
  </x:si>
  <x:si>
    <x:t xml:space="preserve">刘云锋：持股减少、不退出；曾烨：持股增加；为赛咨询：新增股东。</x:t>
  </x:si>
  <x:si>
    <x:t xml:space="preserve">向曾烨转让15.75%股权；向为赛咨询转让6.85%股权；注册资本100万元。</x:t>
  </x:si>
  <x:si>
    <x:t xml:space="preserve">2014年6月，刘云锋将其持有的15.75%、6.85%股权分别转让给曾烨、为赛咨询。</x:t>
  </x:si>
  <x:si>
    <x:t xml:space="preserve">未披露全部转让，刘云锋仅标记持股减少；为赛咨询此前未出现，标记新增股东。</x:t>
  </x:si>
  <x:si>
    <x:t xml:space="preserve">股权转让协议及签署日；转让价款及支付日；工商变更日。</x:t>
  </x:si>
  <x:si>
    <x:t xml:space="preserve">用户已确认不拆分、刘云锋不退出、曾烨增加、为赛咨询新增。</x:t>
  </x:si>
  <x:si>
    <x:t xml:space="preserve">301563_云汉芯城_IPO招股说明书，PDF第56页／正文第55页流程图</x:t>
  </x:si>
  <x:si>
    <x:t xml:space="preserve">CE-004</x:t>
  </x:si>
  <x:si>
    <x:t xml:space="preserve">2014年8月</x:t>
  </x:si>
  <x:si>
    <x:t xml:space="preserve">有限公司第二次增资</x:t>
  </x:si>
  <x:si>
    <x:t xml:space="preserve">力源信息、东方富海、芜湖富海共同对有限公司增资</x:t>
  </x:si>
  <x:si>
    <x:t xml:space="preserve">增资</x:t>
  </x:si>
  <x:si>
    <x:t xml:space="preserve">2014年8月（结果性表述，仅精确到月份）</x:t>
  </x:si>
  <x:si>
    <x:t xml:space="preserve">增资协议、决议、缴款、验资及工商变更的精确日期均未披露。</x:t>
  </x:si>
  <x:si>
    <x:t xml:space="preserve">单一共同增资行为，不存在独立股权转让或其他法律行为。</x:t>
  </x:si>
  <x:si>
    <x:t xml:space="preserve">力源信息、东方富海、芜湖富海：新增股东；原股东可能被稀释但本阶段不确认比例。</x:t>
  </x:si>
  <x:si>
    <x:t xml:space="preserve">共同增资28.205万元；注册资本增至128.205万元。</x:t>
  </x:si>
  <x:si>
    <x:t xml:space="preserve">A轮候选关联（不形成投资路径结论）</x:t>
  </x:si>
  <x:si>
    <x:t xml:space="preserve">2014年8月，三名增资方共同增资28.205万元，有限公司注册资本增至128.205万元。</x:t>
  </x:si>
  <x:si>
    <x:t xml:space="preserve">三名主体此前未出现在股东事件中，方向性标记为新增；不计算各自增资额和增资后比例。</x:t>
  </x:si>
  <x:si>
    <x:t xml:space="preserve">各增资方分别认缴额；协议和决议日期；缴款验资日；工商变更日；增资后持股比例。</x:t>
  </x:si>
  <x:si>
    <x:t xml:space="preserve">待用户确认新增方向及不拆分判断。</x:t>
  </x:si>
  <x:si>
    <x:t xml:space="preserve">PDF第56页／正文第55页流程图</x:t>
  </x:si>
  <x:si>
    <x:t xml:space="preserve">CE-005</x:t>
  </x:si>
  <x:si>
    <x:t xml:space="preserve">2015年1月</x:t>
  </x:si>
  <x:si>
    <x:t xml:space="preserve">有限公司第三次增资</x:t>
  </x:si>
  <x:si>
    <x:t xml:space="preserve">力源信息、东方富海、芜湖富海再次共同增资</x:t>
  </x:si>
  <x:si>
    <x:t xml:space="preserve">2015年1月（结果性表述，仅精确到月份）</x:t>
  </x:si>
  <x:si>
    <x:t xml:space="preserve">协议、决议、缴款、验资和工商变更日期均未披露。</x:t>
  </x:si>
  <x:si>
    <x:t xml:space="preserve">同一批既有股东实施单一共同增资行为。</x:t>
  </x:si>
  <x:si>
    <x:t xml:space="preserve">力源信息、东方富海、芜湖富海：出资额增加；无新增或退出信号。</x:t>
  </x:si>
  <x:si>
    <x:t xml:space="preserve">共同增资8.78714万元；注册资本增至136.9864万元。</x:t>
  </x:si>
  <x:si>
    <x:t xml:space="preserve">2015年1月，力源信息、东方富海、芜湖富海共同增资8.78714万元。</x:t>
  </x:si>
  <x:si>
    <x:t xml:space="preserve">三名增资方已在CE-004进入，本次标记持股/出资增加，不标记新增。</x:t>
  </x:si>
  <x:si>
    <x:t xml:space="preserve">各自增资额；协议、决议、缴款验资及工商变更日期；增资后比例。</x:t>
  </x:si>
  <x:si>
    <x:t xml:space="preserve">待用户确认既有股东增资方向。</x:t>
  </x:si>
  <x:si>
    <x:t xml:space="preserve">CE-006</x:t>
  </x:si>
  <x:si>
    <x:t xml:space="preserve">2015年3月</x:t>
  </x:si>
  <x:si>
    <x:t xml:space="preserve">有限公司第四次增资（资本公积转增）</x:t>
  </x:si>
  <x:si>
    <x:t xml:space="preserve">有限公司以资本公积按股东持股比例转增注册资本</x:t>
  </x:si>
  <x:si>
    <x:t xml:space="preserve">资本公积转增注册资本</x:t>
  </x:si>
  <x:si>
    <x:t xml:space="preserve">不涉及现金缴款；验资日原文未披露</x:t>
  </x:si>
  <x:si>
    <x:t xml:space="preserve">2015年3月（结果性表述，仅精确到月份）</x:t>
  </x:si>
  <x:si>
    <x:t xml:space="preserve">原文未披露决议日、验资日和工商变更日。</x:t>
  </x:si>
  <x:si>
    <x:t xml:space="preserve">资本公积按持股比例转增属于单一资本变动，不存在新投资方。</x:t>
  </x:si>
  <x:si>
    <x:t xml:space="preserve">各现有股东：注册资本对应金额增加；无新增、退出；不计算具体分配额。</x:t>
  </x:si>
  <x:si>
    <x:t xml:space="preserve">注册资本增至2,000万元。</x:t>
  </x:si>
  <x:si>
    <x:t xml:space="preserve">新增注册资本由各股东按照其持股比例以资本公积转增，注册资本增至2,000万元。</x:t>
  </x:si>
  <x:si>
    <x:t xml:space="preserve">本次不是外部现金增资；不将任何主体标记为新增投资方。</x:t>
  </x:si>
  <x:si>
    <x:t xml:space="preserve">转增前资本公积余额；各股东具体转增额；决议、验资和工商日期。</x:t>
  </x:si>
  <x:si>
    <x:t xml:space="preserve">待用户确认其为资本公积转增而非外部融资。</x:t>
  </x:si>
  <x:si>
    <x:t xml:space="preserve">CE-007</x:t>
  </x:si>
  <x:si>
    <x:t xml:space="preserve">2015年8月</x:t>
  </x:si>
  <x:si>
    <x:t xml:space="preserve">有限公司第五次增资</x:t>
  </x:si>
  <x:si>
    <x:t xml:space="preserve">深创投等六方共同对有限公司增资</x:t>
  </x:si>
  <x:si>
    <x:t xml:space="preserve">57</x:t>
  </x:si>
  <x:si>
    <x:t xml:space="preserve">2015年8月（结果性表述，仅精确到月份）</x:t>
  </x:si>
  <x:si>
    <x:t xml:space="preserve">协议、决议、缴款、验资及工商变更精确日期均未披露。</x:t>
  </x:si>
  <x:si>
    <x:t xml:space="preserve">六方在同一流程图节点实施共同增资，为同一增资事件。</x:t>
  </x:si>
  <x:si>
    <x:t xml:space="preserve">深创投、丰利财富、镇江红土、昆山红土、富海深湾：新增；芜湖富海：既有股东增资。</x:t>
  </x:si>
  <x:si>
    <x:t xml:space="preserve">共同增资158.2733万元；注册资本增至2,158.2733万元。</x:t>
  </x:si>
  <x:si>
    <x:t xml:space="preserve">B轮候选关联（不形成投资路径结论）</x:t>
  </x:si>
  <x:si>
    <x:t xml:space="preserve">2015年8月，六方共同增资158.2733万元，有限公司注册资本增至2,158.2733万元。</x:t>
  </x:si>
  <x:si>
    <x:t xml:space="preserve">根据此前事件，芜湖富海为既有股东，其余五方标记新增；不计算各方认缴额和比例。</x:t>
  </x:si>
  <x:si>
    <x:t xml:space="preserve">各方分别认缴额；协议、决议、缴款验资和工商日期；增资后比例。</x:t>
  </x:si>
  <x:si>
    <x:t xml:space="preserve">待用户确认五方新增、芜湖富海增加。</x:t>
  </x:si>
  <x:si>
    <x:t xml:space="preserve">PDF第57页／正文第56页流程图</x:t>
  </x:si>
  <x:si>
    <x:t xml:space="preserve">CE-008</x:t>
  </x:si>
  <x:si>
    <x:t xml:space="preserve">2015年12月</x:t>
  </x:si>
  <x:si>
    <x:t xml:space="preserve">有限公司整体变更设立股份公司</x:t>
  </x:si>
  <x:si>
    <x:t xml:space="preserve">上海云汉电子有限公司整体变更设立云汉芯城股份公司</x:t>
  </x:si>
  <x:si>
    <x:t xml:space="preserve">C2-1</x:t>
  </x:si>
  <x:si>
    <x:t xml:space="preserve">第四节→二→（一）发行人的设立方式</x:t>
  </x:si>
  <x:si>
    <x:t xml:space="preserve">53—55</x:t>
  </x:si>
  <x:si>
    <x:t xml:space="preserve">52—54</x:t>
  </x:si>
  <x:si>
    <x:t xml:space="preserve">整体变更</x:t>
  </x:si>
  <x:si>
    <x:t xml:space="preserve">2015-09-01股东会决议；基准日2015-08-31</x:t>
  </x:si>
  <x:si>
    <x:t xml:space="preserve">2015-10-15发起人协议</x:t>
  </x:si>
  <x:si>
    <x:t xml:space="preserve">2015-10-30验资报告，确认各发起人出资到位</x:t>
  </x:si>
  <x:si>
    <x:t xml:space="preserve">2015-12-03</x:t>
  </x:si>
  <x:si>
    <x:t xml:space="preserve">2015-12-03（工商核准并换发营业执照）</x:t>
  </x:si>
  <x:si>
    <x:t xml:space="preserve">辅助节点：2015-10-13审计报告、2015-10-14评估报告、2015-10-30创立大会。</x:t>
  </x:si>
  <x:si>
    <x:t xml:space="preserve">审计、评估、发起人协议、创立大会、验资和工商登记均为同一整体变更程序节点。</x:t>
  </x:si>
  <x:si>
    <x:t xml:space="preserve">有限公司全体股东成为股份公司发起人；主体连续，不标记股东新增或退出。</x:t>
  </x:si>
  <x:si>
    <x:t xml:space="preserve">审计净资产45,010,412.64元；评估值4,773.16万元；按1.1253:1折为4,000万股；资本公积5,010,412.64元；注册资本4,000万元。</x:t>
  </x:si>
  <x:si>
    <x:t xml:space="preserve">全体股东以经审计净资产折股整体变更；2015年12月3日工商核准并换发股份公司营业执照。</x:t>
  </x:si>
  <x:si>
    <x:t xml:space="preserve">整体变更不是新设投资交易；原股东转换为发起人，持股连续。</x:t>
  </x:si>
  <x:si>
    <x:t xml:space="preserve">工商核准前各程序的具体提交日；除原文表格外不重算折股比例或持股比例。</x:t>
  </x:si>
  <x:si>
    <x:t xml:space="preserve">待用户确认主体连续及不拆分判断。</x:t>
  </x:si>
  <x:si>
    <x:t xml:space="preserve">PDF第53—55页／正文第52—54页</x:t>
  </x:si>
  <x:si>
    <x:t xml:space="preserve">CE-009</x:t>
  </x:si>
  <x:si>
    <x:t xml:space="preserve">2018年4月</x:t>
  </x:si>
  <x:si>
    <x:t xml:space="preserve">股份公司第一次股权转让</x:t>
  </x:si>
  <x:si>
    <x:t xml:space="preserve">丰利财富向天健创投转让其持有的全部股份</x:t>
  </x:si>
  <x:si>
    <x:t xml:space="preserve">C3-1</x:t>
  </x:si>
  <x:si>
    <x:t xml:space="preserve">第四节→三→（一）2018年4月，股份公司第一次股权转让</x:t>
  </x:si>
  <x:si>
    <x:t xml:space="preserve">58—59</x:t>
  </x:si>
  <x:si>
    <x:t xml:space="preserve">57—58</x:t>
  </x:si>
  <x:si>
    <x:t xml:space="preserve">2018-04-28股份转让协议</x:t>
  </x:si>
  <x:si>
    <x:t xml:space="preserve">转让价款1,000万元；支付日原文未披露</x:t>
  </x:si>
  <x:si>
    <x:t xml:space="preserve">不适用／原文未披露</x:t>
  </x:si>
  <x:si>
    <x:t xml:space="preserve">2018年4月（转让后股权结构表）</x:t>
  </x:si>
  <x:si>
    <x:t xml:space="preserve">协议日明确；股份交割和价款支付完成日未单独披露。</x:t>
  </x:si>
  <x:si>
    <x:t xml:space="preserve">单一转让方将全部股份转让给单一受让方。</x:t>
  </x:si>
  <x:si>
    <x:t xml:space="preserve">丰利财富：全部转让并退出；天健创投：新增股东。</x:t>
  </x:si>
  <x:si>
    <x:t xml:space="preserve">666,680股、占1.67%；转让价款1,000万元。</x:t>
  </x:si>
  <x:si>
    <x:t xml:space="preserve">B轮权利承继候选关联（不形成投资路径结论）</x:t>
  </x:si>
  <x:si>
    <x:t xml:space="preserve">2018年4月28日，丰利财富将其全部666,680股转让给天健创投。</x:t>
  </x:si>
  <x:si>
    <x:t xml:space="preserve">“全部”及转让后股东表支持丰利财富退出、天健创投新增。</x:t>
  </x:si>
  <x:si>
    <x:t xml:space="preserve">价款支付和股份交割日期。</x:t>
  </x:si>
  <x:si>
    <x:t xml:space="preserve">待用户确认退出、新增及单一事件判断。</x:t>
  </x:si>
  <x:si>
    <x:t xml:space="preserve">PDF第58—59页／正文第57—58页</x:t>
  </x:si>
  <x:si>
    <x:t xml:space="preserve">CE-010</x:t>
  </x:si>
  <x:si>
    <x:t xml:space="preserve">2018年6月至7月</x:t>
  </x:si>
  <x:si>
    <x:t xml:space="preserve">股份公司第一次增资和第二次股权转让</x:t>
  </x:si>
  <x:si>
    <x:t xml:space="preserve">2018年6月至7月增资、股权激励增资及股份转让</x:t>
  </x:si>
  <x:si>
    <x:t xml:space="preserve">C3-2</x:t>
  </x:si>
  <x:si>
    <x:t xml:space="preserve">第四节→三→（二）2018年6月至7月，股份公司增加注册资本暨第二次股权转让</x:t>
  </x:si>
  <x:si>
    <x:t xml:space="preserve">59—61</x:t>
  </x:si>
  <x:si>
    <x:t xml:space="preserve">58—60</x:t>
  </x:si>
  <x:si>
    <x:t xml:space="preserve">增资｜股权激励增资｜股权转让</x:t>
  </x:si>
  <x:si>
    <x:t xml:space="preserve">2018-06-12临时股东大会决议</x:t>
  </x:si>
  <x:si>
    <x:t xml:space="preserve">2018-06-12增资与股权转让协议</x:t>
  </x:si>
  <x:si>
    <x:t xml:space="preserve">2020-12-16验资报告</x:t>
  </x:si>
  <x:si>
    <x:t xml:space="preserve">2018-06-28及2018-07-27</x:t>
  </x:si>
  <x:si>
    <x:t xml:space="preserve">2018-07-27（增资工商登记全部完成；股份转让完成日未单独披露）</x:t>
  </x:si>
  <x:si>
    <x:t xml:space="preserve">6月28日完成部分投资方及激励对象增资登记；7月27日完成其余三方增资登记。</x:t>
  </x:si>
  <x:si>
    <x:t xml:space="preserve">拆分为3个子事件</x:t>
  </x:si>
  <x:si>
    <x:t xml:space="preserve">外部投资方增资、管理团队股权激励增资、原股东股份转让具有不同参与方和法律效果。</x:t>
  </x:si>
  <x:si>
    <x:t xml:space="preserve">六名外部增资方新增；四名激励对象新增；曾烨、刘云锋持股减少；富海节能、临港投资、鸿迪投资新增。</x:t>
  </x:si>
  <x:si>
    <x:t xml:space="preserve">六名外部投资方认缴新增注册资本合计515万元；激励对象合计120万元；注册资本增至4,635万元；四笔股份转让。</x:t>
  </x:si>
  <x:si>
    <x:t xml:space="preserve">C轮候选关联（不形成投资路径结论）</x:t>
  </x:si>
  <x:si>
    <x:t xml:space="preserve">2018年6月12日签署协议并作出股东大会决议；增资分两批完成工商登记。</x:t>
  </x:si>
  <x:si>
    <x:t xml:space="preserve">父事件拆分为外部投资增资、股权激励增资和股份转让三个子事件；不复算每股价格或估值。</x:t>
  </x:si>
  <x:si>
    <x:t xml:space="preserve">股份转让交割日；各项现金到账日；验资报告在2020年补出。</x:t>
  </x:si>
  <x:si>
    <x:t xml:space="preserve">待用户确认拆分为3项及各主体变化方向。</x:t>
  </x:si>
  <x:si>
    <x:t xml:space="preserve">PDF第59—61页／正文第58—60页</x:t>
  </x:si>
  <x:si>
    <x:t xml:space="preserve">CE-011</x:t>
  </x:si>
  <x:si>
    <x:t xml:space="preserve">2019年8月</x:t>
  </x:si>
  <x:si>
    <x:t xml:space="preserve">股份公司第三次股权转让</x:t>
  </x:si>
  <x:si>
    <x:t xml:space="preserve">为赛咨询向李文发、秦国君转让股份并配套办理退伙</x:t>
  </x:si>
  <x:si>
    <x:t xml:space="preserve">C3-3</x:t>
  </x:si>
  <x:si>
    <x:t xml:space="preserve">第四节→三→（三）2019年8月，股份公司第三次股权转让</x:t>
  </x:si>
  <x:si>
    <x:t xml:space="preserve">61—62</x:t>
  </x:si>
  <x:si>
    <x:t xml:space="preserve">60—61</x:t>
  </x:si>
  <x:si>
    <x:t xml:space="preserve">股权转让｜关联退伙安排</x:t>
  </x:si>
  <x:si>
    <x:t xml:space="preserve">2019-08-13股份转让协议；2019-08-12退伙协议</x:t>
  </x:si>
  <x:si>
    <x:t xml:space="preserve">每名受让方支付40万元；支付完成日原文未披露</x:t>
  </x:si>
  <x:si>
    <x:t xml:space="preserve">2019年8月（转让后股权结构表）</x:t>
  </x:si>
  <x:si>
    <x:t xml:space="preserve">退伙协议早于股份转让协议一日；股份交割完成日未单独披露。</x:t>
  </x:si>
  <x:si>
    <x:t xml:space="preserve">直接发行人股份转让是主行为；从为赛咨询退伙属于配套员工激励安排，不另建发行人资本子事件。</x:t>
  </x:si>
  <x:si>
    <x:t xml:space="preserve">为赛咨询：持股减少、不退出；李文发、秦国君：既有股东持股增加并退出为赛咨询合伙关系。</x:t>
  </x:si>
  <x:si>
    <x:t xml:space="preserve">两人分别受让40万股、价格40万元；两人分别转出为赛咨询21.58%财产份额。</x:t>
  </x:si>
  <x:si>
    <x:t xml:space="preserve">2019年8月13日，为赛咨询分别向李文发、秦国君转让40万股；两人此前办理退伙。</x:t>
  </x:si>
  <x:si>
    <x:t xml:space="preserve">不把退伙事项误标为发行人股东退出；李文发、秦国君在发行人层面持股增加。</x:t>
  </x:si>
  <x:si>
    <x:t xml:space="preserve">股份交割及价款支付日期；退伙财产份额受让方细节。</x:t>
  </x:si>
  <x:si>
    <x:t xml:space="preserve">待用户确认不拆分及退伙的辅助性质。</x:t>
  </x:si>
  <x:si>
    <x:t xml:space="preserve">PDF第61—62页／正文第60—61页</x:t>
  </x:si>
  <x:si>
    <x:t xml:space="preserve">CE-012</x:t>
  </x:si>
  <x:si>
    <x:t xml:space="preserve">2020年5月</x:t>
  </x:si>
  <x:si>
    <x:t xml:space="preserve">股份公司第二次增资</x:t>
  </x:si>
  <x:si>
    <x:t xml:space="preserve">火炬电子现金认购发行人新增股份</x:t>
  </x:si>
  <x:si>
    <x:t xml:space="preserve">C3-4</x:t>
  </x:si>
  <x:si>
    <x:t xml:space="preserve">第四节→三→（四）2020年5月，股份公司第二次增资</x:t>
  </x:si>
  <x:si>
    <x:t xml:space="preserve">62—63</x:t>
  </x:si>
  <x:si>
    <x:t xml:space="preserve">2020-05-20临时股东大会决议</x:t>
  </x:si>
  <x:si>
    <x:t xml:space="preserve">2020-05-20增资协议</x:t>
  </x:si>
  <x:si>
    <x:t xml:space="preserve">2020-05-28</x:t>
  </x:si>
  <x:si>
    <x:t xml:space="preserve">2020-05-28（完成市场监督管理变更备案）</x:t>
  </x:si>
  <x:si>
    <x:t xml:space="preserve">验资报告在后续统一出具；协议与股东大会决议同日。</x:t>
  </x:si>
  <x:si>
    <x:t xml:space="preserve">单一投资方现金增资。</x:t>
  </x:si>
  <x:si>
    <x:t xml:space="preserve">火炬电子：新增股东；其他原股东股份数不变、比例可能稀释但本阶段不计算。</x:t>
  </x:si>
  <x:si>
    <x:t xml:space="preserve">现金5,000万元；新增股份113.0488万股；注册资本由4,635万元增至4,748.0488万元。</x:t>
  </x:si>
  <x:si>
    <x:t xml:space="preserve">D轮候选关联（不形成投资路径结论）</x:t>
  </x:si>
  <x:si>
    <x:t xml:space="preserve">2020年5月20日签署增资协议并作出决议，5月28日完成变更备案。</x:t>
  </x:si>
  <x:si>
    <x:t xml:space="preserve">火炬电子此前未在股东表中出现，标记新增；原文每股价格及估值不复算。</x:t>
  </x:si>
  <x:si>
    <x:t xml:space="preserve">现金到账日；具体股份登记日。</x:t>
  </x:si>
  <x:si>
    <x:t xml:space="preserve">待用户确认火炬电子新增及不拆分。</x:t>
  </x:si>
  <x:si>
    <x:t xml:space="preserve">PDF第62—63页／正文第61—62页</x:t>
  </x:si>
  <x:si>
    <x:t xml:space="preserve">CE-013</x:t>
  </x:si>
  <x:si>
    <x:t xml:space="preserve">2020年9月</x:t>
  </x:si>
  <x:si>
    <x:t xml:space="preserve">股份公司第三次增资和第四次股权转让</x:t>
  </x:si>
  <x:si>
    <x:t xml:space="preserve">厦门西堤、中小企业基金增资及多笔股份转让</x:t>
  </x:si>
  <x:si>
    <x:t xml:space="preserve">C3-5</x:t>
  </x:si>
  <x:si>
    <x:t xml:space="preserve">第四节→三→（五）2020年9月，股份公司第三次增资和第四次股权转让</x:t>
  </x:si>
  <x:si>
    <x:t xml:space="preserve">63—65</x:t>
  </x:si>
  <x:si>
    <x:t xml:space="preserve">62—64</x:t>
  </x:si>
  <x:si>
    <x:t xml:space="preserve">增资｜股权转让</x:t>
  </x:si>
  <x:si>
    <x:t xml:space="preserve">2020-09-15临时股东大会决议</x:t>
  </x:si>
  <x:si>
    <x:t xml:space="preserve">股份转让协议签署日原文未披露；增资协议日期原文未披露</x:t>
  </x:si>
  <x:si>
    <x:t xml:space="preserve">2020-09-23</x:t>
  </x:si>
  <x:si>
    <x:t xml:space="preserve">2020-09-23（工商变更登记；股份转让完成日未单独披露）</x:t>
  </x:si>
  <x:si>
    <x:t xml:space="preserve">增资决议日和工商日明确；股转协议只披露已签署，未披露签署日。</x:t>
  </x:si>
  <x:si>
    <x:t xml:space="preserve">新增股份认购和十笔股份转让具有不同法律行为和参与方，应拆分。</x:t>
  </x:si>
  <x:si>
    <x:t xml:space="preserve">厦门西堤、中小企业基金新增；曾烨、刘云锋、李文发、秦国君持股减少但均未退出；鸿迪投资增加；七名受让方新增。</x:t>
  </x:si>
  <x:si>
    <x:t xml:space="preserve">新增股份135.6586万股，注册资本增至4,883.7074万元；转让股份合计1,659,535股。</x:t>
  </x:si>
  <x:si>
    <x:t xml:space="preserve">D+轮候选关联（仅指增资部分，不形成投资路径结论）</x:t>
  </x:si>
  <x:si>
    <x:t xml:space="preserve">2020年9月15日决议增资；相关股东向八名受让主体转让股份；9月23日完成变更登记。</x:t>
  </x:si>
  <x:si>
    <x:t xml:space="preserve">父事件拆分为增资与股份转让两个子事件；十笔转让保留在一个股转子事件的交易明细中。</x:t>
  </x:si>
  <x:si>
    <x:t xml:space="preserve">股份转让协议具体签署日、价款支付和交割日期；增资现金到账日。</x:t>
  </x:si>
  <x:si>
    <x:t xml:space="preserve">待用户确认拆分及新增/增加方向。</x:t>
  </x:si>
  <x:si>
    <x:t xml:space="preserve">PDF第63—65页／正文第62—64页</x:t>
  </x:si>
  <x:si>
    <x:t xml:space="preserve">CE-014</x:t>
  </x:si>
  <x:si>
    <x:t xml:space="preserve">父级事件组</x:t>
  </x:si>
  <x:si>
    <x:t xml:space="preserve">2021年9月、2023年8月</x:t>
  </x:si>
  <x:si>
    <x:t xml:space="preserve">对赌协议解除相关事件组</x:t>
  </x:si>
  <x:si>
    <x:t xml:space="preserve">历次融资特殊权利履行、终止及无回购义务确认</x:t>
  </x:si>
  <x:si>
    <x:t xml:space="preserve">C3-6</x:t>
  </x:si>
  <x:si>
    <x:t xml:space="preserve">第四节→三→（六）对赌协议解除相关情况</x:t>
  </x:si>
  <x:si>
    <x:t xml:space="preserve">65—70</x:t>
  </x:si>
  <x:si>
    <x:t xml:space="preserve">64—69</x:t>
  </x:si>
  <x:si>
    <x:t xml:space="preserve">特殊权利履行｜终止｜确认</x:t>
  </x:si>
  <x:si>
    <x:t xml:space="preserve">2021年9月30日及2023年8月</x:t>
  </x:si>
  <x:si>
    <x:t xml:space="preserve">2021-09-30特殊权利条款终止协议；2023年8月确认函</x:t>
  </x:si>
  <x:si>
    <x:t xml:space="preserve">2021-09-30特殊权利彻底终止；2023年8月进一步确认</x:t>
  </x:si>
  <x:si>
    <x:t xml:space="preserve">各轮原投资协议签署日并未在本节全部列明。</x:t>
  </x:si>
  <x:si>
    <x:t xml:space="preserve">拆分为5个轮次级候选项</x:t>
  </x:si>
  <x:si>
    <x:t xml:space="preserve">A、B、C、D、D+各轮投资方、条款和履行状态不同，分别标注；共同终止事实在父级事件保留。</x:t>
  </x:si>
  <x:si>
    <x:t xml:space="preserve">不引起股东新增、退出或持股数量变化。</x:t>
  </x:si>
  <x:si>
    <x:t xml:space="preserve">无直接资本数值；仅登记条款中的日期及业绩指标原文值。</x:t>
  </x:si>
  <x:si>
    <x:t xml:space="preserve">A、B、C、D、D+候选事件组</x:t>
  </x:si>
  <x:si>
    <x:t xml:space="preserve">2021年9月30日各轮特殊权利已履行完毕或彻底终止且无自动恢复条款；2023年8月投资人进一步确认发行人自始不负回购义务。</x:t>
  </x:si>
  <x:si>
    <x:t xml:space="preserve">该事件组属于合同权利状态变化，不是股本变动；不据此识别PE/VC或投资路径。</x:t>
  </x:si>
  <x:si>
    <x:t xml:space="preserve">各轮原始投资协议完整签署日期及全部原始协议文本。</x:t>
  </x:si>
  <x:si>
    <x:t xml:space="preserve">待用户按轮次复核履行与终止状态。</x:t>
  </x:si>
  <x:si>
    <x:t xml:space="preserve">PDF第65—70页／正文第64—69页</x:t>
  </x:si>
  <x:si>
    <x:t xml:space="preserve">CE-014-A</x:t>
  </x:si>
  <x:si>
    <x:t xml:space="preserve">轮次级候选项</x:t>
  </x:si>
  <x:si>
    <x:t xml:space="preserve">2018年6月替代；2021年9月终止</x:t>
  </x:si>
  <x:si>
    <x:t xml:space="preserve">A轮相关对赌协议及解除候选事项</x:t>
  </x:si>
  <x:si>
    <x:t xml:space="preserve">A轮上市承诺、业绩承诺的履行及终止</x:t>
  </x:si>
  <x:si>
    <x:t xml:space="preserve">65—66</x:t>
  </x:si>
  <x:si>
    <x:t xml:space="preserve">64—65</x:t>
  </x:si>
  <x:si>
    <x:t xml:space="preserve">特殊权利履行｜终止</x:t>
  </x:si>
  <x:si>
    <x:t xml:space="preserve">原协议日期原文未披露</x:t>
  </x:si>
  <x:si>
    <x:t xml:space="preserve">原始A轮投资协议签署日原文未披露；2021-09-30终止协议</x:t>
  </x:si>
  <x:si>
    <x:t xml:space="preserve">2015年度营业收入承诺已完成</x:t>
  </x:si>
  <x:si>
    <x:t xml:space="preserve">上市承诺于2018年6月被C轮股东协议条款替代，2021-09-30彻底终止</x:t>
  </x:si>
  <x:si>
    <x:t xml:space="preserve">A轮原始协议精确签署日未披露。</x:t>
  </x:si>
  <x:si>
    <x:t xml:space="preserve">同一轮次的上市承诺和业绩承诺分别记录为条款状态，不拆成资本事件。</x:t>
  </x:si>
  <x:si>
    <x:t xml:space="preserve">不引起股东变化。</x:t>
  </x:si>
  <x:si>
    <x:t xml:space="preserve">上市期限2019-04-30；2015年营业收入承诺不低于3亿元。</x:t>
  </x:si>
  <x:si>
    <x:t xml:space="preserve">A</x:t>
  </x:si>
  <x:si>
    <x:t xml:space="preserve">投资方为力源信息、东方富海、芜湖富海；业绩承诺已完成，上市承诺未实际履行并已终止。</x:t>
  </x:si>
  <x:si>
    <x:t xml:space="preserve">不判断投资方属性；只确认条款履行/终止状态。</x:t>
  </x:si>
  <x:si>
    <x:t xml:space="preserve">原始A轮投资协议签署日和完整协议文本。</x:t>
  </x:si>
  <x:si>
    <x:t xml:space="preserve">待用户确认A轮状态。</x:t>
  </x:si>
  <x:si>
    <x:t xml:space="preserve">PDF第65—66页／正文第64—65页</x:t>
  </x:si>
  <x:si>
    <x:t xml:space="preserve">CE-014-B</x:t>
  </x:si>
  <x:si>
    <x:t xml:space="preserve">B轮相关对赌协议及解除候选事项</x:t>
  </x:si>
  <x:si>
    <x:t xml:space="preserve">B轮上市承诺及多年度业绩承诺的履行、失效和终止</x:t>
  </x:si>
  <x:si>
    <x:t xml:space="preserve">66—68</x:t>
  </x:si>
  <x:si>
    <x:t xml:space="preserve">65—67</x:t>
  </x:si>
  <x:si>
    <x:t xml:space="preserve">特殊权利履行｜失效｜终止</x:t>
  </x:si>
  <x:si>
    <x:t xml:space="preserve">原始B轮投资协议签署日原文未披露；2021-09-30终止协议</x:t>
  </x:si>
  <x:si>
    <x:t xml:space="preserve">2015年补偿已履行；2016年承诺完成；2017—2018条款自动失效</x:t>
  </x:si>
  <x:si>
    <x:t xml:space="preserve">上市承诺2018年6月被C轮条款替代，2021-09-30彻底终止</x:t>
  </x:si>
  <x:si>
    <x:t xml:space="preserve">丰利财富相关权利于2018-04-28由天健创投承继。</x:t>
  </x:si>
  <x:si>
    <x:t xml:space="preserve">同一轮次多年度条款作为同一协议安排的不同履行结果记录。</x:t>
  </x:si>
  <x:si>
    <x:t xml:space="preserve">不引起股东数量变化；历史补偿履行不在本阶段计算。</x:t>
  </x:si>
  <x:si>
    <x:t xml:space="preserve">2015、2016、2017、2018年度指标及融资触发条件均为原文披露值。</x:t>
  </x:si>
  <x:si>
    <x:t xml:space="preserve">B</x:t>
  </x:si>
  <x:si>
    <x:t xml:space="preserve">投资方为深创投、镇江红土、昆山红土、富海深湾、芜湖富海、丰利财富；天健创投承继丰利财富权利。</x:t>
  </x:si>
  <x:si>
    <x:t xml:space="preserve">2015年指标未达但补偿已履行；2016年完成；2017—2018条款因融资条件满足自动失效。</x:t>
  </x:si>
  <x:si>
    <x:t xml:space="preserve">原始B轮协议签署日、实际补偿金额及支付凭证。</x:t>
  </x:si>
  <x:si>
    <x:t xml:space="preserve">待用户确认B轮各年度状态。</x:t>
  </x:si>
  <x:si>
    <x:t xml:space="preserve">PDF第66—68页／正文第65—67页</x:t>
  </x:si>
  <x:si>
    <x:t xml:space="preserve">CE-014-C</x:t>
  </x:si>
  <x:si>
    <x:t xml:space="preserve">2018年6月、2021年9月</x:t>
  </x:si>
  <x:si>
    <x:t xml:space="preserve">C轮相关对赌协议及解除候选事项</x:t>
  </x:si>
  <x:si>
    <x:t xml:space="preserve">C轮上市承诺和2018年度业绩承诺的履行及终止</x:t>
  </x:si>
  <x:si>
    <x:t xml:space="preserve">68—69</x:t>
  </x:si>
  <x:si>
    <x:t xml:space="preserve">67—68</x:t>
  </x:si>
  <x:si>
    <x:t xml:space="preserve">2018年6月</x:t>
  </x:si>
  <x:si>
    <x:t xml:space="preserve">C轮股东协议精确签署日未在本段直接披露；2021-09-30终止协议</x:t>
  </x:si>
  <x:si>
    <x:t xml:space="preserve">2018年度净利润承诺已完成</x:t>
  </x:si>
  <x:si>
    <x:t xml:space="preserve">上市承诺未实际履行，2021-09-30彻底终止</x:t>
  </x:si>
  <x:si>
    <x:t xml:space="preserve">CE-010的增资与股权转让协议签署日为2018-06-12，但不将其自动等同于C轮股东协议日。</x:t>
  </x:si>
  <x:si>
    <x:t xml:space="preserve">同一轮次条款的履行与终止状态。</x:t>
  </x:si>
  <x:si>
    <x:t xml:space="preserve">上市条件含2022-04-30和第三方估值600,000万元；2018年净利润承诺2,000万元。</x:t>
  </x:si>
  <x:si>
    <x:t xml:space="preserve">C</x:t>
  </x:si>
  <x:si>
    <x:t xml:space="preserve">投资方包括国科瑞华、CASREV FUND、中科贵银、夏东、南山富海、珠海拓域、富海节能、临港投资、鸿迪投资。</x:t>
  </x:si>
  <x:si>
    <x:t xml:space="preserve">2018年业绩承诺完成，无需补偿；拖售权未实际履行并已终止。</x:t>
  </x:si>
  <x:si>
    <x:t xml:space="preserve">C轮股东协议精确签署日和完整文本。</x:t>
  </x:si>
  <x:si>
    <x:t xml:space="preserve">待用户确认C轮状态。</x:t>
  </x:si>
  <x:si>
    <x:t xml:space="preserve">PDF第68—69页／正文第67—68页</x:t>
  </x:si>
  <x:si>
    <x:t xml:space="preserve">CE-014-D</x:t>
  </x:si>
  <x:si>
    <x:t xml:space="preserve">2020年5月、2021年9月</x:t>
  </x:si>
  <x:si>
    <x:t xml:space="preserve">D轮相关对赌协议及解除候选事项</x:t>
  </x:si>
  <x:si>
    <x:t xml:space="preserve">火炬电子拖售权的未履行及终止</x:t>
  </x:si>
  <x:si>
    <x:t xml:space="preserve">69—70</x:t>
  </x:si>
  <x:si>
    <x:t xml:space="preserve">特殊权利终止</x:t>
  </x:si>
  <x:si>
    <x:t xml:space="preserve">相关增资协议日2020-05-20；2021-09-30终止协议</x:t>
  </x:si>
  <x:si>
    <x:t xml:space="preserve">2021-09-30彻底终止</x:t>
  </x:si>
  <x:si>
    <x:t xml:space="preserve">C3-6仅披露条款状态；原始特殊权利条款完整文本未附。</x:t>
  </x:si>
  <x:si>
    <x:t xml:space="preserve">单一投资方的拖售权终止。</x:t>
  </x:si>
  <x:si>
    <x:t xml:space="preserve">无需要计算的资本数值。</x:t>
  </x:si>
  <x:si>
    <x:t xml:space="preserve">D</x:t>
  </x:si>
  <x:si>
    <x:t xml:space="preserve">D轮投资方为火炬电子；拖售权未实际履行并已彻底终止。</x:t>
  </x:si>
  <x:si>
    <x:t xml:space="preserve">不判断火炬电子的投资属性或形成投资路径。</x:t>
  </x:si>
  <x:si>
    <x:t xml:space="preserve">特殊权利条款完整原文。</x:t>
  </x:si>
  <x:si>
    <x:t xml:space="preserve">待用户确认D轮状态。</x:t>
  </x:si>
  <x:si>
    <x:t xml:space="preserve">PDF第69—70页／正文第68—69页</x:t>
  </x:si>
  <x:si>
    <x:t xml:space="preserve">CE-014-DPLUS</x:t>
  </x:si>
  <x:si>
    <x:t xml:space="preserve">2020年9月、2021年9月</x:t>
  </x:si>
  <x:si>
    <x:t xml:space="preserve">D+轮相关对赌协议及解除候选事项</x:t>
  </x:si>
  <x:si>
    <x:t xml:space="preserve">厦门西堤、中小企业基金拖售权的未履行及终止</x:t>
  </x:si>
  <x:si>
    <x:t xml:space="preserve">70</x:t>
  </x:si>
  <x:si>
    <x:t xml:space="preserve">69</x:t>
  </x:si>
  <x:si>
    <x:t xml:space="preserve">原始D+轮特殊权利协议精确签署日未披露；2021-09-30终止协议</x:t>
  </x:si>
  <x:si>
    <x:t xml:space="preserve">原始特殊权利协议日期和完整文本未披露。</x:t>
  </x:si>
  <x:si>
    <x:t xml:space="preserve">两名投资方在同一轮次享有同类拖售权，作为一个轮次级事项。</x:t>
  </x:si>
  <x:si>
    <x:t xml:space="preserve">D+</x:t>
  </x:si>
  <x:si>
    <x:t xml:space="preserve">D+轮投资方为厦门西堤、中小企业基金；拖售权未实际履行并已彻底终止。</x:t>
  </x:si>
  <x:si>
    <x:t xml:space="preserve">不判断投资方属性或投资路径。</x:t>
  </x:si>
  <x:si>
    <x:t xml:space="preserve">原始D+轮协议签署日及完整文本。</x:t>
  </x:si>
  <x:si>
    <x:t xml:space="preserve">待用户确认D+轮状态。</x:t>
  </x:si>
  <x:si>
    <x:t xml:space="preserve">PDF第70页／正文第69页</x:t>
  </x:si>
  <x:si>
    <x:t xml:space="preserve">CE-002-01</x:t>
  </x:si>
  <x:si>
    <x:t xml:space="preserve">子事件</x:t>
  </x:si>
  <x:si>
    <x:t xml:space="preserve">深圳云汉电子向曾烨转让有限公司全部持股</x:t>
  </x:si>
  <x:si>
    <x:t xml:space="preserve">2009年12月（仅精确到月份）</x:t>
  </x:si>
  <x:si>
    <x:t xml:space="preserve">原文未披露协议日、价款支付日、工商变更日；仅以结果性表述确认转让发生。</x:t>
  </x:si>
  <x:si>
    <x:t xml:space="preserve">该子事件仅包含一项股权转让行为。</x:t>
  </x:si>
  <x:si>
    <x:t xml:space="preserve">深圳云汉电子：退出；曾烨：新增股东；刘云锋：持股变化未在本子事件中披露。</x:t>
  </x:si>
  <x:si>
    <x:t xml:space="preserve">转让标的：有限公司50%股权。</x:t>
  </x:si>
  <x:si>
    <x:t xml:space="preserve">深圳市云汉电子有限公司将其持有的有限公司50%股权转让给曾烨。</x:t>
  </x:si>
  <x:si>
    <x:t xml:space="preserve">“将其持有的有限公司50%股权转让给曾烨”与设立时深圳云汉电子持股50%结合，支持其全部转让和退出；不推定转让价格。</x:t>
  </x:si>
  <x:si>
    <x:t xml:space="preserve">转让协议名称及签署日；转让价款及支付日；工商变更日。</x:t>
  </x:si>
  <x:si>
    <x:t xml:space="preserve">请确认“全部转让并退出”的方向性判断。</x:t>
  </x:si>
  <x:si>
    <x:t xml:space="preserve">事实来源：招股说明书PDF第56页／正文第55页流程图右侧说明框</x:t>
  </x:si>
  <x:si>
    <x:t xml:space="preserve">CE-002-02</x:t>
  </x:si>
  <x:si>
    <x:t xml:space="preserve">曾烨、刘云锋按原持股比例对有限公司增资</x:t>
  </x:si>
  <x:si>
    <x:t xml:space="preserve">原文披露增资结果，但未披露增资决议、协议、缴款验资及工商变更的精确日期。</x:t>
  </x:si>
  <x:si>
    <x:t xml:space="preserve">该子事件仅包含曾烨、刘云锋共同增资行为。</x:t>
  </x:si>
  <x:si>
    <x:t xml:space="preserve">曾烨：新增后参与增资、出资额增加；刘云锋：原股东参与增资、出资额增加；持股比例变化不计算。</x:t>
  </x:si>
  <x:si>
    <x:t xml:space="preserve">合计增资50万元；注册资本增至100万元。</x:t>
  </x:si>
  <x:si>
    <x:t xml:space="preserve">曾烨、刘云锋按原持股比例增资50万元，注册资本增至100万元。</x:t>
  </x:si>
  <x:si>
    <x:t xml:space="preserve">“按原持股比例增资”说明增资分配以当时持股关系为基础，但本阶段不计算各自增资额及增资后持股比例。</x:t>
  </x:si>
  <x:si>
    <x:t xml:space="preserve">增资协议或决议日；各自增资额；缴款验资日；工商变更日；增资后持股比例。</x:t>
  </x:si>
  <x:si>
    <x:t xml:space="preserve">请确认不计算两名股东各自增资额和增资后比例。</x:t>
  </x:si>
  <x:si>
    <x:t xml:space="preserve">CE-010-01</x:t>
  </x:si>
  <x:si>
    <x:t xml:space="preserve">国科瑞华等六方现金认缴新增注册资本</x:t>
  </x:si>
  <x:si>
    <x:t xml:space="preserve">第四节→三→（二）增加注册资本暨第二次股权转让</x:t>
  </x:si>
  <x:si>
    <x:t xml:space="preserve">2018-07-27（六方增资工商登记全部完成）</x:t>
  </x:si>
  <x:si>
    <x:t xml:space="preserve">夏东、南山富海、珠海拓域于6月28日登记；国科瑞华、CASREV FUND、中科贵银于7月27日登记。</x:t>
  </x:si>
  <x:si>
    <x:t xml:space="preserve">同一协议下六方外部现金增资，虽分两批登记仍属一项安排。</x:t>
  </x:si>
  <x:si>
    <x:t xml:space="preserve">六名增资方均为新增股东。</x:t>
  </x:si>
  <x:si>
    <x:t xml:space="preserve">六方新增注册资本原文分别披露，合计515万元。</x:t>
  </x:si>
  <x:si>
    <x:t xml:space="preserve">六名主体以现金认缴新增注册资本并分两批完成工商登记。</x:t>
  </x:si>
  <x:si>
    <x:t xml:space="preserve">不计算现金与注册资本之间的价格或投后比例。</x:t>
  </x:si>
  <x:si>
    <x:t xml:space="preserve">各方现金到账日。</x:t>
  </x:si>
  <x:si>
    <x:t xml:space="preserve">待用户确认新增方向。</x:t>
  </x:si>
  <x:si>
    <x:t xml:space="preserve">CE-010-02</x:t>
  </x:si>
  <x:si>
    <x:t xml:space="preserve">李文发、秦国君、李剑峰、周雪峰股权激励增资</x:t>
  </x:si>
  <x:si>
    <x:t xml:space="preserve">60</x:t>
  </x:si>
  <x:si>
    <x:t xml:space="preserve">59</x:t>
  </x:si>
  <x:si>
    <x:t xml:space="preserve">股权激励增资</x:t>
  </x:si>
  <x:si>
    <x:t xml:space="preserve">原文未披露独立增资协议</x:t>
  </x:si>
  <x:si>
    <x:t xml:space="preserve">2018-06-28</x:t>
  </x:si>
  <x:si>
    <x:t xml:space="preserve">2018-06-28（工商变更登记）</x:t>
  </x:si>
  <x:si>
    <x:t xml:space="preserve">股东大会决议明确，同批完成工商登记。</x:t>
  </x:si>
  <x:si>
    <x:t xml:space="preserve">四名激励对象在同一股权激励决议下认缴新增股份。</x:t>
  </x:si>
  <x:si>
    <x:t xml:space="preserve">李文发、秦国君、李剑峰、周雪峰：新增股东。</x:t>
  </x:si>
  <x:si>
    <x:t xml:space="preserve">合计新增注册资本120万元；每股价格1元（原文直接披露，不复算）。</x:t>
  </x:si>
  <x:si>
    <x:t xml:space="preserve">四名管理团队成员认缴新增注册资本并于6月28日完成变更登记。</x:t>
  </x:si>
  <x:si>
    <x:t xml:space="preserve">本阶段只记录原文，不评价激励定价。</x:t>
  </x:si>
  <x:si>
    <x:t xml:space="preserve">独立协议和现金到账日。</x:t>
  </x:si>
  <x:si>
    <x:t xml:space="preserve">待用户确认四人新增。</x:t>
  </x:si>
  <x:si>
    <x:t xml:space="preserve">PDF第60页／正文第59页</x:t>
  </x:si>
  <x:si>
    <x:t xml:space="preserve">CE-010-03</x:t>
  </x:si>
  <x:si>
    <x:t xml:space="preserve">曾烨、刘云锋向富海节能、临港投资、鸿迪投资转让股份</x:t>
  </x:si>
  <x:si>
    <x:t xml:space="preserve">转让价款原文披露；支付日未披露</x:t>
  </x:si>
  <x:si>
    <x:t xml:space="preserve">2018年6月至7月（变更完成后股东表）</x:t>
  </x:si>
  <x:si>
    <x:t xml:space="preserve">协议日明确，股份交割日未单独披露。</x:t>
  </x:si>
  <x:si>
    <x:t xml:space="preserve">四笔股份转让属于同一协议下的整体安排，以交易明细分行保存。</x:t>
  </x:si>
  <x:si>
    <x:t xml:space="preserve">曾烨、刘云锋持股减少；富海节能、临港投资、鸿迪投资新增。</x:t>
  </x:si>
  <x:si>
    <x:t xml:space="preserve">四笔转让股数和价款均为原文披露值。</x:t>
  </x:si>
  <x:si>
    <x:t xml:space="preserve">曾烨实施两笔转让，刘云锋实施两笔转让。</x:t>
  </x:si>
  <x:si>
    <x:t xml:space="preserve">两名转让方转让后仍在股东表中，不标记退出。</x:t>
  </x:si>
  <x:si>
    <x:t xml:space="preserve">股份交割及价款支付日期。</x:t>
  </x:si>
  <x:si>
    <x:t xml:space="preserve">待用户确认不拆分四笔明细。</x:t>
  </x:si>
  <x:si>
    <x:t xml:space="preserve">CE-013-01</x:t>
  </x:si>
  <x:si>
    <x:t xml:space="preserve">厦门西堤、中小企业基金认购新增股份</x:t>
  </x:si>
  <x:si>
    <x:t xml:space="preserve">第四节→三→（五）第三次增资和第四次股权转让</x:t>
  </x:si>
  <x:si>
    <x:t xml:space="preserve">增资协议日期原文未披露</x:t>
  </x:si>
  <x:si>
    <x:t xml:space="preserve">2020-09-23（工商变更登记）</x:t>
  </x:si>
  <x:si>
    <x:t xml:space="preserve">增资决议和登记日明确。</x:t>
  </x:si>
  <x:si>
    <x:t xml:space="preserve">两名投资方同一股东大会决议下共同增资。</x:t>
  </x:si>
  <x:si>
    <x:t xml:space="preserve">厦门西堤、中小企业基金：新增股东。</x:t>
  </x:si>
  <x:si>
    <x:t xml:space="preserve">分别认购968,990股和387,596股；注册资本增至4,883.7074万元。</x:t>
  </x:si>
  <x:si>
    <x:t xml:space="preserve">D+轮候选关联（不形成投资路径结论）</x:t>
  </x:si>
  <x:si>
    <x:t xml:space="preserve">两名增资方以现金认购新增股份。</x:t>
  </x:si>
  <x:si>
    <x:t xml:space="preserve">不复算每股价格或持股比例。</x:t>
  </x:si>
  <x:si>
    <x:t xml:space="preserve">增资协议日和现金到账日。</x:t>
  </x:si>
  <x:si>
    <x:t xml:space="preserve">待用户确认两名新增股东。</x:t>
  </x:si>
  <x:si>
    <x:t xml:space="preserve">CE-013-02</x:t>
  </x:si>
  <x:si>
    <x:t xml:space="preserve">曾烨、刘云锋、李文发、秦国君实施十笔股份转让</x:t>
  </x:si>
  <x:si>
    <x:t xml:space="preserve">63—64</x:t>
  </x:si>
  <x:si>
    <x:t xml:space="preserve">股份转让协议具体签署日原文未披露</x:t>
  </x:si>
  <x:si>
    <x:t xml:space="preserve">2020年9月（变更完成后股东表）</x:t>
  </x:si>
  <x:si>
    <x:t xml:space="preserve">十笔交易均有股数和价格，协议日与交割日未披露。</x:t>
  </x:si>
  <x:si>
    <x:t xml:space="preserve">十笔转让为同一时期整体安排，以交易明细逐笔登记，不拆成十个事件。</x:t>
  </x:si>
  <x:si>
    <x:t xml:space="preserve">四名转让方持股减少但均不退出；鸿迪投资增加；郦韩英等七名主体新增。</x:t>
  </x:si>
  <x:si>
    <x:t xml:space="preserve">合计转让1,659,535股；逐笔股数和价格均为原文披露值。</x:t>
  </x:si>
  <x:si>
    <x:t xml:space="preserve">四名原股东向八名受让主体转让股份。</x:t>
  </x:si>
  <x:si>
    <x:t xml:space="preserve">转让后股东表显示四名转让方仍持股，故不标记退出。</x:t>
  </x:si>
  <x:si>
    <x:t xml:space="preserve">协议日、交割日及价款支付日。</x:t>
  </x:si>
  <x:si>
    <x:t xml:space="preserve">待用户确认转让方不退出和受让方方向。</x:t>
  </x:si>
  <x:si>
    <x:t xml:space="preserve">PDF第64—65页／正文第63—64页</x:t>
  </x:si>
  <x:si>
    <x:t xml:space="preserve">participant_id</x:t>
  </x:si>
  <x:si>
    <x:t xml:space="preserve">original_name</x:t>
  </x:si>
  <x:si>
    <x:t xml:space="preserve">standardized_name</x:t>
  </x:si>
  <x:si>
    <x:t xml:space="preserve">disclosed_entity_type</x:t>
  </x:si>
  <x:si>
    <x:t xml:space="preserve">event_role</x:t>
  </x:si>
  <x:si>
    <x:t xml:space="preserve">before_status</x:t>
  </x:si>
  <x:si>
    <x:t xml:space="preserve">action</x:t>
  </x:si>
  <x:si>
    <x:t xml:space="preserve">change_direction</x:t>
  </x:si>
  <x:si>
    <x:t xml:space="preserve">after_status</x:t>
  </x:si>
  <x:si>
    <x:t xml:space="preserve">judgment_nature</x:t>
  </x:si>
  <x:si>
    <x:t xml:space="preserve">judgment_basis</x:t>
  </x:si>
  <x:si>
    <x:t xml:space="preserve">evidence_ids</x:t>
  </x:si>
  <x:si>
    <x:t xml:space="preserve">review_note</x:t>
  </x:si>
  <x:si>
    <x:t xml:space="preserve">CE-001-P01</x:t>
  </x:si>
  <x:si>
    <x:t xml:space="preserve">上海云汉电子有限公司</x:t>
  </x:si>
  <x:si>
    <x:t xml:space="preserve">公司</x:t>
  </x:si>
  <x:si>
    <x:t xml:space="preserve">被设立公司／标的公司</x:t>
  </x:si>
  <x:si>
    <x:t xml:space="preserve">公司尚未设立</x:t>
  </x:si>
  <x:si>
    <x:t xml:space="preserve">被共同申请设立</x:t>
  </x:si>
  <x:si>
    <x:t xml:space="preserve">完成工商设立登记</x:t>
  </x:si>
  <x:si>
    <x:t xml:space="preserve">原文明确披露</x:t>
  </x:si>
  <x:si>
    <x:t xml:space="preserve">原文称共同申请设立公司前身上海云汉电子有限公司</x:t>
  </x:si>
  <x:si>
    <x:t xml:space="preserve">CE-001-E01｜CE-001-E04</x:t>
  </x:si>
  <x:si>
    <x:t xml:space="preserve">CE-001-P02</x:t>
  </x:si>
  <x:si>
    <x:t xml:space="preserve">上海云汉电子有限公司（筹）</x:t>
  </x:si>
  <x:si>
    <x:t xml:space="preserve">筹建中公司</x:t>
  </x:si>
  <x:si>
    <x:t xml:space="preserve">验资对象</x:t>
  </x:si>
  <x:si>
    <x:t xml:space="preserve">筹建中</x:t>
  </x:si>
  <x:si>
    <x:t xml:space="preserve">接受出资审验</x:t>
  </x:si>
  <x:si>
    <x:t xml:space="preserve">验资确认登记前足额出资</x:t>
  </x:si>
  <x:si>
    <x:t xml:space="preserve">验资报告使用“（筹）”名称</x:t>
  </x:si>
  <x:si>
    <x:t xml:space="preserve">CE-001-E02</x:t>
  </x:si>
  <x:si>
    <x:t xml:space="preserve">CE-001-P03</x:t>
  </x:si>
  <x:si>
    <x:t xml:space="preserve">深圳市云汉电子有限公司／深圳云汉电子</x:t>
  </x:si>
  <x:si>
    <x:t xml:space="preserve">深圳市云汉电子有限公司</x:t>
  </x:si>
  <x:si>
    <x:t xml:space="preserve">设立申请人／设立股东／出资人</x:t>
  </x:si>
  <x:si>
    <x:t xml:space="preserve">申请设立并认缴出资</x:t>
  </x:si>
  <x:si>
    <x:t xml:space="preserve">设立进入</x:t>
  </x:si>
  <x:si>
    <x:t xml:space="preserve">初始股东</x:t>
  </x:si>
  <x:si>
    <x:t xml:space="preserve">共同申请设立并认缴25万元</x:t>
  </x:si>
  <x:si>
    <x:t xml:space="preserve">CE-001-E01｜CE-001-E05</x:t>
  </x:si>
  <x:si>
    <x:t xml:space="preserve">CE-001-P04</x:t>
  </x:si>
  <x:si>
    <x:t xml:space="preserve">刘云锋</x:t>
  </x:si>
  <x:si>
    <x:t xml:space="preserve">自然人</x:t>
  </x:si>
  <x:si>
    <x:t xml:space="preserve">CE-001-P05</x:t>
  </x:si>
  <x:si>
    <x:t xml:space="preserve">上海德欣会计师事务所有限公司</x:t>
  </x:si>
  <x:si>
    <x:t xml:space="preserve">会计师事务所</x:t>
  </x:si>
  <x:si>
    <x:t xml:space="preserve">验资机构</x:t>
  </x:si>
  <x:si>
    <x:t xml:space="preserve">出具验资报告</x:t>
  </x:si>
  <x:si>
    <x:t xml:space="preserve">审验截至2008-05-04的出资情况</x:t>
  </x:si>
  <x:si>
    <x:t xml:space="preserve">CE-001-P06</x:t>
  </x:si>
  <x:si>
    <x:t xml:space="preserve">容诚会计师</x:t>
  </x:si>
  <x:si>
    <x:t xml:space="preserve">容诚会计师事务所相关主体</x:t>
  </x:si>
  <x:si>
    <x:t xml:space="preserve">后续验资复核机构</x:t>
  </x:si>
  <x:si>
    <x:t xml:space="preserve">复核历史验资情况</x:t>
  </x:si>
  <x:si>
    <x:t xml:space="preserve">2021-10-28出具验资复核报告</x:t>
  </x:si>
  <x:si>
    <x:t xml:space="preserve">CE-001-E03</x:t>
  </x:si>
  <x:si>
    <x:t xml:space="preserve">不构成新资本事件</x:t>
  </x:si>
  <x:si>
    <x:t xml:space="preserve">CE-001-P07</x:t>
  </x:si>
  <x:si>
    <x:t xml:space="preserve">上海市工商行政管理局松江分局</x:t>
  </x:si>
  <x:si>
    <x:t xml:space="preserve">工商登记机关</x:t>
  </x:si>
  <x:si>
    <x:t xml:space="preserve">办理设立登记并下发营业执照</x:t>
  </x:si>
  <x:si>
    <x:t xml:space="preserve">2008-05-07办理完毕工商登记手续</x:t>
  </x:si>
  <x:si>
    <x:t xml:space="preserve">CE-001-E04</x:t>
  </x:si>
  <x:si>
    <x:t xml:space="preserve">CE-002-P01</x:t>
  </x:si>
  <x:si>
    <x:t xml:space="preserve">上海云汉电子有限公司／有限公司</x:t>
  </x:si>
  <x:si>
    <x:t xml:space="preserve">标的公司</x:t>
  </x:si>
  <x:si>
    <x:t xml:space="preserve">注册资本50万元（来自前一已验收设立事件）</x:t>
  </x:si>
  <x:si>
    <x:t xml:space="preserve">发生股权转让并接受增资</x:t>
  </x:si>
  <x:si>
    <x:t xml:space="preserve">注册资本增至100万元</x:t>
  </x:si>
  <x:si>
    <x:t xml:space="preserve">原文明确披露＋事件衔接</x:t>
  </x:si>
  <x:si>
    <x:t xml:space="preserve">流程图直接披露转让及增资结果</x:t>
  </x:si>
  <x:si>
    <x:t xml:space="preserve">CE-002-E01｜CE-002-E02</x:t>
  </x:si>
  <x:si>
    <x:t xml:space="preserve">不重建完整股权结构</x:t>
  </x:si>
  <x:si>
    <x:t xml:space="preserve">CE-002-P02</x:t>
  </x:si>
  <x:si>
    <x:t xml:space="preserve">转让方／原股东</x:t>
  </x:si>
  <x:si>
    <x:t xml:space="preserve">持有有限公司50%股权</x:t>
  </x:si>
  <x:si>
    <x:t xml:space="preserve">将其持有的50%股权转让给曾烨</x:t>
  </x:si>
  <x:si>
    <x:t xml:space="preserve">退出</x:t>
  </x:si>
  <x:si>
    <x:t xml:space="preserve">转让后不再持股</x:t>
  </x:si>
  <x:si>
    <x:t xml:space="preserve">原文明确披露＋前一事件完整持股证据</x:t>
  </x:si>
  <x:si>
    <x:t xml:space="preserve">原文称转让其持有的50%股权；设立时原文披露其持股50%</x:t>
  </x:si>
  <x:si>
    <x:t xml:space="preserve">CE-001-E05｜CE-002-E02</x:t>
  </x:si>
  <x:si>
    <x:t xml:space="preserve">退出结论依赖CE-001已验收的设立时持股表</x:t>
  </x:si>
  <x:si>
    <x:t xml:space="preserve">CE-002-P03</x:t>
  </x:si>
  <x:si>
    <x:t xml:space="preserve">曾烨</x:t>
  </x:si>
  <x:si>
    <x:t xml:space="preserve">受让方／新增股东／增资参与方</x:t>
  </x:si>
  <x:si>
    <x:t xml:space="preserve">变更前未见于设立时股东表</x:t>
  </x:si>
  <x:si>
    <x:t xml:space="preserve">受让50%股权并参与按原持股比例增资</x:t>
  </x:si>
  <x:si>
    <x:t xml:space="preserve">新增｜出资额增加</x:t>
  </x:si>
  <x:si>
    <x:t xml:space="preserve">成为股东并参与增资</x:t>
  </x:si>
  <x:si>
    <x:t xml:space="preserve">原文明确披露＋前后事件判断</x:t>
  </x:si>
  <x:si>
    <x:t xml:space="preserve">受让深圳云汉电子所持50%股权；随后作为增资参与方出现</x:t>
  </x:si>
  <x:si>
    <x:t xml:space="preserve">不计算其具体增资额和增资后比例</x:t>
  </x:si>
  <x:si>
    <x:t xml:space="preserve">CE-002-P04</x:t>
  </x:si>
  <x:si>
    <x:t xml:space="preserve">原股东／增资参与方</x:t>
  </x:si>
  <x:si>
    <x:t xml:space="preserve">设立时股东</x:t>
  </x:si>
  <x:si>
    <x:t xml:space="preserve">参与按原持股比例增资</x:t>
  </x:si>
  <x:si>
    <x:t xml:space="preserve">出资额增加</x:t>
  </x:si>
  <x:si>
    <x:t xml:space="preserve">继续作为股东</x:t>
  </x:si>
  <x:si>
    <x:t xml:space="preserve">原文明确披露＋前一事件证据</x:t>
  </x:si>
  <x:si>
    <x:t xml:space="preserve">设立时为股东；本次与曾烨共同按原持股比例增资</x:t>
  </x:si>
  <x:si>
    <x:t xml:space="preserve">CE-003-P01</x:t>
  </x:si>
  <x:si>
    <x:t xml:space="preserve">注册资本100万元</x:t>
  </x:si>
  <x:si>
    <x:t xml:space="preserve">发生股权转让</x:t>
  </x:si>
  <x:si>
    <x:t xml:space="preserve">注册资本仍为100万元</x:t>
  </x:si>
  <x:si>
    <x:t xml:space="preserve">流程图事件节点显示股权转让前后注册资本为100万元</x:t>
  </x:si>
  <x:si>
    <x:t xml:space="preserve">CE-003-E01｜CE-003-E02</x:t>
  </x:si>
  <x:si>
    <x:t xml:space="preserve">不据此重建完整股权结构</x:t>
  </x:si>
  <x:si>
    <x:t xml:space="preserve">CE-003-P02</x:t>
  </x:si>
  <x:si>
    <x:t xml:space="preserve">CE-002后为公司股东</x:t>
  </x:si>
  <x:si>
    <x:t xml:space="preserve">向曾烨、为赛咨询转让股权</x:t>
  </x:si>
  <x:si>
    <x:t xml:space="preserve">持股减少</x:t>
  </x:si>
  <x:si>
    <x:t xml:space="preserve">本事件后是否仍持股未由当前证据直接列示；不标记退出</x:t>
  </x:si>
  <x:si>
    <x:t xml:space="preserve">原文明确披露＋保守方向判断</x:t>
  </x:si>
  <x:si>
    <x:t xml:space="preserve">原文仅称“转让股权”，未称“转让全部股权”</x:t>
  </x:si>
  <x:si>
    <x:t xml:space="preserve">CE-002-E02｜CE-003-E02</x:t>
  </x:si>
  <x:si>
    <x:t xml:space="preserve">不推定其转让后具体持股比例</x:t>
  </x:si>
  <x:si>
    <x:t xml:space="preserve">CE-003-P03</x:t>
  </x:si>
  <x:si>
    <x:t xml:space="preserve">受让方／既有股东</x:t>
  </x:si>
  <x:si>
    <x:t xml:space="preserve">CE-002后已成为公司股东</x:t>
  </x:si>
  <x:si>
    <x:t xml:space="preserve">受让刘云锋所转让股权</x:t>
  </x:si>
  <x:si>
    <x:t xml:space="preserve">持股增加</x:t>
  </x:si>
  <x:si>
    <x:t xml:space="preserve">原文明确披露＋前一已验收事件</x:t>
  </x:si>
  <x:si>
    <x:t xml:space="preserve">CE-002已确认曾烨进入；本事件原文显示其受让股权</x:t>
  </x:si>
  <x:si>
    <x:t xml:space="preserve">不计算增加的出资额或比例</x:t>
  </x:si>
  <x:si>
    <x:t xml:space="preserve">CE-003-P04</x:t>
  </x:si>
  <x:si>
    <x:t xml:space="preserve">为赛咨询</x:t>
  </x:si>
  <x:si>
    <x:t xml:space="preserve">本事件证据仅披露简称，主体类型未在本事件证据中披露</x:t>
  </x:si>
  <x:si>
    <x:t xml:space="preserve">受让方／新增股东</x:t>
  </x:si>
  <x:si>
    <x:t xml:space="preserve">此前已验收事件未出现为股东</x:t>
  </x:si>
  <x:si>
    <x:t xml:space="preserve">新增</x:t>
  </x:si>
  <x:si>
    <x:t xml:space="preserve">成为公司股东</x:t>
  </x:si>
  <x:si>
    <x:t xml:space="preserve">阶段三进入信号＋本事件原文</x:t>
  </x:si>
  <x:si>
    <x:t xml:space="preserve">阶段三候选事件记录明确标记为赛咨询进入信号；流程图显示其受让股权</x:t>
  </x:si>
  <x:si>
    <x:t xml:space="preserve">CE-003-E02</x:t>
  </x:si>
  <x:si>
    <x:t xml:space="preserve">完整主体名称留待释义或相关原文核对，不作PE/VC判断</x:t>
  </x:si>
  <x:si>
    <x:t xml:space="preserve">CE-004-P01</x:t>
  </x:si>
  <x:si>
    <x:t xml:space="preserve">力源信息</x:t>
  </x:si>
  <x:si>
    <x:t xml:space="preserve">武汉力源信息技术股份有限公司</x:t>
  </x:si>
  <x:si>
    <x:t xml:space="preserve">增资方／新增股东</x:t>
  </x:si>
  <x:si>
    <x:t xml:space="preserve">此前未列示为股东</x:t>
  </x:si>
  <x:si>
    <x:t xml:space="preserve">参与共同增资</x:t>
  </x:si>
  <x:si>
    <x:t xml:space="preserve">成为股东</x:t>
  </x:si>
  <x:si>
    <x:t xml:space="preserve">事件衔接判断</x:t>
  </x:si>
  <x:si>
    <x:t xml:space="preserve">流程图列为增资方</x:t>
  </x:si>
  <x:si>
    <x:t xml:space="preserve">CE-004-E02</x:t>
  </x:si>
  <x:si>
    <x:t xml:space="preserve">CE-004-P02</x:t>
  </x:si>
  <x:si>
    <x:t xml:space="preserve">东方富海</x:t>
  </x:si>
  <x:si>
    <x:t xml:space="preserve">东方富海（上海）创业投资企业（有限合伙）</x:t>
  </x:si>
  <x:si>
    <x:t xml:space="preserve">有限合伙</x:t>
  </x:si>
  <x:si>
    <x:t xml:space="preserve">CE-004-P03</x:t>
  </x:si>
  <x:si>
    <x:t xml:space="preserve">芜湖富海</x:t>
  </x:si>
  <x:si>
    <x:t xml:space="preserve">芜湖富海浩研创业投资基金（有限合伙）</x:t>
  </x:si>
  <x:si>
    <x:t xml:space="preserve">CE-005-P01</x:t>
  </x:si>
  <x:si>
    <x:t xml:space="preserve">增资方／既有股东</x:t>
  </x:si>
  <x:si>
    <x:t xml:space="preserve">CE-004已成为股东</x:t>
  </x:si>
  <x:si>
    <x:t xml:space="preserve">再次参与共同增资</x:t>
  </x:si>
  <x:si>
    <x:t xml:space="preserve">继续持股</x:t>
  </x:si>
  <x:si>
    <x:t xml:space="preserve">CE-004与CE-005连续流程节点</x:t>
  </x:si>
  <x:si>
    <x:t xml:space="preserve">CE-004-E02｜CE-005-E02</x:t>
  </x:si>
  <x:si>
    <x:t xml:space="preserve">不计算具体增加额</x:t>
  </x:si>
  <x:si>
    <x:t xml:space="preserve">CE-005-P02</x:t>
  </x:si>
  <x:si>
    <x:t xml:space="preserve">CE-005-P03</x:t>
  </x:si>
  <x:si>
    <x:t xml:space="preserve">CE-006-P01</x:t>
  </x:si>
  <x:si>
    <x:t xml:space="preserve">各股东</x:t>
  </x:si>
  <x:si>
    <x:t xml:space="preserve">整体变更前全体现有股东</x:t>
  </x:si>
  <x:si>
    <x:t xml:space="preserve">集合主体</x:t>
  </x:si>
  <x:si>
    <x:t xml:space="preserve">资本公积转增对象</x:t>
  </x:si>
  <x:si>
    <x:t xml:space="preserve">均为现有股东</x:t>
  </x:si>
  <x:si>
    <x:t xml:space="preserve">按持股比例以资本公积转增</x:t>
  </x:si>
  <x:si>
    <x:t xml:space="preserve">流程图明确写明由各股东按持股比例转增</x:t>
  </x:si>
  <x:si>
    <x:t xml:space="preserve">CE-006-E02</x:t>
  </x:si>
  <x:si>
    <x:t xml:space="preserve">不拆分到个人、不计算转增额</x:t>
  </x:si>
  <x:si>
    <x:t xml:space="preserve">CE-007-P01</x:t>
  </x:si>
  <x:si>
    <x:t xml:space="preserve">深创投</x:t>
  </x:si>
  <x:si>
    <x:t xml:space="preserve">深圳市创新投资集团有限公司</x:t>
  </x:si>
  <x:si>
    <x:t xml:space="preserve">增资方</x:t>
  </x:si>
  <x:si>
    <x:t xml:space="preserve">成为或继续作为股东</x:t>
  </x:si>
  <x:si>
    <x:t xml:space="preserve">CE-007-E02</x:t>
  </x:si>
  <x:si>
    <x:t xml:space="preserve">不计算各自认缴额</x:t>
  </x:si>
  <x:si>
    <x:t xml:space="preserve">CE-007-P02</x:t>
  </x:si>
  <x:si>
    <x:t xml:space="preserve">丰利财富</x:t>
  </x:si>
  <x:si>
    <x:t xml:space="preserve">丰利财富（北京）国际资本管理股份有限公司</x:t>
  </x:si>
  <x:si>
    <x:t xml:space="preserve">CE-007-P03</x:t>
  </x:si>
  <x:si>
    <x:t xml:space="preserve">镇江红土</x:t>
  </x:si>
  <x:si>
    <x:t xml:space="preserve">镇江红土创业投资有限公司</x:t>
  </x:si>
  <x:si>
    <x:t xml:space="preserve">CE-007-P04</x:t>
  </x:si>
  <x:si>
    <x:t xml:space="preserve">昆山红土</x:t>
  </x:si>
  <x:si>
    <x:t xml:space="preserve">昆山红土高新创业投资有限公司</x:t>
  </x:si>
  <x:si>
    <x:t xml:space="preserve">CE-007-P05</x:t>
  </x:si>
  <x:si>
    <x:t xml:space="preserve">富海深湾</x:t>
  </x:si>
  <x:si>
    <x:t xml:space="preserve">富海深湾（深圳）移动创新私募创业投资基金合伙企业（有限合伙）</x:t>
  </x:si>
  <x:si>
    <x:t xml:space="preserve">CE-007-P06</x:t>
  </x:si>
  <x:si>
    <x:t xml:space="preserve">CE-008-P01</x:t>
  </x:si>
  <x:si>
    <x:t xml:space="preserve">发起人／原股东</x:t>
  </x:si>
  <x:si>
    <x:t xml:space="preserve">有限公司股东</x:t>
  </x:si>
  <x:si>
    <x:t xml:space="preserve">以净资产折股成为股份公司发起人</x:t>
  </x:si>
  <x:si>
    <x:t xml:space="preserve">出资额不变／形式转换</x:t>
  </x:si>
  <x:si>
    <x:t xml:space="preserve">股份公司发起人</x:t>
  </x:si>
  <x:si>
    <x:t xml:space="preserve">发起人持股表</x:t>
  </x:si>
  <x:si>
    <x:t xml:space="preserve">CE-008-E07</x:t>
  </x:si>
  <x:si>
    <x:t xml:space="preserve">原文披露17792000股、44.48%；不复算</x:t>
  </x:si>
  <x:si>
    <x:t xml:space="preserve">CE-008-P02</x:t>
  </x:si>
  <x:si>
    <x:t xml:space="preserve">原文披露7413360股、18.53%；不复算</x:t>
  </x:si>
  <x:si>
    <x:t xml:space="preserve">CE-008-P03</x:t>
  </x:si>
  <x:si>
    <x:t xml:space="preserve">原文披露5004000股、12.51%；不复算</x:t>
  </x:si>
  <x:si>
    <x:t xml:space="preserve">CE-008-P04</x:t>
  </x:si>
  <x:si>
    <x:t xml:space="preserve">原文披露2835320股、7.09%；不复算</x:t>
  </x:si>
  <x:si>
    <x:t xml:space="preserve">CE-008-P05</x:t>
  </x:si>
  <x:si>
    <x:t xml:space="preserve">原文披露2502000股、6.26%；不复算</x:t>
  </x:si>
  <x:si>
    <x:t xml:space="preserve">CE-008-P06</x:t>
  </x:si>
  <x:si>
    <x:t xml:space="preserve">宁波为赛咨询管理中心（有限合伙）</x:t>
  </x:si>
  <x:si>
    <x:t xml:space="preserve">原文披露1853360股、4.63%；不复算</x:t>
  </x:si>
  <x:si>
    <x:t xml:space="preserve">CE-008-P07</x:t>
  </x:si>
  <x:si>
    <x:t xml:space="preserve">原文披露933320股、2.33%；不复算</x:t>
  </x:si>
  <x:si>
    <x:t xml:space="preserve">CE-008-P08</x:t>
  </x:si>
  <x:si>
    <x:t xml:space="preserve">原文披露666680股、1.67%；不复算</x:t>
  </x:si>
  <x:si>
    <x:t xml:space="preserve">CE-008-P09</x:t>
  </x:si>
  <x:si>
    <x:t xml:space="preserve">原文披露333320股、0.83%；不复算</x:t>
  </x:si>
  <x:si>
    <x:t xml:space="preserve">CE-008-P10</x:t>
  </x:si>
  <x:si>
    <x:t xml:space="preserve">CE-008-P11</x:t>
  </x:si>
  <x:si>
    <x:t xml:space="preserve">CE-008-P12</x:t>
  </x:si>
  <x:si>
    <x:t xml:space="preserve">云汉芯城（上海）互联网科技股份有限公司</x:t>
  </x:si>
  <x:si>
    <x:t xml:space="preserve">整体变更主体</x:t>
  </x:si>
  <x:si>
    <x:t xml:space="preserve">有限公司</x:t>
  </x:si>
  <x:si>
    <x:t xml:space="preserve">整体变更并更名</x:t>
  </x:si>
  <x:si>
    <x:t xml:space="preserve">股份公司</x:t>
  </x:si>
  <x:si>
    <x:t xml:space="preserve">工商核准并换发营业执照</x:t>
  </x:si>
  <x:si>
    <x:t xml:space="preserve">CE-008-E01｜CE-008-E06</x:t>
  </x:si>
  <x:si>
    <x:t xml:space="preserve">CE-009-P01</x:t>
  </x:si>
  <x:si>
    <x:t xml:space="preserve">持有666,680股</x:t>
  </x:si>
  <x:si>
    <x:t xml:space="preserve">转让全部股份</x:t>
  </x:si>
  <x:si>
    <x:t xml:space="preserve">不再持股</x:t>
  </x:si>
  <x:si>
    <x:t xml:space="preserve">协议使用“全部”且转让后表中不再出现</x:t>
  </x:si>
  <x:si>
    <x:t xml:space="preserve">CE-009-E01｜CE-009-E02</x:t>
  </x:si>
  <x:si>
    <x:t xml:space="preserve">CE-009-P02</x:t>
  </x:si>
  <x:si>
    <x:t xml:space="preserve">天健创投</x:t>
  </x:si>
  <x:si>
    <x:t xml:space="preserve">厦门富海天健创业投资合伙企业（有限合伙）</x:t>
  </x:si>
  <x:si>
    <x:t xml:space="preserve">受让全部666,680股</x:t>
  </x:si>
  <x:si>
    <x:t xml:space="preserve">协议及转让后股东表</x:t>
  </x:si>
  <x:si>
    <x:t xml:space="preserve">CE-010-P01</x:t>
  </x:si>
  <x:si>
    <x:t xml:space="preserve">国科瑞华</x:t>
  </x:si>
  <x:si>
    <x:t xml:space="preserve">北京国科瑞华战略性新兴产业投资基金（有限合伙）</x:t>
  </x:si>
  <x:si>
    <x:t xml:space="preserve">现金增资方／新增股东</x:t>
  </x:si>
  <x:si>
    <x:t xml:space="preserve">认缴新增注册资本</x:t>
  </x:si>
  <x:si>
    <x:t xml:space="preserve">增资协议及变更后股东表</x:t>
  </x:si>
  <x:si>
    <x:t xml:space="preserve">CE-010-E01｜CE-010-E05</x:t>
  </x:si>
  <x:si>
    <x:t xml:space="preserve">CE-010-P02</x:t>
  </x:si>
  <x:si>
    <x:t xml:space="preserve">CASREV FUND</x:t>
  </x:si>
  <x:si>
    <x:t xml:space="preserve">CASREV FUND II-USD L.P.</x:t>
  </x:si>
  <x:si>
    <x:t xml:space="preserve">CE-010-P03</x:t>
  </x:si>
  <x:si>
    <x:t xml:space="preserve">中科贵银</x:t>
  </x:si>
  <x:si>
    <x:t xml:space="preserve">中科贵银（贵州）产业投资基金（有限合伙）</x:t>
  </x:si>
  <x:si>
    <x:t xml:space="preserve">CE-010-P04</x:t>
  </x:si>
  <x:si>
    <x:t xml:space="preserve">夏东</x:t>
  </x:si>
  <x:si>
    <x:t xml:space="preserve">CE-010-P05</x:t>
  </x:si>
  <x:si>
    <x:t xml:space="preserve">南山富海</x:t>
  </x:si>
  <x:si>
    <x:t xml:space="preserve">深圳南山东方富海中小微创业投资基金合伙企业（有限合伙）</x:t>
  </x:si>
  <x:si>
    <x:t xml:space="preserve">CE-010-P06</x:t>
  </x:si>
  <x:si>
    <x:t xml:space="preserve">珠海拓域</x:t>
  </x:si>
  <x:si>
    <x:t xml:space="preserve">珠海拓域壹号股权投资基金（有限合伙）</x:t>
  </x:si>
  <x:si>
    <x:t xml:space="preserve">CE-010-P07</x:t>
  </x:si>
  <x:si>
    <x:t xml:space="preserve">李文发</x:t>
  </x:si>
  <x:si>
    <x:t xml:space="preserve">股权激励对象／增资方</x:t>
  </x:si>
  <x:si>
    <x:t xml:space="preserve">此前未直接持有发行人股份</x:t>
  </x:si>
  <x:si>
    <x:t xml:space="preserve">成为直接股东</x:t>
  </x:si>
  <x:si>
    <x:t xml:space="preserve">股东大会决议及变更后股东表</x:t>
  </x:si>
  <x:si>
    <x:t xml:space="preserve">CE-010-E02｜CE-010-E05</x:t>
  </x:si>
  <x:si>
    <x:t xml:space="preserve">CE-010-P08</x:t>
  </x:si>
  <x:si>
    <x:t xml:space="preserve">秦国君</x:t>
  </x:si>
  <x:si>
    <x:t xml:space="preserve">CE-010-P09</x:t>
  </x:si>
  <x:si>
    <x:t xml:space="preserve">李剑峰</x:t>
  </x:si>
  <x:si>
    <x:t xml:space="preserve">CE-010-P10</x:t>
  </x:si>
  <x:si>
    <x:t xml:space="preserve">周雪峰</x:t>
  </x:si>
  <x:si>
    <x:t xml:space="preserve">CE-010-P11</x:t>
  </x:si>
  <x:si>
    <x:t xml:space="preserve">既有股东</x:t>
  </x:si>
  <x:si>
    <x:t xml:space="preserve">实施两笔股份转让</x:t>
  </x:si>
  <x:si>
    <x:t xml:space="preserve">转让协议与变更后股东表</x:t>
  </x:si>
  <x:si>
    <x:t xml:space="preserve">CE-010-P12</x:t>
  </x:si>
  <x:si>
    <x:t xml:space="preserve">CE-010-P13</x:t>
  </x:si>
  <x:si>
    <x:t xml:space="preserve">富海节能</x:t>
  </x:si>
  <x:si>
    <x:t xml:space="preserve">深圳东方富海节能环保创业投资基金合伙企业（有限合伙）</x:t>
  </x:si>
  <x:si>
    <x:t xml:space="preserve">原文主体</x:t>
  </x:si>
  <x:si>
    <x:t xml:space="preserve">受让股份</x:t>
  </x:si>
  <x:si>
    <x:t xml:space="preserve">协议及变更后股东表</x:t>
  </x:si>
  <x:si>
    <x:t xml:space="preserve">CE-010-P14</x:t>
  </x:si>
  <x:si>
    <x:t xml:space="preserve">临港投资</x:t>
  </x:si>
  <x:si>
    <x:t xml:space="preserve">上海临港松江股权投资基金合伙企业（有限合伙）</x:t>
  </x:si>
  <x:si>
    <x:t xml:space="preserve">CE-010-P15</x:t>
  </x:si>
  <x:si>
    <x:t xml:space="preserve">鸿迪投资</x:t>
  </x:si>
  <x:si>
    <x:t xml:space="preserve">上海鸿迪投资集团有限公司</x:t>
  </x:si>
  <x:si>
    <x:t xml:space="preserve">CE-011-P01</x:t>
  </x:si>
  <x:si>
    <x:t xml:space="preserve">转让方／既有股东</x:t>
  </x:si>
  <x:si>
    <x:t xml:space="preserve">持有1,853,360股</x:t>
  </x:si>
  <x:si>
    <x:t xml:space="preserve">向两人各转让40万股</x:t>
  </x:si>
  <x:si>
    <x:t xml:space="preserve">仍持有1,053,360股</x:t>
  </x:si>
  <x:si>
    <x:t xml:space="preserve">协议与转让后股东表</x:t>
  </x:si>
  <x:si>
    <x:t xml:space="preserve">CE-011-E01｜CE-011-E03</x:t>
  </x:si>
  <x:si>
    <x:t xml:space="preserve">CE-011-P02</x:t>
  </x:si>
  <x:si>
    <x:t xml:space="preserve">受让方／既有股东／退伙人</x:t>
  </x:si>
  <x:si>
    <x:t xml:space="preserve">已直接持有20万股且持有为赛咨询份额</x:t>
  </x:si>
  <x:si>
    <x:t xml:space="preserve">受让40万股并退出为赛咨询</x:t>
  </x:si>
  <x:si>
    <x:t xml:space="preserve">直接持股增至60万股</x:t>
  </x:si>
  <x:si>
    <x:t xml:space="preserve">股份转让协议、退伙协议和转让后股东表</x:t>
  </x:si>
  <x:si>
    <x:t xml:space="preserve">CE-011-E01｜CE-011-E02｜CE-011-E03</x:t>
  </x:si>
  <x:si>
    <x:t xml:space="preserve">退伙不等于退出发行人</x:t>
  </x:si>
  <x:si>
    <x:t xml:space="preserve">CE-011-P03</x:t>
  </x:si>
  <x:si>
    <x:t xml:space="preserve">CE-012-P01</x:t>
  </x:si>
  <x:si>
    <x:t xml:space="preserve">火炬电子</x:t>
  </x:si>
  <x:si>
    <x:t xml:space="preserve">福建火炬电子科技股份有限公司</x:t>
  </x:si>
  <x:si>
    <x:t xml:space="preserve">认购新增股份</x:t>
  </x:si>
  <x:si>
    <x:t xml:space="preserve">增资协议和增资后股东表</x:t>
  </x:si>
  <x:si>
    <x:t xml:space="preserve">CE-012-E01｜CE-012-E04</x:t>
  </x:si>
  <x:si>
    <x:t xml:space="preserve">CE-013-P01</x:t>
  </x:si>
  <x:si>
    <x:t xml:space="preserve">厦门西堤</x:t>
  </x:si>
  <x:si>
    <x:t xml:space="preserve">厦门西堤拾贰投资合伙企业（有限合伙）</x:t>
  </x:si>
  <x:si>
    <x:t xml:space="preserve">增资决议与变更后股东表</x:t>
  </x:si>
  <x:si>
    <x:t xml:space="preserve">CE-013-E01｜CE-013-E05</x:t>
  </x:si>
  <x:si>
    <x:t xml:space="preserve">CE-013-P02</x:t>
  </x:si>
  <x:si>
    <x:t xml:space="preserve">中小企业基金</x:t>
  </x:si>
  <x:si>
    <x:t xml:space="preserve">中小企业发展基金（深圳南山有限合伙）</x:t>
  </x:si>
  <x:si>
    <x:t xml:space="preserve">CE-013-P03</x:t>
  </x:si>
  <x:si>
    <x:t xml:space="preserve">转让部分股份</x:t>
  </x:si>
  <x:si>
    <x:t xml:space="preserve">转让后仍持股</x:t>
  </x:si>
  <x:si>
    <x:t xml:space="preserve">转让明细与变更后股东表</x:t>
  </x:si>
  <x:si>
    <x:t xml:space="preserve">CE-013-E03｜CE-013-E05</x:t>
  </x:si>
  <x:si>
    <x:t xml:space="preserve">CE-013-P04</x:t>
  </x:si>
  <x:si>
    <x:t xml:space="preserve">CE-013-P05</x:t>
  </x:si>
  <x:si>
    <x:t xml:space="preserve">CE-013-P06</x:t>
  </x:si>
  <x:si>
    <x:t xml:space="preserve">CE-013-P07</x:t>
  </x:si>
  <x:si>
    <x:t xml:space="preserve">受让方</x:t>
  </x:si>
  <x:si>
    <x:t xml:space="preserve">CE-010已成为股东</x:t>
  </x:si>
  <x:si>
    <x:t xml:space="preserve">CE-013-P08</x:t>
  </x:si>
  <x:si>
    <x:t xml:space="preserve">郦韩英</x:t>
  </x:si>
  <x:si>
    <x:t xml:space="preserve">CE-013-P09</x:t>
  </x:si>
  <x:si>
    <x:t xml:space="preserve">福建开京</x:t>
  </x:si>
  <x:si>
    <x:t xml:space="preserve">福建开京集团有限责任公司</x:t>
  </x:si>
  <x:si>
    <x:t xml:space="preserve">CE-013-P10</x:t>
  </x:si>
  <x:si>
    <x:t xml:space="preserve">沈笑彦</x:t>
  </x:si>
  <x:si>
    <x:t xml:space="preserve">CE-013-P11</x:t>
  </x:si>
  <x:si>
    <x:t xml:space="preserve">衣嘉平</x:t>
  </x:si>
  <x:si>
    <x:t xml:space="preserve">CE-013-P12</x:t>
  </x:si>
  <x:si>
    <x:t xml:space="preserve">余满芬</x:t>
  </x:si>
  <x:si>
    <x:t xml:space="preserve">CE-013-P13</x:t>
  </x:si>
  <x:si>
    <x:t xml:space="preserve">崔振南</x:t>
  </x:si>
  <x:si>
    <x:t xml:space="preserve">CE-013-P14</x:t>
  </x:si>
  <x:si>
    <x:t xml:space="preserve">湘裕君源</x:t>
  </x:si>
  <x:si>
    <x:t xml:space="preserve">萍乡市湘裕君源企业管理中心（有限合伙）</x:t>
  </x:si>
  <x:si>
    <x:t xml:space="preserve">CE-014-P01</x:t>
  </x:si>
  <x:si>
    <x:t xml:space="preserve">发行人</x:t>
  </x:si>
  <x:si>
    <x:t xml:space="preserve">协议相关方／非回购义务方</x:t>
  </x:si>
  <x:si>
    <x:t xml:space="preserve">签署或被确认相关特殊权利终止</x:t>
  </x:si>
  <x:si>
    <x:t xml:space="preserve">不是股东变化</x:t>
  </x:si>
  <x:si>
    <x:t xml:space="preserve">不承担回购补偿义务</x:t>
  </x:si>
  <x:si>
    <x:t xml:space="preserve">发行人均不属于回购或现金补偿义务主体</x:t>
  </x:si>
  <x:si>
    <x:t xml:space="preserve">CE-014-E01｜CE-014-E02</x:t>
  </x:si>
  <x:si>
    <x:t xml:space="preserve">CE-014-P02</x:t>
  </x:si>
  <x:si>
    <x:t xml:space="preserve">历史承诺或义务相关方</x:t>
  </x:si>
  <x:si>
    <x:t xml:space="preserve">与投资人签署终止协议</x:t>
  </x:si>
  <x:si>
    <x:t xml:space="preserve">相关义务已履行或终止</x:t>
  </x:si>
  <x:si>
    <x:t xml:space="preserve">共同终止事实</x:t>
  </x:si>
  <x:si>
    <x:t xml:space="preserve">CE-014-E01</x:t>
  </x:si>
  <x:si>
    <x:t xml:space="preserve">CE-014-P03</x:t>
  </x:si>
  <x:si>
    <x:t xml:space="preserve">CE-014-P04</x:t>
  </x:si>
  <x:si>
    <x:t xml:space="preserve">CE-014-A-P01</x:t>
  </x:si>
  <x:si>
    <x:t xml:space="preserve">投资方／特殊权利主体</x:t>
  </x:si>
  <x:si>
    <x:t xml:space="preserve">确认条款履行、失效或终止</x:t>
  </x:si>
  <x:si>
    <x:t xml:space="preserve">特殊权利已终止</x:t>
  </x:si>
  <x:si>
    <x:t xml:space="preserve">轮次表及终止协议内容</x:t>
  </x:si>
  <x:si>
    <x:t xml:space="preserve">CE-014-A-E01｜CE-014-E01</x:t>
  </x:si>
  <x:si>
    <x:t xml:space="preserve">CE-014-A-P02</x:t>
  </x:si>
  <x:si>
    <x:t xml:space="preserve">CE-014-A-P03</x:t>
  </x:si>
  <x:si>
    <x:t xml:space="preserve">CE-014-B-P01</x:t>
  </x:si>
  <x:si>
    <x:t xml:space="preserve">CE-014-B-E01｜CE-014-E01</x:t>
  </x:si>
  <x:si>
    <x:t xml:space="preserve">CE-014-B-P02</x:t>
  </x:si>
  <x:si>
    <x:t xml:space="preserve">CE-014-B-P03</x:t>
  </x:si>
  <x:si>
    <x:t xml:space="preserve">CE-014-B-P04</x:t>
  </x:si>
  <x:si>
    <x:t xml:space="preserve">CE-014-B-P05</x:t>
  </x:si>
  <x:si>
    <x:t xml:space="preserve">CE-014-B-P06</x:t>
  </x:si>
  <x:si>
    <x:t xml:space="preserve">CE-014-B-P07</x:t>
  </x:si>
  <x:si>
    <x:t xml:space="preserve">天健创投（承继丰利财富权利）</x:t>
  </x:si>
  <x:si>
    <x:t xml:space="preserve">CE-014-C-P01</x:t>
  </x:si>
  <x:si>
    <x:t xml:space="preserve">CE-014-C-E01｜CE-014-E01</x:t>
  </x:si>
  <x:si>
    <x:t xml:space="preserve">CE-014-C-P02</x:t>
  </x:si>
  <x:si>
    <x:t xml:space="preserve">CE-014-C-P03</x:t>
  </x:si>
  <x:si>
    <x:t xml:space="preserve">CE-014-C-P04</x:t>
  </x:si>
  <x:si>
    <x:t xml:space="preserve">CE-014-C-P05</x:t>
  </x:si>
  <x:si>
    <x:t xml:space="preserve">CE-014-C-P06</x:t>
  </x:si>
  <x:si>
    <x:t xml:space="preserve">CE-014-C-P07</x:t>
  </x:si>
  <x:si>
    <x:t xml:space="preserve">CE-014-C-P08</x:t>
  </x:si>
  <x:si>
    <x:t xml:space="preserve">CE-014-C-P09</x:t>
  </x:si>
  <x:si>
    <x:t xml:space="preserve">CE-014-D-P01</x:t>
  </x:si>
  <x:si>
    <x:t xml:space="preserve">CE-014-D-E01｜CE-014-E01</x:t>
  </x:si>
  <x:si>
    <x:t xml:space="preserve">CE-014-DPLUS-P01</x:t>
  </x:si>
  <x:si>
    <x:t xml:space="preserve">CE-014-DPLUS-E01｜CE-014-E01</x:t>
  </x:si>
  <x:si>
    <x:t xml:space="preserve">CE-014-DPLUS-P02</x:t>
  </x:si>
  <x:si>
    <x:t xml:space="preserve">evidence_id</x:t>
  </x:si>
  <x:si>
    <x:t xml:space="preserve">pdf_page</x:t>
  </x:si>
  <x:si>
    <x:t xml:space="preserve">printed_page</x:t>
  </x:si>
  <x:si>
    <x:t xml:space="preserve">location_type</x:t>
  </x:si>
  <x:si>
    <x:t xml:space="preserve">cross_page</x:t>
  </x:si>
  <x:si>
    <x:t xml:space="preserve">original_quote_or_description</x:t>
  </x:si>
  <x:si>
    <x:t xml:space="preserve">supported_fields</x:t>
  </x:si>
  <x:si>
    <x:t xml:space="preserve">related_evidence</x:t>
  </x:si>
  <x:si>
    <x:t xml:space="preserve">evidence_note</x:t>
  </x:si>
  <x:si>
    <x:t xml:space="preserve">needs_review</x:t>
  </x:si>
  <x:si>
    <x:t xml:space="preserve">CE-001-E01</x:t>
  </x:si>
  <x:si>
    <x:t xml:space="preserve">（二）云汉有限的设立情况</x:t>
  </x:si>
  <x:si>
    <x:t xml:space="preserve">54</x:t>
  </x:si>
  <x:si>
    <x:t xml:space="preserve">正文段落</x:t>
  </x:si>
  <x:si>
    <x:t xml:space="preserve">2008年4月17日，深圳市云汉电子有限公司和刘云锋共同申请设立公司前身上海云汉电子有限公司，注册资本为50万元；深圳云汉电子和刘云锋各认缴25万元、各占50%。</x:t>
  </x:si>
  <x:si>
    <x:t xml:space="preserve">设立申请时间；设立申请人；初始注册资本；认缴出资；原文持股比例</x:t>
  </x:si>
  <x:si>
    <x:t xml:space="preserve">CE-001-E05</x:t>
  </x:si>
  <x:si>
    <x:t xml:space="preserve">25万元、50万元和50%均为原文披露值。</x:t>
  </x:si>
  <x:si>
    <x:t xml:space="preserve">2008年5月5日，上海德欣会计师事务所有限公司对上海云汉电子有限公司（筹）截至2008年5月4日的出资情况进行了审验，并出具沪德欣（2008）验字第5205号《验资报告》，确认50万元出资已于登记之前足额缴纳。</x:t>
  </x:si>
  <x:si>
    <x:t xml:space="preserve">验资截止日；验资报告日；验资机构；验资报告编号；足额缴纳事实</x:t>
  </x:si>
  <x:si>
    <x:t xml:space="preserve">不将2008-05-04推定为每名股东的具体缴款日。</x:t>
  </x:si>
  <x:si>
    <x:t xml:space="preserve">2021年10月28日，容诚会计师出具验资复核报告，对2008年的验资情况进行复核。</x:t>
  </x:si>
  <x:si>
    <x:t xml:space="preserve">后续验资复核时间及性质</x:t>
  </x:si>
  <x:si>
    <x:t xml:space="preserve">历史验资证据复核，不是新的出资、增资或公司设立事件。</x:t>
  </x:si>
  <x:si>
    <x:t xml:space="preserve">2008年5月7日，上海云汉电子有限公司办理完毕工商登记手续，并取得上海市工商行政管理局松江分局下发的《企业法人营业执照》，注册号为310227001377671。</x:t>
  </x:si>
  <x:si>
    <x:t xml:space="preserve">工商设立登记完成时间；登记机关；营业执照；注册号</x:t>
  </x:si>
  <x:si>
    <x:t xml:space="preserve">表格</x:t>
  </x:si>
  <x:si>
    <x:t xml:space="preserve">设立时股东表：深圳市云汉电子有限公司注册资本25.00万元、持股50.00%；刘云锋注册资本25.00万元、持股50.00%；合计50.00万元、100.00%。</x:t>
  </x:si>
  <x:si>
    <x:t xml:space="preserve">设立时股东；注册资本；原文持股比例</x:t>
  </x:si>
  <x:si>
    <x:t xml:space="preserve">表格原文披露值，不重新计算。</x:t>
  </x:si>
  <x:si>
    <x:t xml:space="preserve">CE-001-E06</x:t>
  </x:si>
  <x:si>
    <x:t xml:space="preserve">（三）云汉有限设立以来股本演变情况</x:t>
  </x:si>
  <x:si>
    <x:t xml:space="preserve">流程图</x:t>
  </x:si>
  <x:si>
    <x:t xml:space="preserve">流程图节点：2008年5月，有限公司设立，注册资本50万元；由深圳云汉电子和刘云锋共同出资设立。</x:t>
  </x:si>
  <x:si>
    <x:t xml:space="preserve">事件标题时间；流程图概括；设立股东</x:t>
  </x:si>
  <x:si>
    <x:t xml:space="preserve">属于对设立正文的概括性重复披露，不另建第二个设立事件。</x:t>
  </x:si>
  <x:si>
    <x:t xml:space="preserve">CE-002-E01</x:t>
  </x:si>
  <x:si>
    <x:t xml:space="preserve">2009年12月，有限公司第一次股权转让及增资，注册资本增至100万元。</x:t>
  </x:si>
  <x:si>
    <x:t xml:space="preserve">事件标题时间；复合事件类型；增资后注册资本</x:t>
  </x:si>
  <x:si>
    <x:t xml:space="preserve">CE-002-E02</x:t>
  </x:si>
  <x:si>
    <x:t xml:space="preserve">流程图左侧事件节点；月份级概括，不能替代协议、缴款或工商日期。</x:t>
  </x:si>
  <x:si>
    <x:t xml:space="preserve">深圳市云汉电子有限公司将其持有的有限公司50%股权转让给曾烨，曾烨、刘云锋按原持股比例增资50万元，注册资本增至100万元。</x:t>
  </x:si>
  <x:si>
    <x:t xml:space="preserve">转让方；受让方；转让标的；全部转让判断；增资参与方；合计增资额；增资后注册资本；行为先后关系</x:t>
  </x:si>
  <x:si>
    <x:t xml:space="preserve">CE-001-E05｜CE-002-E01</x:t>
  </x:si>
  <x:si>
    <x:t xml:space="preserve">流程图右侧说明框。各自增资额、转让价格、协议日、缴款日和工商变更日均未披露。</x:t>
  </x:si>
  <x:si>
    <x:t xml:space="preserve">CE-003-E01</x:t>
  </x:si>
  <x:si>
    <x:t xml:space="preserve">“2014年6月，有限公司第二次股权转让，注册资本100万元。”</x:t>
  </x:si>
  <x:si>
    <x:t xml:space="preserve">事件标题时间；事件类型；注册资本</x:t>
  </x:si>
  <x:si>
    <x:t xml:space="preserve">流程图左侧节点；日期仅精确到月份。</x:t>
  </x:si>
  <x:si>
    <x:t xml:space="preserve">“刘云锋将其持有的15.75%、6.85%的股权分别转让给曾烨、为赛咨询。”</x:t>
  </x:si>
  <x:si>
    <x:t xml:space="preserve">转让方；受让方；分别转让比例；变化方向</x:t>
  </x:si>
  <x:si>
    <x:t xml:space="preserve">流程图右侧说明框。</x:t>
  </x:si>
  <x:si>
    <x:t xml:space="preserve">CE-004-E01</x:t>
  </x:si>
  <x:si>
    <x:t xml:space="preserve">云汉有限设立以来股本演变情况</x:t>
  </x:si>
  <x:si>
    <x:t xml:space="preserve">“2014年8月，有限公司第二次增资，注册资本增至128.205万元。”</x:t>
  </x:si>
  <x:si>
    <x:t xml:space="preserve">标题时间；事件类型；增资后注册资本</x:t>
  </x:si>
  <x:si>
    <x:t xml:space="preserve">“力源信息、东方富海及芜湖富海共同增资28.205万元。”</x:t>
  </x:si>
  <x:si>
    <x:t xml:space="preserve">增资方；合计增资额；新增股东方向</x:t>
  </x:si>
  <x:si>
    <x:t xml:space="preserve">CE-005-E01</x:t>
  </x:si>
  <x:si>
    <x:t xml:space="preserve">“2015年1月，有限公司第三次增资，注册资本增至136.9864万元。”</x:t>
  </x:si>
  <x:si>
    <x:t xml:space="preserve">标题时间；事件类型；注册资本</x:t>
  </x:si>
  <x:si>
    <x:t xml:space="preserve">CE-005-E02</x:t>
  </x:si>
  <x:si>
    <x:t xml:space="preserve">“力源信息、东方富海及芜湖富海共同增资8.78714万元。”</x:t>
  </x:si>
  <x:si>
    <x:t xml:space="preserve">增资方；合计增资额；既有股东增资方向</x:t>
  </x:si>
  <x:si>
    <x:t xml:space="preserve">CE-006-E01</x:t>
  </x:si>
  <x:si>
    <x:t xml:space="preserve">“2015年3月，有限公司第四次增资，注册资本增至2,000万元。”</x:t>
  </x:si>
  <x:si>
    <x:t xml:space="preserve">“新增注册资本由各股东按照其持股比例以资本公积转增。”</x:t>
  </x:si>
  <x:si>
    <x:t xml:space="preserve">资本来源；转增对象；非现金增资性质</x:t>
  </x:si>
  <x:si>
    <x:t xml:space="preserve">CE-007-E01</x:t>
  </x:si>
  <x:si>
    <x:t xml:space="preserve">“2015年8月，有限公司第五次增资，注册资本增至2,158.2733万元。”</x:t>
  </x:si>
  <x:si>
    <x:t xml:space="preserve">“深创投、丰利财富、镇江红土、昆山红土、富海深湾、芜湖富海共同增资158.2733万元。”</x:t>
  </x:si>
  <x:si>
    <x:t xml:space="preserve">增资方；合计增资额；新增/增加方向</x:t>
  </x:si>
  <x:si>
    <x:t xml:space="preserve">CE-008-E01</x:t>
  </x:si>
  <x:si>
    <x:t xml:space="preserve">发行人的设立方式</x:t>
  </x:si>
  <x:si>
    <x:t xml:space="preserve">53</x:t>
  </x:si>
  <x:si>
    <x:t xml:space="preserve">52</x:t>
  </x:si>
  <x:si>
    <x:t xml:space="preserve">2015年9月1日股东会决议，以2015年8月31日为基准日整体变更。</x:t>
  </x:si>
  <x:si>
    <x:t xml:space="preserve">股东会决议日；审计评估基准日；整体变更方案</x:t>
  </x:si>
  <x:si>
    <x:t xml:space="preserve">CE-008-E02</x:t>
  </x:si>
  <x:si>
    <x:t xml:space="preserve">2015年10月13日审计报告确认净资产45,010,412.64元。</x:t>
  </x:si>
  <x:si>
    <x:t xml:space="preserve">审计报告日；审计净资产</x:t>
  </x:si>
  <x:si>
    <x:t xml:space="preserve">CE-008-E03</x:t>
  </x:si>
  <x:si>
    <x:t xml:space="preserve">2015年10月14日评估报告确认净资产评估值4,773.16万元。</x:t>
  </x:si>
  <x:si>
    <x:t xml:space="preserve">评估报告日；评估值</x:t>
  </x:si>
  <x:si>
    <x:t xml:space="preserve">CE-008-E04</x:t>
  </x:si>
  <x:si>
    <x:t xml:space="preserve">2015年10月15日全体发起人签署发起人协议，按1.1253:1折为4,000万股。</x:t>
  </x:si>
  <x:si>
    <x:t xml:space="preserve">协议签署日；折股比例；股本；资本公积</x:t>
  </x:si>
  <x:si>
    <x:t xml:space="preserve">CE-008-E05</x:t>
  </x:si>
  <x:si>
    <x:t xml:space="preserve">2015年10月30日召开创立大会并出具验资报告，确认出资全部到位。</x:t>
  </x:si>
  <x:si>
    <x:t xml:space="preserve">创立大会日；验资报告日；出资到位</x:t>
  </x:si>
  <x:si>
    <x:t xml:space="preserve">CE-008-E06</x:t>
  </x:si>
  <x:si>
    <x:t xml:space="preserve">2015年12月3日工商核准整体变更并换发股份公司营业执照。</x:t>
  </x:si>
  <x:si>
    <x:t xml:space="preserve">工商变更日；整体变更完成</x:t>
  </x:si>
  <x:si>
    <x:t xml:space="preserve">53—54</x:t>
  </x:si>
  <x:si>
    <x:t xml:space="preserve">整体变更时11名发起人持股数量及比例表。</x:t>
  </x:si>
  <x:si>
    <x:t xml:space="preserve">发起人名单；原文股份数量和比例</x:t>
  </x:si>
  <x:si>
    <x:t xml:space="preserve">CE-009-E01</x:t>
  </x:si>
  <x:si>
    <x:t xml:space="preserve">58</x:t>
  </x:si>
  <x:si>
    <x:t xml:space="preserve">2018年4月28日，丰利财富将全部666,680股转让给天健创投，价款1,000万元。</x:t>
  </x:si>
  <x:si>
    <x:t xml:space="preserve">协议日；转让方；受让方；全部股份；价款</x:t>
  </x:si>
  <x:si>
    <x:t xml:space="preserve">CE-009-E02</x:t>
  </x:si>
  <x:si>
    <x:t xml:space="preserve">转让后股东表列示天健创投666,680股、1.67%，不再列示丰利财富。</x:t>
  </x:si>
  <x:si>
    <x:t xml:space="preserve">新增与退出方向；变更后状态</x:t>
  </x:si>
  <x:si>
    <x:t xml:space="preserve">CE-010-E01</x:t>
  </x:si>
  <x:si>
    <x:t xml:space="preserve">增加注册资本暨第二次股权转让</x:t>
  </x:si>
  <x:si>
    <x:t xml:space="preserve">2018年6月12日签署增资与股权转让协议，列明六方增资及四笔股份转让。</x:t>
  </x:si>
  <x:si>
    <x:t xml:space="preserve">协议日；外部增资方；转让方和受让方；原文金额与股数</x:t>
  </x:si>
  <x:si>
    <x:t xml:space="preserve">CE-010-E02</x:t>
  </x:si>
  <x:si>
    <x:t xml:space="preserve">2018年6月12日股东大会同意四名管理团队成员合计认缴新增注册资本120万元。</x:t>
  </x:si>
  <x:si>
    <x:t xml:space="preserve">股东大会决议；股权激励对象；各自认缴额</x:t>
  </x:si>
  <x:si>
    <x:t xml:space="preserve">CE-010-E03</x:t>
  </x:si>
  <x:si>
    <x:t xml:space="preserve">2018年6月28日完成夏东、南山富海、珠海拓域及四名激励对象的工商变更。</x:t>
  </x:si>
  <x:si>
    <x:t xml:space="preserve">第一批工商变更日；注册资本4,264.3373万元</x:t>
  </x:si>
  <x:si>
    <x:t xml:space="preserve">CE-010-E04</x:t>
  </x:si>
  <x:si>
    <x:t xml:space="preserve">2018年7月27日完成国科瑞华、CASREV FUND、中科贵银增资登记。</x:t>
  </x:si>
  <x:si>
    <x:t xml:space="preserve">第二批工商变更日；注册资本4,635万元</x:t>
  </x:si>
  <x:si>
    <x:t xml:space="preserve">CE-010-E05</x:t>
  </x:si>
  <x:si>
    <x:t xml:space="preserve">59—60</x:t>
  </x:si>
  <x:si>
    <x:t xml:space="preserve">变更后股东表列示六名外部增资方、四名激励对象及三名股份受让方。</x:t>
  </x:si>
  <x:si>
    <x:t xml:space="preserve">新增股东；转让后继续持股；变更后状态</x:t>
  </x:si>
  <x:si>
    <x:t xml:space="preserve">CE-010-E01｜CE-010-E02</x:t>
  </x:si>
  <x:si>
    <x:t xml:space="preserve">CE-010-E06</x:t>
  </x:si>
  <x:si>
    <x:t xml:space="preserve">2020年12月16日验资报告对本次增资进行验证。</x:t>
  </x:si>
  <x:si>
    <x:t xml:space="preserve">后续验资报告日</x:t>
  </x:si>
  <x:si>
    <x:t xml:space="preserve">CE-011-E01</x:t>
  </x:si>
  <x:si>
    <x:t xml:space="preserve">61</x:t>
  </x:si>
  <x:si>
    <x:t xml:space="preserve">2019年8月13日，为赛咨询分别向李文发、秦国君转让40万股，价款各40万元。</x:t>
  </x:si>
  <x:si>
    <x:t xml:space="preserve">协议日；转让方；受让方；股数；价款</x:t>
  </x:si>
  <x:si>
    <x:t xml:space="preserve">CE-011-E02</x:t>
  </x:si>
  <x:si>
    <x:t xml:space="preserve">两人于2019年8月12日分别转出为赛咨询21.58%财产份额并退伙。</x:t>
  </x:si>
  <x:si>
    <x:t xml:space="preserve">退伙协议日；合伙份额；关联安排</x:t>
  </x:si>
  <x:si>
    <x:t xml:space="preserve">CE-011-E03</x:t>
  </x:si>
  <x:si>
    <x:t xml:space="preserve">转让后为赛咨询持股1,053,360股，李文发、秦国君各持600,000股。</x:t>
  </x:si>
  <x:si>
    <x:t xml:space="preserve">持股减少和增加；未退出判断</x:t>
  </x:si>
  <x:si>
    <x:t xml:space="preserve">CE-012-E01</x:t>
  </x:si>
  <x:si>
    <x:t xml:space="preserve">62</x:t>
  </x:si>
  <x:si>
    <x:t xml:space="preserve">2020年5月20日股东大会决议并签署增资协议，火炬电子现金5,000万元认购113.0488万股。</x:t>
  </x:si>
  <x:si>
    <x:t xml:space="preserve">决议日；协议日；增资方；现金额；新增股份</x:t>
  </x:si>
  <x:si>
    <x:t xml:space="preserve">CE-012-E02</x:t>
  </x:si>
  <x:si>
    <x:t xml:space="preserve">2020年5月28日完成市场监督管理变更备案。</x:t>
  </x:si>
  <x:si>
    <x:t xml:space="preserve">工商备案日；增资完成节点</x:t>
  </x:si>
  <x:si>
    <x:t xml:space="preserve">CE-012-E03</x:t>
  </x:si>
  <x:si>
    <x:t xml:space="preserve">验资报告日</x:t>
  </x:si>
  <x:si>
    <x:t xml:space="preserve">CE-012-E04</x:t>
  </x:si>
  <x:si>
    <x:t xml:space="preserve">增资后股东表首次列示火炬电子1,130,488股。</x:t>
  </x:si>
  <x:si>
    <x:t xml:space="preserve">新增股东方向；变更后状态</x:t>
  </x:si>
  <x:si>
    <x:t xml:space="preserve">CE-013-E01</x:t>
  </x:si>
  <x:si>
    <x:t xml:space="preserve">第三次增资和第四次股权转让</x:t>
  </x:si>
  <x:si>
    <x:t xml:space="preserve">63</x:t>
  </x:si>
  <x:si>
    <x:t xml:space="preserve">2020年9月15日股东大会同意厦门西堤、中小企业基金认购新增股份。</x:t>
  </x:si>
  <x:si>
    <x:t xml:space="preserve">决议日；增资方；现金额；新增股份；注册资本</x:t>
  </x:si>
  <x:si>
    <x:t xml:space="preserve">CE-013-E02</x:t>
  </x:si>
  <x:si>
    <x:t xml:space="preserve">CE-013-E03</x:t>
  </x:si>
  <x:si>
    <x:t xml:space="preserve">64</x:t>
  </x:si>
  <x:si>
    <x:t xml:space="preserve">原文表格列示四名转让方向八名受让主体实施十笔股份转让。</x:t>
  </x:si>
  <x:si>
    <x:t xml:space="preserve">转让方；受让方；逐笔股数和价款；合计股数</x:t>
  </x:si>
  <x:si>
    <x:t xml:space="preserve">CE-013-E04</x:t>
  </x:si>
  <x:si>
    <x:t xml:space="preserve">2020年9月23日完成工商变更登记；原文披露每股价格约51.6元。</x:t>
  </x:si>
  <x:si>
    <x:t xml:space="preserve">工商变更日；原文每股价格和估值</x:t>
  </x:si>
  <x:si>
    <x:t xml:space="preserve">CE-013-E01｜CE-013-E03</x:t>
  </x:si>
  <x:si>
    <x:t xml:space="preserve">CE-013-E05</x:t>
  </x:si>
  <x:si>
    <x:t xml:space="preserve">变更后股东表列示两名增资方及各股份受让方，四名转让方仍持股。</x:t>
  </x:si>
  <x:si>
    <x:t xml:space="preserve">新增、增加、减少和未退出判断</x:t>
  </x:si>
  <x:si>
    <x:t xml:space="preserve">对赌协议解除相关情况</x:t>
  </x:si>
  <x:si>
    <x:t xml:space="preserve">65</x:t>
  </x:si>
  <x:si>
    <x:t xml:space="preserve">2021年9月30日，各轮相关方分别签署特殊权利条款终止协议。</x:t>
  </x:si>
  <x:si>
    <x:t xml:space="preserve">共同终止协议日；终止范围；无自动恢复</x:t>
  </x:si>
  <x:si>
    <x:t xml:space="preserve">CE-014-E02</x:t>
  </x:si>
  <x:si>
    <x:t xml:space="preserve">2023年8月，各轮投资人确认发行人自始不存在回购、补偿义务。</x:t>
  </x:si>
  <x:si>
    <x:t xml:space="preserve">确认函日期；发行人非义务方</x:t>
  </x:si>
  <x:si>
    <x:t xml:space="preserve">CE-014-E03</x:t>
  </x:si>
  <x:si>
    <x:t xml:space="preserve">优先购买、共同出售、反稀释、优先清算和公司治理等特殊权利均已终止且不恢复。</x:t>
  </x:si>
  <x:si>
    <x:t xml:space="preserve">其他特殊权利终止；无恢复条款</x:t>
  </x:si>
  <x:si>
    <x:t xml:space="preserve">CE-014-E04</x:t>
  </x:si>
  <x:si>
    <x:t xml:space="preserve">原文结论：不存在因对赌协议导致控制权不稳定或严重影响持续经营的情形。</x:t>
  </x:si>
  <x:si>
    <x:t xml:space="preserve">发行人层面法律效果</x:t>
  </x:si>
  <x:si>
    <x:t xml:space="preserve">CE-014-A-E01</x:t>
  </x:si>
  <x:si>
    <x:t xml:space="preserve">A轮条款</x:t>
  </x:si>
  <x:si>
    <x:t xml:space="preserve">A轮投资方为力源信息、东方富海、芜湖富海；含拖售权及2015年营业收入承诺。</x:t>
  </x:si>
  <x:si>
    <x:t xml:space="preserve">投资方；条款类型；业绩指标</x:t>
  </x:si>
  <x:si>
    <x:t xml:space="preserve">CE-014-A-E02</x:t>
  </x:si>
  <x:si>
    <x:t xml:space="preserve">拖售权未履行，2018年6月被替代并于2021年9月30日终止；业绩承诺完成。</x:t>
  </x:si>
  <x:si>
    <x:t xml:space="preserve">履行、替代和终止状态</x:t>
  </x:si>
  <x:si>
    <x:t xml:space="preserve">CE-014-B-E01</x:t>
  </x:si>
  <x:si>
    <x:t xml:space="preserve">B轮条款</x:t>
  </x:si>
  <x:si>
    <x:t xml:space="preserve">66</x:t>
  </x:si>
  <x:si>
    <x:t xml:space="preserve">B轮投资方含深创投、镇江红土、昆山红土、富海深湾、芜湖富海、丰利财富。</x:t>
  </x:si>
  <x:si>
    <x:t xml:space="preserve">投资方；上市和业绩承诺</x:t>
  </x:si>
  <x:si>
    <x:t xml:space="preserve">CE-014-B-E02</x:t>
  </x:si>
  <x:si>
    <x:t xml:space="preserve">2015年业绩指标未达，曾烨、刘云锋已按约定履行补偿义务。</x:t>
  </x:si>
  <x:si>
    <x:t xml:space="preserve">2015年履行状态</x:t>
  </x:si>
  <x:si>
    <x:t xml:space="preserve">CE-014-B-E03</x:t>
  </x:si>
  <x:si>
    <x:t xml:space="preserve">67</x:t>
  </x:si>
  <x:si>
    <x:t xml:space="preserve">2016年销售收入承诺已完成，无需补偿。</x:t>
  </x:si>
  <x:si>
    <x:t xml:space="preserve">2016年履行状态</x:t>
  </x:si>
  <x:si>
    <x:t xml:space="preserve">CE-014-B-E04</x:t>
  </x:si>
  <x:si>
    <x:t xml:space="preserve">66—67</x:t>
  </x:si>
  <x:si>
    <x:t xml:space="preserve">2017—2018条款因2018年6月30日前完成约定融资而自动失效。</x:t>
  </x:si>
  <x:si>
    <x:t xml:space="preserve">自动失效条件；履行状态</x:t>
  </x:si>
  <x:si>
    <x:t xml:space="preserve">CE-014-B-E05</x:t>
  </x:si>
  <x:si>
    <x:t xml:space="preserve">注释</x:t>
  </x:si>
  <x:si>
    <x:t xml:space="preserve">表下注释</x:t>
  </x:si>
  <x:si>
    <x:t xml:space="preserve">2018年4月28日，天健创投承继丰利财富的B轮投资人权利。</x:t>
  </x:si>
  <x:si>
    <x:t xml:space="preserve">特殊权利承继；终止状态</x:t>
  </x:si>
  <x:si>
    <x:t xml:space="preserve">CE-009-E01｜CE-014-E01</x:t>
  </x:si>
  <x:si>
    <x:t xml:space="preserve">CE-014-C-E01</x:t>
  </x:si>
  <x:si>
    <x:t xml:space="preserve">C轮条款</x:t>
  </x:si>
  <x:si>
    <x:t xml:space="preserve">C轮投资方包括国科瑞华、CASREV FUND、中科贵银等九方。</x:t>
  </x:si>
  <x:si>
    <x:t xml:space="preserve">投资方；拖售权和业绩承诺</x:t>
  </x:si>
  <x:si>
    <x:t xml:space="preserve">CE-014-C-E02</x:t>
  </x:si>
  <x:si>
    <x:t xml:space="preserve">68</x:t>
  </x:si>
  <x:si>
    <x:t xml:space="preserve">2018年净利润承诺已完成，曾烨、刘云锋无需补偿。</x:t>
  </x:si>
  <x:si>
    <x:t xml:space="preserve">业绩承诺履行状态</x:t>
  </x:si>
  <x:si>
    <x:t xml:space="preserve">CE-014-C-E03</x:t>
  </x:si>
  <x:si>
    <x:t xml:space="preserve">拖售权未实际履行，已于2021年9月30日彻底终止。</x:t>
  </x:si>
  <x:si>
    <x:t xml:space="preserve">上市承诺终止状态</x:t>
  </x:si>
  <x:si>
    <x:t xml:space="preserve">CE-014-D-E01</x:t>
  </x:si>
  <x:si>
    <x:t xml:space="preserve">D轮条款</x:t>
  </x:si>
  <x:si>
    <x:t xml:space="preserve">火炬电子享有前轮拖售权安排；该权利未履行并于2021年9月30日终止。</x:t>
  </x:si>
  <x:si>
    <x:t xml:space="preserve">投资方；条款；终止状态</x:t>
  </x:si>
  <x:si>
    <x:t xml:space="preserve">CE-014-DPLUS-E01</x:t>
  </x:si>
  <x:si>
    <x:t xml:space="preserve">D+轮条款</x:t>
  </x:si>
  <x:si>
    <x:t xml:space="preserve">厦门西堤、中小企业基金拖售权未履行，并于2021年9月30日终止。</x:t>
  </x:si>
  <x:si>
    <x:t xml:space="preserve">value_id</x:t>
  </x:si>
  <x:si>
    <x:t xml:space="preserve">field_name</x:t>
  </x:si>
  <x:si>
    <x:t xml:space="preserve">original_value</x:t>
  </x:si>
  <x:si>
    <x:t xml:space="preserve">unit</x:t>
  </x:si>
  <x:si>
    <x:t xml:space="preserve">related_party</x:t>
  </x:si>
  <x:si>
    <x:t xml:space="preserve">related_sub_event</x:t>
  </x:si>
  <x:si>
    <x:t xml:space="preserve">value_nature</x:t>
  </x:si>
  <x:si>
    <x:t xml:space="preserve">calculation_status</x:t>
  </x:si>
  <x:si>
    <x:t xml:space="preserve">口径备注</x:t>
  </x:si>
  <x:si>
    <x:t xml:space="preserve">CE-001-V01</x:t>
  </x:si>
  <x:si>
    <x:t xml:space="preserve">设立注册资本</x:t>
  </x:si>
  <x:si>
    <x:t xml:space="preserve">万元</x:t>
  </x:si>
  <x:si>
    <x:t xml:space="preserve">原文披露值</x:t>
  </x:si>
  <x:si>
    <x:t xml:space="preserve">未计算</x:t>
  </x:si>
  <x:si>
    <x:t xml:space="preserve">公司设立注册资本</x:t>
  </x:si>
  <x:si>
    <x:t xml:space="preserve">CE-001-V02</x:t>
  </x:si>
  <x:si>
    <x:t xml:space="preserve">认缴出资</x:t>
  </x:si>
  <x:si>
    <x:t xml:space="preserve">设立时认缴出资</x:t>
  </x:si>
  <x:si>
    <x:t xml:space="preserve">CE-001-V03</x:t>
  </x:si>
  <x:si>
    <x:t xml:space="preserve">CE-001-V04</x:t>
  </x:si>
  <x:si>
    <x:t xml:space="preserve">持股比例</x:t>
  </x:si>
  <x:si>
    <x:t xml:space="preserve">%</x:t>
  </x:si>
  <x:si>
    <x:t xml:space="preserve">不重新计算</x:t>
  </x:si>
  <x:si>
    <x:t xml:space="preserve">CE-001-V05</x:t>
  </x:si>
  <x:si>
    <x:t xml:space="preserve">CE-001-V06</x:t>
  </x:si>
  <x:si>
    <x:t xml:space="preserve">登记前足额缴纳出资</x:t>
  </x:si>
  <x:si>
    <x:t xml:space="preserve">验资确认的总额</x:t>
  </x:si>
  <x:si>
    <x:t xml:space="preserve">CE-002-V01</x:t>
  </x:si>
  <x:si>
    <x:t xml:space="preserve">转让股权比例</x:t>
  </x:si>
  <x:si>
    <x:t xml:space="preserve">深圳市云汉电子有限公司→曾烨</x:t>
  </x:si>
  <x:si>
    <x:t xml:space="preserve">有限公司股权；原文称转让其持有的50%股权</x:t>
  </x:si>
  <x:si>
    <x:t xml:space="preserve">CE-002-V02</x:t>
  </x:si>
  <x:si>
    <x:t xml:space="preserve">合计增资额</x:t>
  </x:si>
  <x:si>
    <x:t xml:space="preserve">曾烨、刘云锋</x:t>
  </x:si>
  <x:si>
    <x:t xml:space="preserve">不拆分计算两名股东各自增资额</x:t>
  </x:si>
  <x:si>
    <x:t xml:space="preserve">CE-002-V03</x:t>
  </x:si>
  <x:si>
    <x:t xml:space="preserve">增资后注册资本</x:t>
  </x:si>
  <x:si>
    <x:t xml:space="preserve">不在本阶段校验增资勾稽</x:t>
  </x:si>
  <x:si>
    <x:t xml:space="preserve">CE-003-V01</x:t>
  </x:si>
  <x:si>
    <x:t xml:space="preserve">注册资本</x:t>
  </x:si>
  <x:si>
    <x:t xml:space="preserve">本次股转未改变注册资本</x:t>
  </x:si>
  <x:si>
    <x:t xml:space="preserve">CE-003-V02</x:t>
  </x:si>
  <x:si>
    <x:t xml:space="preserve">刘云锋→曾烨</x:t>
  </x:si>
  <x:si>
    <x:t xml:space="preserve">不计算转让后比例</x:t>
  </x:si>
  <x:si>
    <x:t xml:space="preserve">CE-003-V03</x:t>
  </x:si>
  <x:si>
    <x:t xml:space="preserve">刘云锋→为赛咨询</x:t>
  </x:si>
  <x:si>
    <x:t xml:space="preserve">CE-004-V01</x:t>
  </x:si>
  <x:si>
    <x:t xml:space="preserve">共同增资额</x:t>
  </x:si>
  <x:si>
    <x:t xml:space="preserve">力源信息、东方富海、芜湖富海</x:t>
  </x:si>
  <x:si>
    <x:t xml:space="preserve">不拆分至各增资方</x:t>
  </x:si>
  <x:si>
    <x:t xml:space="preserve">CE-004-V02</x:t>
  </x:si>
  <x:si>
    <x:t xml:space="preserve">不复算</x:t>
  </x:si>
  <x:si>
    <x:t xml:space="preserve">CE-005-V01</x:t>
  </x:si>
  <x:si>
    <x:t xml:space="preserve">CE-005-V02</x:t>
  </x:si>
  <x:si>
    <x:t xml:space="preserve">CE-006-V01</x:t>
  </x:si>
  <x:si>
    <x:t xml:space="preserve">转增后注册资本</x:t>
  </x:si>
  <x:si>
    <x:t xml:space="preserve">资本公积转增，不是现金投资</x:t>
  </x:si>
  <x:si>
    <x:t xml:space="preserve">CE-007-V01</x:t>
  </x:si>
  <x:si>
    <x:t xml:space="preserve">六名增资方</x:t>
  </x:si>
  <x:si>
    <x:t xml:space="preserve">CE-007-V02</x:t>
  </x:si>
  <x:si>
    <x:t xml:space="preserve">CE-008-V01</x:t>
  </x:si>
  <x:si>
    <x:t xml:space="preserve">审计净资产</x:t>
  </x:si>
  <x:si>
    <x:t xml:space="preserve">元</x:t>
  </x:si>
  <x:si>
    <x:t xml:space="preserve">CE-008-V02</x:t>
  </x:si>
  <x:si>
    <x:t xml:space="preserve">净资产评估值</x:t>
  </x:si>
  <x:si>
    <x:t xml:space="preserve">CE-008-V03</x:t>
  </x:si>
  <x:si>
    <x:t xml:space="preserve">折股比例</x:t>
  </x:si>
  <x:si>
    <x:t xml:space="preserve">1.1253:1</x:t>
  </x:si>
  <x:si>
    <x:t xml:space="preserve">比例</x:t>
  </x:si>
  <x:si>
    <x:t xml:space="preserve">原文比例，不复算</x:t>
  </x:si>
  <x:si>
    <x:t xml:space="preserve">CE-008-V04</x:t>
  </x:si>
  <x:si>
    <x:t xml:space="preserve">折股股数</x:t>
  </x:si>
  <x:si>
    <x:t xml:space="preserve">股</x:t>
  </x:si>
  <x:si>
    <x:t xml:space="preserve">CE-008-V05</x:t>
  </x:si>
  <x:si>
    <x:t xml:space="preserve">计入资本公积</x:t>
  </x:si>
  <x:si>
    <x:t xml:space="preserve">CE-008-V06</x:t>
  </x:si>
  <x:si>
    <x:t xml:space="preserve">CE-008-V07</x:t>
  </x:si>
  <x:si>
    <x:t xml:space="preserve">发起人持股数量</x:t>
  </x:si>
  <x:si>
    <x:t xml:space="preserve">原文表格值</x:t>
  </x:si>
  <x:si>
    <x:t xml:space="preserve">CE-008-V18</x:t>
  </x:si>
  <x:si>
    <x:t xml:space="preserve">发起人持股比例</x:t>
  </x:si>
  <x:si>
    <x:t xml:space="preserve">原文表格值，不复算</x:t>
  </x:si>
  <x:si>
    <x:t xml:space="preserve">CE-008-V08</x:t>
  </x:si>
  <x:si>
    <x:t xml:space="preserve">CE-008-V19</x:t>
  </x:si>
  <x:si>
    <x:t xml:space="preserve">CE-008-V09</x:t>
  </x:si>
  <x:si>
    <x:t xml:space="preserve">CE-008-V20</x:t>
  </x:si>
  <x:si>
    <x:t xml:space="preserve">CE-008-V10</x:t>
  </x:si>
  <x:si>
    <x:t xml:space="preserve">CE-008-V21</x:t>
  </x:si>
  <x:si>
    <x:t xml:space="preserve">CE-008-V11</x:t>
  </x:si>
  <x:si>
    <x:t xml:space="preserve">CE-008-V22</x:t>
  </x:si>
  <x:si>
    <x:t xml:space="preserve">CE-008-V12</x:t>
  </x:si>
  <x:si>
    <x:t xml:space="preserve">CE-008-V23</x:t>
  </x:si>
  <x:si>
    <x:t xml:space="preserve">CE-008-V13</x:t>
  </x:si>
  <x:si>
    <x:t xml:space="preserve">CE-008-V24</x:t>
  </x:si>
  <x:si>
    <x:t xml:space="preserve">CE-008-V14</x:t>
  </x:si>
  <x:si>
    <x:t xml:space="preserve">CE-008-V25</x:t>
  </x:si>
  <x:si>
    <x:t xml:space="preserve">CE-008-V15</x:t>
  </x:si>
  <x:si>
    <x:t xml:space="preserve">CE-008-V26</x:t>
  </x:si>
  <x:si>
    <x:t xml:space="preserve">CE-008-V16</x:t>
  </x:si>
  <x:si>
    <x:t xml:space="preserve">CE-008-V27</x:t>
  </x:si>
  <x:si>
    <x:t xml:space="preserve">CE-008-V17</x:t>
  </x:si>
  <x:si>
    <x:t xml:space="preserve">CE-008-V28</x:t>
  </x:si>
  <x:si>
    <x:t xml:space="preserve">CE-009-V01</x:t>
  </x:si>
  <x:si>
    <x:t xml:space="preserve">转让股份数量</x:t>
  </x:si>
  <x:si>
    <x:t xml:space="preserve">丰利财富→天健创投</x:t>
  </x:si>
  <x:si>
    <x:t xml:space="preserve">全部股份</x:t>
  </x:si>
  <x:si>
    <x:t xml:space="preserve">CE-009-V02</x:t>
  </x:si>
  <x:si>
    <x:t xml:space="preserve">转让股份比例</x:t>
  </x:si>
  <x:si>
    <x:t xml:space="preserve">原文披露</x:t>
  </x:si>
  <x:si>
    <x:t xml:space="preserve">CE-009-V03</x:t>
  </x:si>
  <x:si>
    <x:t xml:space="preserve">转让价款</x:t>
  </x:si>
  <x:si>
    <x:t xml:space="preserve">不计算每股价格</x:t>
  </x:si>
  <x:si>
    <x:t xml:space="preserve">CE-010-V01</x:t>
  </x:si>
  <x:si>
    <x:t xml:space="preserve">现金出资</x:t>
  </x:si>
  <x:si>
    <x:t xml:space="preserve">原文披露，不计算价格</x:t>
  </x:si>
  <x:si>
    <x:t xml:space="preserve">CE-010-V02</x:t>
  </x:si>
  <x:si>
    <x:t xml:space="preserve">CE-010-V03</x:t>
  </x:si>
  <x:si>
    <x:t xml:space="preserve">万元人民币等值美元</x:t>
  </x:si>
  <x:si>
    <x:t xml:space="preserve">CE-010-V04</x:t>
  </x:si>
  <x:si>
    <x:t xml:space="preserve">CE-010-V05</x:t>
  </x:si>
  <x:si>
    <x:t xml:space="preserve">CE-010-V06</x:t>
  </x:si>
  <x:si>
    <x:t xml:space="preserve">CE-010-V07</x:t>
  </x:si>
  <x:si>
    <x:t xml:space="preserve">CE-010-V08</x:t>
  </x:si>
  <x:si>
    <x:t xml:space="preserve">CE-010-V09</x:t>
  </x:si>
  <x:si>
    <x:t xml:space="preserve">CE-010-V10</x:t>
  </x:si>
  <x:si>
    <x:t xml:space="preserve">CE-010-V11</x:t>
  </x:si>
  <x:si>
    <x:t xml:space="preserve">CE-010-V12</x:t>
  </x:si>
  <x:si>
    <x:t xml:space="preserve">CE-010-V13</x:t>
  </x:si>
  <x:si>
    <x:t xml:space="preserve">CE-010-V14</x:t>
  </x:si>
  <x:si>
    <x:t xml:space="preserve">每股1元为原文披露，不复算</x:t>
  </x:si>
  <x:si>
    <x:t xml:space="preserve">CE-010-V15</x:t>
  </x:si>
  <x:si>
    <x:t xml:space="preserve">CE-010-V16</x:t>
  </x:si>
  <x:si>
    <x:t xml:space="preserve">CE-010-V17</x:t>
  </x:si>
  <x:si>
    <x:t xml:space="preserve">CE-010-V18</x:t>
  </x:si>
  <x:si>
    <x:t xml:space="preserve">CE-010-V19</x:t>
  </x:si>
  <x:si>
    <x:t xml:space="preserve">CE-010-V20</x:t>
  </x:si>
  <x:si>
    <x:t xml:space="preserve">CE-010-V21</x:t>
  </x:si>
  <x:si>
    <x:t xml:space="preserve">曾烨→富海节能</x:t>
  </x:si>
  <x:si>
    <x:t xml:space="preserve">CE-010-V22</x:t>
  </x:si>
  <x:si>
    <x:t xml:space="preserve">不复算每股价格</x:t>
  </x:si>
  <x:si>
    <x:t xml:space="preserve">CE-010-V23</x:t>
  </x:si>
  <x:si>
    <x:t xml:space="preserve">曾烨→临港投资</x:t>
  </x:si>
  <x:si>
    <x:t xml:space="preserve">CE-010-V24</x:t>
  </x:si>
  <x:si>
    <x:t xml:space="preserve">CE-010-V25</x:t>
  </x:si>
  <x:si>
    <x:t xml:space="preserve">刘云锋→临港投资</x:t>
  </x:si>
  <x:si>
    <x:t xml:space="preserve">CE-010-V26</x:t>
  </x:si>
  <x:si>
    <x:t xml:space="preserve">CE-010-V27</x:t>
  </x:si>
  <x:si>
    <x:t xml:space="preserve">刘云锋→鸿迪投资</x:t>
  </x:si>
  <x:si>
    <x:t xml:space="preserve">CE-010-V28</x:t>
  </x:si>
  <x:si>
    <x:t xml:space="preserve">CE-010-V29</x:t>
  </x:si>
  <x:si>
    <x:t xml:space="preserve">第一批变更后注册资本</x:t>
  </x:si>
  <x:si>
    <x:t xml:space="preserve">CE-010-V30</x:t>
  </x:si>
  <x:si>
    <x:t xml:space="preserve">最终变更后注册资本</x:t>
  </x:si>
  <x:si>
    <x:t xml:space="preserve">CE-010-V31</x:t>
  </x:si>
  <x:si>
    <x:t xml:space="preserve">原文每股价格</x:t>
  </x:si>
  <x:si>
    <x:t xml:space="preserve">元/股</x:t>
  </x:si>
  <x:si>
    <x:t xml:space="preserve">本次增资及转让</x:t>
  </x:si>
  <x:si>
    <x:t xml:space="preserve">原文约数，不复算</x:t>
  </x:si>
  <x:si>
    <x:t xml:space="preserve">CE-010-V32</x:t>
  </x:si>
  <x:si>
    <x:t xml:space="preserve">原文投后估值</x:t>
  </x:si>
  <x:si>
    <x:t xml:space="preserve">亿元</x:t>
  </x:si>
  <x:si>
    <x:t xml:space="preserve">CE-011-V01</x:t>
  </x:si>
  <x:si>
    <x:t xml:space="preserve">受让股份数量</x:t>
  </x:si>
  <x:si>
    <x:t xml:space="preserve">从为赛咨询受让</x:t>
  </x:si>
  <x:si>
    <x:t xml:space="preserve">CE-011-V02</x:t>
  </x:si>
  <x:si>
    <x:t xml:space="preserve">CE-011-V03</x:t>
  </x:si>
  <x:si>
    <x:t xml:space="preserve">股份转让价款</x:t>
  </x:si>
  <x:si>
    <x:t xml:space="preserve">CE-011-V04</x:t>
  </x:si>
  <x:si>
    <x:t xml:space="preserve">CE-011-V05</x:t>
  </x:si>
  <x:si>
    <x:t xml:space="preserve">转出合伙财产份额</x:t>
  </x:si>
  <x:si>
    <x:t xml:space="preserve">为赛咨询财产份额</x:t>
  </x:si>
  <x:si>
    <x:t xml:space="preserve">CE-011-V06</x:t>
  </x:si>
  <x:si>
    <x:t xml:space="preserve">CE-011-V07</x:t>
  </x:si>
  <x:si>
    <x:t xml:space="preserve">取得合伙份额价格</x:t>
  </x:si>
  <x:si>
    <x:t xml:space="preserve">2017年员工激励方案原文值</x:t>
  </x:si>
  <x:si>
    <x:t xml:space="preserve">CE-011-V08</x:t>
  </x:si>
  <x:si>
    <x:t xml:space="preserve">CE-012-V01</x:t>
  </x:si>
  <x:si>
    <x:t xml:space="preserve">增资前注册资本</x:t>
  </x:si>
  <x:si>
    <x:t xml:space="preserve">CE-012-V02</x:t>
  </x:si>
  <x:si>
    <x:t xml:space="preserve">CE-012-V03</x:t>
  </x:si>
  <x:si>
    <x:t xml:space="preserve">CE-012-V04</x:t>
  </x:si>
  <x:si>
    <x:t xml:space="preserve">CE-012-V05</x:t>
  </x:si>
  <x:si>
    <x:t xml:space="preserve">约数，不复算</x:t>
  </x:si>
  <x:si>
    <x:t xml:space="preserve">CE-012-V06</x:t>
  </x:si>
  <x:si>
    <x:t xml:space="preserve">CE-013-V01</x:t>
  </x:si>
  <x:si>
    <x:t xml:space="preserve">CE-013-V02</x:t>
  </x:si>
  <x:si>
    <x:t xml:space="preserve">CE-013-V03</x:t>
  </x:si>
  <x:si>
    <x:t xml:space="preserve">CE-013-V04</x:t>
  </x:si>
  <x:si>
    <x:t xml:space="preserve">CE-013-V05</x:t>
  </x:si>
  <x:si>
    <x:t xml:space="preserve">CE-013-V06</x:t>
  </x:si>
  <x:si>
    <x:t xml:space="preserve">CE-013-V07</x:t>
  </x:si>
  <x:si>
    <x:t xml:space="preserve">曾烨→鸿迪投资</x:t>
  </x:si>
  <x:si>
    <x:t xml:space="preserve">CE-013-V08</x:t>
  </x:si>
  <x:si>
    <x:t xml:space="preserve">CE-013-V09</x:t>
  </x:si>
  <x:si>
    <x:t xml:space="preserve">曾烨→郦韩英</x:t>
  </x:si>
  <x:si>
    <x:t xml:space="preserve">CE-013-V10</x:t>
  </x:si>
  <x:si>
    <x:t xml:space="preserve">CE-013-V11</x:t>
  </x:si>
  <x:si>
    <x:t xml:space="preserve">刘云锋→福建开京</x:t>
  </x:si>
  <x:si>
    <x:t xml:space="preserve">CE-013-V12</x:t>
  </x:si>
  <x:si>
    <x:t xml:space="preserve">CE-013-V13</x:t>
  </x:si>
  <x:si>
    <x:t xml:space="preserve">刘云锋→沈笑彦</x:t>
  </x:si>
  <x:si>
    <x:t xml:space="preserve">CE-013-V14</x:t>
  </x:si>
  <x:si>
    <x:t xml:space="preserve">CE-013-V15</x:t>
  </x:si>
  <x:si>
    <x:t xml:space="preserve">刘云锋→衣嘉平</x:t>
  </x:si>
  <x:si>
    <x:t xml:space="preserve">CE-013-V16</x:t>
  </x:si>
  <x:si>
    <x:t xml:space="preserve">CE-013-V17</x:t>
  </x:si>
  <x:si>
    <x:t xml:space="preserve">刘云锋→余满芬</x:t>
  </x:si>
  <x:si>
    <x:t xml:space="preserve">CE-013-V18</x:t>
  </x:si>
  <x:si>
    <x:t xml:space="preserve">CE-013-V19</x:t>
  </x:si>
  <x:si>
    <x:t xml:space="preserve">刘云锋→崔振南</x:t>
  </x:si>
  <x:si>
    <x:t xml:space="preserve">CE-013-V20</x:t>
  </x:si>
  <x:si>
    <x:t xml:space="preserve">CE-013-V21</x:t>
  </x:si>
  <x:si>
    <x:t xml:space="preserve">刘云锋→湘裕君源</x:t>
  </x:si>
  <x:si>
    <x:t xml:space="preserve">CE-013-V22</x:t>
  </x:si>
  <x:si>
    <x:t xml:space="preserve">CE-013-V23</x:t>
  </x:si>
  <x:si>
    <x:t xml:space="preserve">李文发→湘裕君源</x:t>
  </x:si>
  <x:si>
    <x:t xml:space="preserve">CE-013-V24</x:t>
  </x:si>
  <x:si>
    <x:t xml:space="preserve">CE-013-V25</x:t>
  </x:si>
  <x:si>
    <x:t xml:space="preserve">秦国君→湘裕君源</x:t>
  </x:si>
  <x:si>
    <x:t xml:space="preserve">CE-013-V26</x:t>
  </x:si>
  <x:si>
    <x:t xml:space="preserve">CE-013-V27</x:t>
  </x:si>
  <x:si>
    <x:t xml:space="preserve">转让股份合计</x:t>
  </x:si>
  <x:si>
    <x:t xml:space="preserve">全部转让方</x:t>
  </x:si>
  <x:si>
    <x:t xml:space="preserve">原文直接披露</x:t>
  </x:si>
  <x:si>
    <x:t xml:space="preserve">CE-013-V28</x:t>
  </x:si>
  <x:si>
    <x:t xml:space="preserve">CE-013-V29</x:t>
  </x:si>
  <x:si>
    <x:t xml:space="preserve">CE-014-A-V01</x:t>
  </x:si>
  <x:si>
    <x:t xml:space="preserve">上市期限</x:t>
  </x:si>
  <x:si>
    <x:t xml:space="preserve">2019-04-30</x:t>
  </x:si>
  <x:si>
    <x:t xml:space="preserve">日期</x:t>
  </x:si>
  <x:si>
    <x:t xml:space="preserve">A轮</x:t>
  </x:si>
  <x:si>
    <x:t xml:space="preserve">原文条件</x:t>
  </x:si>
  <x:si>
    <x:t xml:space="preserve">CE-014-A-V02</x:t>
  </x:si>
  <x:si>
    <x:t xml:space="preserve">2015年营业收入承诺</x:t>
  </x:si>
  <x:si>
    <x:t xml:space="preserve">不低于</x:t>
  </x:si>
  <x:si>
    <x:t xml:space="preserve">CE-014-B-V01</x:t>
  </x:si>
  <x:si>
    <x:t xml:space="preserve">2022-04-30</x:t>
  </x:si>
  <x:si>
    <x:t xml:space="preserve">B轮</x:t>
  </x:si>
  <x:si>
    <x:t xml:space="preserve">CE-014-B-V02</x:t>
  </x:si>
  <x:si>
    <x:t xml:space="preserve">2015年销售收入承诺</x:t>
  </x:si>
  <x:si>
    <x:t xml:space="preserve">CE-014-B-V03</x:t>
  </x:si>
  <x:si>
    <x:t xml:space="preserve">2015年毛利率承诺</x:t>
  </x:si>
  <x:si>
    <x:t xml:space="preserve">CE-014-B-V04</x:t>
  </x:si>
  <x:si>
    <x:t xml:space="preserve">2015年主营业务利润承诺</x:t>
  </x:si>
  <x:si>
    <x:t xml:space="preserve">CE-014-B-V05</x:t>
  </x:si>
  <x:si>
    <x:t xml:space="preserve">利息补偿年化水平</x:t>
  </x:si>
  <x:si>
    <x:t xml:space="preserve">B轮投资金额</x:t>
  </x:si>
  <x:si>
    <x:t xml:space="preserve">原文披露，不计算</x:t>
  </x:si>
  <x:si>
    <x:t xml:space="preserve">CE-014-B-V06</x:t>
  </x:si>
  <x:si>
    <x:t xml:space="preserve">2016年销售收入承诺</x:t>
  </x:si>
  <x:si>
    <x:t xml:space="preserve">CE-014-B-V07</x:t>
  </x:si>
  <x:si>
    <x:t xml:space="preserve">融资完成期限</x:t>
  </x:si>
  <x:si>
    <x:t xml:space="preserve">2018-06-30</x:t>
  </x:si>
  <x:si>
    <x:t xml:space="preserve">触发自动失效</x:t>
  </x:si>
  <x:si>
    <x:t xml:space="preserve">CE-014-B-V08</x:t>
  </x:si>
  <x:si>
    <x:t xml:space="preserve">融资金额条件</x:t>
  </x:si>
  <x:si>
    <x:t xml:space="preserve">CE-014-B-V09</x:t>
  </x:si>
  <x:si>
    <x:t xml:space="preserve">融资前估值条件</x:t>
  </x:si>
  <x:si>
    <x:t xml:space="preserve">CE-014-C-V01</x:t>
  </x:si>
  <x:si>
    <x:t xml:space="preserve">C轮</x:t>
  </x:si>
  <x:si>
    <x:t xml:space="preserve">CE-014-C-V02</x:t>
  </x:si>
  <x:si>
    <x:t xml:space="preserve">第三方购买估值条件</x:t>
  </x:si>
  <x:si>
    <x:t xml:space="preserve">超过</x:t>
  </x:si>
  <x:si>
    <x:t xml:space="preserve">CE-014-C-V03</x:t>
  </x:si>
  <x:si>
    <x:t xml:space="preserve">2018年净利润承诺</x:t>
  </x:si>
  <x:si>
    <x:t xml:space="preserve">全部相关原文已阅读</x:t>
  </x:si>
  <x:si>
    <x:t xml:space="preserve">章节编号完整</x:t>
  </x:si>
  <x:si>
    <x:t xml:space="preserve">双页码完整</x:t>
  </x:si>
  <x:si>
    <x:t xml:space="preserve">证据可回溯</x:t>
  </x:si>
  <x:si>
    <x:t xml:space="preserve">四类时间分别处理</x:t>
  </x:si>
  <x:si>
    <x:t xml:space="preserve">参与方角色有依据</x:t>
  </x:si>
  <x:si>
    <x:t xml:space="preserve">复合事件已判断</x:t>
  </x:si>
  <x:si>
    <x:t xml:space="preserve">股东变化方向已标记</x:t>
  </x:si>
  <x:si>
    <x:t xml:space="preserve">原文值与判断分开</x:t>
  </x:si>
  <x:si>
    <x:t xml:space="preserve">未进行禁止计算</x:t>
  </x:si>
  <x:si>
    <x:t xml:space="preserve">未形成PEVC结论</x:t>
  </x:si>
  <x:si>
    <x:t xml:space="preserve">不确定事项已列明</x:t>
  </x:si>
  <x:si>
    <x:t xml:space="preserve">overall_check_status</x:t>
  </x:si>
  <x:si>
    <x:t xml:space="preserve">通过</x:t>
  </x:si>
  <x:si>
    <x:t xml:space="preserve">CE-001已完成单事件人工理解与标注并确认。</x:t>
  </x:si>
  <x:si>
    <x:t xml:space="preserve">CE-002验收通过：同意拆分为CE-002-01股权转让和CE-002-02增资；同意深圳云汉电子全部转让并退出；同意本阶段不计算两名股东各自增资额及增资后持股比例。</x:t>
  </x:si>
  <x:si>
    <x:t xml:space="preserve">CE-003已通过；已用流程图精确比例15.75%和6.85%补全证据与数值。</x:t>
  </x:si>
  <x:si>
    <x:t xml:space="preserve">深圳云汉电子向曾烨转让全部持股</x:t>
  </x:si>
  <x:si>
    <x:t xml:space="preserve">已随CE-002通过用户复核。</x:t>
  </x:si>
  <x:si>
    <x:t xml:space="preserve">曾烨、刘云锋按原持股比例增资</x:t>
  </x:si>
  <x:si>
    <x:t xml:space="preserve">六方外部投资者现金增资</x:t>
  </x:si>
  <x:si>
    <x:t xml:space="preserve">四名管理团队成员股权激励增资</x:t>
  </x:si>
  <x:si>
    <x:t xml:space="preserve">曾烨、刘云锋实施四笔股份转让</x:t>
  </x:si>
  <x:si>
    <x:t xml:space="preserve">厦门西堤、中小企业基金增资</x:t>
  </x:si>
  <x:si>
    <x:t xml:space="preserve">十笔股份转让</x:t>
  </x:si>
  <x:si>
    <x:t xml:space="preserve">事件层级</x:t>
  </x:si>
  <x:si>
    <x:t xml:space="preserve">是否复合</x:t>
  </x:si>
  <x:si>
    <x:t xml:space="preserve">拆分结论</x:t>
  </x:si>
  <x:si>
    <x:t xml:space="preserve">变化方向</x:t>
  </x:si>
  <x:si>
    <x:t xml:space="preserve">证据位置</x:t>
  </x:si>
  <x:si>
    <x:t xml:space="preserve">检查结果</x:t>
  </x:si>
  <x:si>
    <x:t xml:space="preserve">未开始</x:t>
  </x:si>
  <x:si>
    <x:t xml:space="preserve">小标题</x:t>
  </x:si>
  <x:si>
    <x:t xml:space="preserve">处理中</x:t>
  </x:si>
  <x:si>
    <x:t xml:space="preserve">拆分为N个子事件</x:t>
  </x:si>
  <x:si>
    <x:t xml:space="preserve">待复核</x:t>
  </x:si>
  <x:si>
    <x:t xml:space="preserve">暂不拆分</x:t>
  </x:si>
  <x:si>
    <x:t xml:space="preserve">不通过</x:t>
  </x:si>
  <x:si>
    <x:t xml:space="preserve">页下注释</x:t>
  </x:si>
  <x:si>
    <x:t xml:space="preserve">出资额不变</x:t>
  </x:si>
  <x:si>
    <x:t xml:space="preserve">可能被稀释但不确认</x:t>
  </x:si>
  <x:si>
    <x:t xml:space="preserve">交叉引用</x:t>
  </x:si>
  <x:si>
    <x:t xml:space="preserve">变化方向无法判断</x:t>
  </x:si>
  <x:si>
    <x:t xml:space="preserve">不是股东／不适用</x:t>
  </x:si>
  <x:si>
    <x:t xml:space="preserve">候选事件</x:t>
  </x:si>
  <x:si>
    <x:t xml:space="preserve">2014年6月，有限公司第二次股权转让</x:t>
  </x:si>
  <x:si>
    <x:t xml:space="preserve">C2-3；PDF第56页／正文第55页</x:t>
  </x:si>
  <x:si>
    <x:t xml:space="preserve">拆分建议</x:t>
  </x:si>
  <x:si>
    <x:t xml:space="preserve">不拆分：同一转让方向两名受让方转让股权，作为一个整体事件</x:t>
  </x:si>
  <x:si>
    <x:t xml:space="preserve">时间结论</x:t>
  </x:si>
  <x:si>
    <x:t xml:space="preserve">仅披露2014年6月；协议日、支付日、工商变更日均未披露</x:t>
  </x:si>
  <x:si>
    <x:t xml:space="preserve">股东变化</x:t>
  </x:si>
  <x:si>
    <x:t xml:space="preserve">刘云锋持股减少；曾烨持股增加；为赛咨询新增股东</x:t>
  </x:si>
  <x:si>
    <x:t xml:space="preserve">原文数值</x:t>
  </x:si>
  <x:si>
    <x:t xml:space="preserve">注册资本100万元；具体转让出资额、比例和价款不推导</x:t>
  </x:si>
  <x:si>
    <x:t xml:space="preserve">当前状态</x:t>
  </x:si>
  <x:si>
    <x:t xml:space="preserve">原文证据</x:t>
  </x:si>
  <x:si>
    <x:t xml:space="preserve">证据编号</x:t>
  </x:si>
  <x:si>
    <x:t xml:space="preserve">PDF页</x:t>
  </x:si>
  <x:si>
    <x:t xml:space="preserve">正文页</x:t>
  </x:si>
  <x:si>
    <x:t xml:space="preserve">位置</x:t>
  </x:si>
  <x:si>
    <x:t xml:space="preserve">证据内容</x:t>
  </x:si>
  <x:si>
    <x:t xml:space="preserve">支持事项</x:t>
  </x:si>
  <x:si>
    <x:t xml:space="preserve">证据限制</x:t>
  </x:si>
  <x:si>
    <x:t xml:space="preserve">流程图节点</x:t>
  </x:si>
  <x:si>
    <x:t xml:space="preserve">2014年6月，有限公司第二次股权转让，注册资本100万元。</x:t>
  </x:si>
  <x:si>
    <x:t xml:space="preserve">标题时间、事件类型、注册资本</x:t>
  </x:si>
  <x:si>
    <x:t xml:space="preserve">仅披露至月份</x:t>
  </x:si>
  <x:si>
    <x:t xml:space="preserve">流程图右侧说明框</x:t>
  </x:si>
  <x:si>
    <x:t xml:space="preserve">阶段三视觉复核摘录：刘云锋向曾烨、为赛咨询转让股权。</x:t>
  </x:si>
  <x:si>
    <x:t xml:space="preserve">转让方、受让方、变化方向</x:t>
  </x:si>
  <x:si>
    <x:t xml:space="preserve">请以PDF原图核对逐字表述；当前摘录无具体转让数值</x:t>
  </x:si>
  <x:si>
    <x:t xml:space="preserve">事件理解</x:t>
  </x:si>
  <x:si>
    <x:t xml:space="preserve">项目</x:t>
  </x:si>
  <x:si>
    <x:t xml:space="preserve">结论</x:t>
  </x:si>
  <x:si>
    <x:t xml:space="preserve">人工判断依据</x:t>
  </x:si>
  <x:si>
    <x:t xml:space="preserve">状态</x:t>
  </x:si>
  <x:si>
    <x:t xml:space="preserve">转让方；持股减少；不标记退出</x:t>
  </x:si>
  <x:si>
    <x:t xml:space="preserve">受让方；既有股东；持股增加</x:t>
  </x:si>
  <x:si>
    <x:t xml:space="preserve">受让方；新增股东</x:t>
  </x:si>
  <x:si>
    <x:t xml:space="preserve">多名受让方不等于多个独立事件；未出现“全部转让”表述</x:t>
  </x:si>
  <x:si>
    <x:t xml:space="preserve">请你复核的4项判断</x:t>
  </x:si>
  <x:si>
    <x:t xml:space="preserve">复核项</x:t>
  </x:si>
  <x:si>
    <x:t xml:space="preserve">我的初步判断</x:t>
  </x:si>
  <x:si>
    <x:t xml:space="preserve">你的结论</x:t>
  </x:si>
  <x:si>
    <x:t xml:space="preserve">证据复核提示</x:t>
  </x:si>
  <x:si>
    <x:t xml:space="preserve">事件拆分</x:t>
  </x:si>
  <x:si>
    <x:t xml:space="preserve">不拆分，作为单一股权转让事件</x:t>
  </x:si>
  <x:si>
    <x:t xml:space="preserve">待填写</x:t>
  </x:si>
  <x:si>
    <x:t xml:space="preserve">本事件的核心事实来自流程图。事件节点文字已完整保留；右侧说明框当前底稿保存的是阶段三视觉复核摘录。人工验收时应打开PDF第56页，对“刘云锋向曾烨、为赛咨询转让股权”的逐字表述进行一次视觉核对。</x:t>
  </x:si>
  <x:si>
    <x:t xml:space="preserve">持股减少，不标记退出</x:t>
  </x:si>
  <x:si>
    <x:t xml:space="preserve">受让方变化</x:t>
  </x:si>
  <x:si>
    <x:t xml:space="preserve">曾烨持股增加；为赛咨询新增</x:t>
  </x:si>
  <x:si>
    <x:t xml:space="preserve">仅登记注册资本100万元，不推导转让数值</x:t>
  </x:si>
  <x:si>
    <x:t xml:space="preserve">阶段四 CE-004至CE-014 批量人工复核摘要</x:t>
  </x:si>
  <x:si>
    <x:t xml:space="preserve">批量范围</x:t>
  </x:si>
  <x:si>
    <x:t xml:space="preserve">CE-004至CE-014，含CE-014-A/B/C/D/D+及CE-010、CE-013子事件</x:t>
  </x:si>
  <x:si>
    <x:t xml:space="preserve">处理方式</x:t>
  </x:si>
  <x:si>
    <x:t xml:space="preserve">证据逐页读取、事件独立标注、研究者自检、用户批量终验</x:t>
  </x:si>
  <x:si>
    <x:t xml:space="preserve">阶段边界</x:t>
  </x:si>
  <x:si>
    <x:t xml:space="preserve">不计算投资金额、每股价格、持股比例或估值；原文直接披露值仅登记不复算</x:t>
  </x:si>
  <x:si>
    <x:t xml:space="preserve">301563_云汉芯城_IPO招股说明书.pdf</x:t>
  </x:si>
  <x:si>
    <x:t xml:space="preserve">事件名称</x:t>
  </x:si>
  <x:si>
    <x:t xml:space="preserve">双页码</x:t>
  </x:si>
  <x:si>
    <x:t xml:space="preserve">核心时间</x:t>
  </x:si>
  <x:si>
    <x:t xml:space="preserve">主体变化方向</x:t>
  </x:si>
  <x:si>
    <x:t xml:space="preserve">原文值摘要</x:t>
  </x:si>
  <x:si>
    <x:t xml:space="preserve">关键人工判断</x:t>
  </x:si>
  <x:si>
    <x:t xml:space="preserve">待复核重点</x:t>
  </x:si>
  <x:si>
    <x:t xml:space="preserve">用户结论</x:t>
  </x:si>
  <x:si>
    <x:t xml:space="preserve">第二次增资</x:t>
  </x:si>
  <x:si>
    <x:t xml:space="preserve">PDF56/正文55</x:t>
  </x:si>
  <x:si>
    <x:t xml:space="preserve">力源信息、东方富海、芜湖富海新增</x:t>
  </x:si>
  <x:si>
    <x:t xml:space="preserve">增资28.205万元；资本128.205万元</x:t>
  </x:si>
  <x:si>
    <x:t xml:space="preserve">三方此前未出现，标记新增</x:t>
  </x:si>
  <x:si>
    <x:t xml:space="preserve">新增方向；不计算各自金额</x:t>
  </x:si>
  <x:si>
    <x:t xml:space="preserve">第三次增资</x:t>
  </x:si>
  <x:si>
    <x:t xml:space="preserve">三名既有股东增加</x:t>
  </x:si>
  <x:si>
    <x:t xml:space="preserve">增资8.78714万元；资本136.9864万元</x:t>
  </x:si>
  <x:si>
    <x:t xml:space="preserve">不是再次新增</x:t>
  </x:si>
  <x:si>
    <x:t xml:space="preserve">既有股东方向</x:t>
  </x:si>
  <x:si>
    <x:t xml:space="preserve">资本公积转增</x:t>
  </x:si>
  <x:si>
    <x:t xml:space="preserve">各股东按比例转增，无新增退出</x:t>
  </x:si>
  <x:si>
    <x:t xml:space="preserve">资本增至2,000万元</x:t>
  </x:si>
  <x:si>
    <x:t xml:space="preserve">不是外部融资</x:t>
  </x:si>
  <x:si>
    <x:t xml:space="preserve">事件性质</x:t>
  </x:si>
  <x:si>
    <x:t xml:space="preserve">第五次增资</x:t>
  </x:si>
  <x:si>
    <x:t xml:space="preserve">PDF57/正文56</x:t>
  </x:si>
  <x:si>
    <x:t xml:space="preserve">五方新增；芜湖富海增加</x:t>
  </x:si>
  <x:si>
    <x:t xml:space="preserve">增资158.2733万元；资本2,158.2733万元</x:t>
  </x:si>
  <x:si>
    <x:t xml:space="preserve">按前序事件判断新增/增加</x:t>
  </x:si>
  <x:si>
    <x:t xml:space="preserve">股东变化方向</x:t>
  </x:si>
  <x:si>
    <x:t xml:space="preserve">整体变更股份公司</x:t>
  </x:si>
  <x:si>
    <x:t xml:space="preserve">PDF53-55/正文52-54</x:t>
  </x:si>
  <x:si>
    <x:t xml:space="preserve">2015-09-01至2015-12-03</x:t>
  </x:si>
  <x:si>
    <x:t xml:space="preserve">原股东转为发起人，无新增退出</x:t>
  </x:si>
  <x:si>
    <x:t xml:space="preserve">净资产、折股比例、4,000万股等</x:t>
  </x:si>
  <x:si>
    <x:t xml:space="preserve">主体连续，工商完成日12月3日</x:t>
  </x:si>
  <x:si>
    <x:t xml:space="preserve">整体变更时间口径</x:t>
  </x:si>
  <x:si>
    <x:t xml:space="preserve">第一次股份转让</x:t>
  </x:si>
  <x:si>
    <x:t xml:space="preserve">PDF58-59/正文57-58</x:t>
  </x:si>
  <x:si>
    <x:t xml:space="preserve">协议2018-04-28</x:t>
  </x:si>
  <x:si>
    <x:t xml:space="preserve">丰利财富退出；天健创投新增</x:t>
  </x:si>
  <x:si>
    <x:t xml:space="preserve">666,680股；1,000万元</x:t>
  </x:si>
  <x:si>
    <x:t xml:space="preserve">“全部”支持退出</x:t>
  </x:si>
  <x:si>
    <x:t xml:space="preserve">退出/新增方向</x:t>
  </x:si>
  <x:si>
    <x:t xml:space="preserve">增资及第二次股转</x:t>
  </x:si>
  <x:si>
    <x:t xml:space="preserve">PDF59-61/正文58-60</x:t>
  </x:si>
  <x:si>
    <x:t xml:space="preserve">拆分3项</x:t>
  </x:si>
  <x:si>
    <x:t xml:space="preserve">2018-06-12；6-28；7-27</x:t>
  </x:si>
  <x:si>
    <x:t xml:space="preserve">六方新增、四名激励对象新增；两名转让方减少；三名受让方新增</x:t>
  </x:si>
  <x:si>
    <x:t xml:space="preserve">逐笔现金、注册资本、股份及价款</x:t>
  </x:si>
  <x:si>
    <x:t xml:space="preserve">外部增资/激励增资/股转分开</x:t>
  </x:si>
  <x:si>
    <x:t xml:space="preserve">拆分数量及新增方向</x:t>
  </x:si>
  <x:si>
    <x:t xml:space="preserve">第三次股份转让</x:t>
  </x:si>
  <x:si>
    <x:t xml:space="preserve">PDF61-62/正文60-61</x:t>
  </x:si>
  <x:si>
    <x:t xml:space="preserve">退伙8-12；股转8-13</x:t>
  </x:si>
  <x:si>
    <x:t xml:space="preserve">为赛减少；李文发、秦国君增加</x:t>
  </x:si>
  <x:si>
    <x:t xml:space="preserve">各40万股、40万元；各21.58%合伙份额</x:t>
  </x:si>
  <x:si>
    <x:t xml:space="preserve">退伙是关联安排，不是发行人资本子事件</x:t>
  </x:si>
  <x:si>
    <x:t xml:space="preserve">不拆分判断</x:t>
  </x:si>
  <x:si>
    <x:t xml:space="preserve">PDF62-63/正文61-62</x:t>
  </x:si>
  <x:si>
    <x:t xml:space="preserve">决议协议5-20；备案5-28</x:t>
  </x:si>
  <x:si>
    <x:t xml:space="preserve">火炬电子新增</x:t>
  </x:si>
  <x:si>
    <x:t xml:space="preserve">5,000万元；1,130,488股</x:t>
  </x:si>
  <x:si>
    <x:t xml:space="preserve">原文价格估值不复算</x:t>
  </x:si>
  <x:si>
    <x:t xml:space="preserve">新增方向</x:t>
  </x:si>
  <x:si>
    <x:t xml:space="preserve">第三次增资及第四次股转</x:t>
  </x:si>
  <x:si>
    <x:t xml:space="preserve">PDF63-65/正文62-64</x:t>
  </x:si>
  <x:si>
    <x:t xml:space="preserve">拆分2项</x:t>
  </x:si>
  <x:si>
    <x:t xml:space="preserve">决议9-15；登记9-23</x:t>
  </x:si>
  <x:si>
    <x:t xml:space="preserve">两名增资方新增；四名转让方减少不退出；鸿迪增加；七名新增</x:t>
  </x:si>
  <x:si>
    <x:t xml:space="preserve">新增股份及十笔转让明细</x:t>
  </x:si>
  <x:si>
    <x:t xml:space="preserve">十笔转让作为一个子事件明细</x:t>
  </x:si>
  <x:si>
    <x:t xml:space="preserve">拆分及方向</x:t>
  </x:si>
  <x:si>
    <x:t xml:space="preserve">对赌解除事件组</x:t>
  </x:si>
  <x:si>
    <x:t xml:space="preserve">PDF65-70/正文64-69</x:t>
  </x:si>
  <x:si>
    <x:t xml:space="preserve">拆分5轮</x:t>
  </x:si>
  <x:si>
    <x:t xml:space="preserve">终止2021-09-30；确认2023-08</x:t>
  </x:si>
  <x:si>
    <x:t xml:space="preserve">无股东数量变化</x:t>
  </x:si>
  <x:si>
    <x:t xml:space="preserve">条款期限和业绩指标原文值</x:t>
  </x:si>
  <x:si>
    <x:t xml:space="preserve">特殊权利彻底终止且无恢复；发行人非回购义务方</x:t>
  </x:si>
  <x:si>
    <x:t xml:space="preserve">共同法律效果</x:t>
  </x:si>
  <x:si>
    <x:t xml:space="preserve">PDF65-66/正文64-65</x:t>
  </x:si>
  <x:si>
    <x:t xml:space="preserve">2018年6月替代；2021-09-30终止</x:t>
  </x:si>
  <x:si>
    <x:t xml:space="preserve">无股东变化</x:t>
  </x:si>
  <x:si>
    <x:t xml:space="preserve">2019-04-30；3亿元</x:t>
  </x:si>
  <x:si>
    <x:t xml:space="preserve">业绩完成，拖售权终止</x:t>
  </x:si>
  <x:si>
    <x:t xml:space="preserve">A轮状态</x:t>
  </x:si>
  <x:si>
    <x:t xml:space="preserve">PDF66-68/正文65-67</x:t>
  </x:si>
  <x:si>
    <x:t xml:space="preserve">多年度指标及融资条件</x:t>
  </x:si>
  <x:si>
    <x:t xml:space="preserve">2015补偿已履行；2016完成；2017-18自动失效</x:t>
  </x:si>
  <x:si>
    <x:t xml:space="preserve">多年度状态</x:t>
  </x:si>
  <x:si>
    <x:t xml:space="preserve">PDF68-69/正文67-68</x:t>
  </x:si>
  <x:si>
    <x:t xml:space="preserve">2018年6月；2021-09-30终止</x:t>
  </x:si>
  <x:si>
    <x:t xml:space="preserve">2022-04-30；60亿元条件；2,000万元</x:t>
  </x:si>
  <x:si>
    <x:t xml:space="preserve">业绩完成；拖售权终止</x:t>
  </x:si>
  <x:si>
    <x:t xml:space="preserve">C轮状态</x:t>
  </x:si>
  <x:si>
    <x:t xml:space="preserve">PDF69-70/正文68-69</x:t>
  </x:si>
  <x:si>
    <x:t xml:space="preserve">2020年5月；2021-09-30终止</x:t>
  </x:si>
  <x:si>
    <x:t xml:space="preserve">无计算项</x:t>
  </x:si>
  <x:si>
    <x:t xml:space="preserve">火炬电子拖售权未履行并终止</x:t>
  </x:si>
  <x:si>
    <x:t xml:space="preserve">D轮状态</x:t>
  </x:si>
  <x:si>
    <x:t xml:space="preserve">PDF70/正文69</x:t>
  </x:si>
  <x:si>
    <x:t xml:space="preserve">2020年9月；2021-09-30终止</x:t>
  </x:si>
  <x:si>
    <x:t xml:space="preserve">两名投资方拖售权未履行并终止</x:t>
  </x:si>
  <x:si>
    <x:t xml:space="preserve">D+轮状态</x:t>
  </x:si>
</x:sst>
</file>

<file path=xl/styles.xml><?xml version="1.0" encoding="utf-8"?>
<x:styleSheet xmlns:x="http://schemas.openxmlformats.org/spreadsheetml/2006/main">
  <x:numFmts count="4">
    <x:numFmt numFmtId="176" formatCode="0.0%"/>
    <x:numFmt numFmtId="177" formatCode="yyyy\-mm\-dd"/>
    <x:numFmt numFmtId="178" formatCode="0.########"/>
    <x:numFmt numFmtId="200" formatCode="yyyy-mm-dd"/>
  </x:numFmts>
  <x:fonts count="7">
    <x:font>
      <x:sz val="11"/>
      <x:name val="Carlito"/>
    </x:font>
    <x:font>
      <x:b/>
      <x:sz val="16"/>
      <x:color rgb="FFFFFFFF"/>
      <x:name val="Carlito"/>
    </x:font>
    <x:font>
      <x:b/>
      <x:sz val="11"/>
      <x:color rgb="FF17365D"/>
      <x:name val="Carlito"/>
    </x:font>
    <x:font>
      <x:b/>
      <x:sz val="11"/>
      <x:color rgb="FFFFFFFF"/>
      <x:name val="Carlito"/>
    </x:font>
    <x:font>
      <x:b/>
      <x:sz val="11"/>
      <x:color rgb="FF375623"/>
      <x:name val="Carlito"/>
    </x:font>
    <x:font>
      <x:sz val="11"/>
      <x:name val="Carlito"/>
    </x:font>
    <x:font>
      <x:sz val="9"/>
      <x:name val="宋体"/>
    </x:font>
  </x:fonts>
  <x:fills count="14">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D9EAF7"/>
      </x:patternFill>
    </x:fill>
    <x:fill>
      <x:patternFill patternType="solid">
        <x:fgColor rgb="FFC6E0B4"/>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C6E0B4"/>
      </x:patternFill>
    </x:fill>
  </x:fills>
  <x:borders count="54">
    <x:border/>
    <x:border>
      <x:left style="hair">
        <x:color rgb="FFD9E2F3"/>
      </x:left>
      <x:top style="hair">
        <x:color rgb="FFD9E2F3"/>
      </x:top>
    </x:border>
    <x:border>
      <x:right style="hair">
        <x:color rgb="FFD9E2F3"/>
      </x:right>
      <x:top style="hair">
        <x:color rgb="FFD9E2F3"/>
      </x:top>
    </x:border>
    <x:border>
      <x:left style="hair">
        <x:color rgb="FFD9E2F3"/>
      </x:left>
    </x:border>
    <x:border>
      <x:right style="hair">
        <x:color rgb="FFD9E2F3"/>
      </x:right>
    </x:border>
    <x:border>
      <x:left style="hair">
        <x:color rgb="FFD9E2F3"/>
      </x:left>
      <x:bottom style="hair">
        <x:color rgb="FFD9E2F3"/>
      </x:bottom>
    </x:border>
    <x:border>
      <x:right style="hair">
        <x:color rgb="FFD9E2F3"/>
      </x:right>
      <x:bottom style="hair">
        <x:color rgb="FFD9E2F3"/>
      </x:bottom>
    </x:border>
    <x:border>
      <x:left style="thin">
        <x:color rgb="FFB4C6E7"/>
      </x:left>
      <x:top style="thin">
        <x:color rgb="FFB4C6E7"/>
      </x:top>
      <x:bottom style="thin">
        <x:color rgb="FFB4C6E7"/>
      </x:bottom>
    </x:border>
    <x:border>
      <x:right style="thin">
        <x:color rgb="FFB4C6E7"/>
      </x:right>
      <x:top style="thin">
        <x:color rgb="FFB4C6E7"/>
      </x:top>
      <x:bottom style="thin">
        <x:color rgb="FFB4C6E7"/>
      </x:bottom>
    </x:border>
    <x:border>
      <x:left style="hair">
        <x:color rgb="FFD9E2F3"/>
      </x:left>
      <x:top style="hair">
        <x:color rgb="FFD9E2F3"/>
      </x:top>
      <x:bottom style="hair">
        <x:color rgb="FFD9E2F3"/>
      </x:bottom>
    </x:border>
    <x:border>
      <x:right style="hair">
        <x:color rgb="FFD9E2F3"/>
      </x:right>
      <x:top style="hair">
        <x:color rgb="FFD9E2F3"/>
      </x:top>
      <x:bottom style="hair">
        <x:color rgb="FFD9E2F3"/>
      </x:bottom>
    </x:border>
    <x:border>
      <x:top style="thin">
        <x:color rgb="FFB4C6E7"/>
      </x:top>
      <x:bottom style="thin">
        <x:color rgb="FFB4C6E7"/>
      </x:bottom>
    </x:border>
    <x:border>
      <x:top style="hair">
        <x:color rgb="FFD9E2F3"/>
      </x:top>
    </x:border>
    <x:border>
      <x:bottom style="hair">
        <x:color rgb="FFD9E2F3"/>
      </x:bottom>
    </x:border>
    <x:border>
      <x:left style="thin">
        <x:color rgb="FFB4C6E7"/>
      </x:left>
      <x:right style="thin">
        <x:color rgb="FFB4C6E7"/>
      </x:right>
      <x:top style="thin">
        <x:color rgb="FFB4C6E7"/>
      </x:top>
      <x:bottom style="thin">
        <x:color rgb="FFB4C6E7"/>
      </x:bottom>
    </x:border>
    <x:border>
      <x:left style="hair">
        <x:color rgb="FFD9E2F3"/>
      </x:left>
      <x:right style="hair">
        <x:color rgb="FFD9E2F3"/>
      </x:right>
      <x:top style="hair">
        <x:color rgb="FFD9E2F3"/>
      </x:top>
    </x:border>
    <x:border>
      <x:left style="hair">
        <x:color rgb="FFD9E2F3"/>
      </x:left>
      <x:right style="hair">
        <x:color rgb="FFD9E2F3"/>
      </x:right>
    </x:border>
    <x:border>
      <x:left style="hair">
        <x:color rgb="FFD9E2F3"/>
      </x:left>
      <x:right style="hair">
        <x:color rgb="FFD9E2F3"/>
      </x:right>
      <x:bottom style="hair">
        <x:color rgb="FFD9E2F3"/>
      </x:bottom>
    </x:border>
    <x:border>
      <x:left style="thin">
        <x:color rgb="FFA9D18E"/>
      </x:left>
      <x:top style="thin">
        <x:color rgb="FFA9D18E"/>
      </x:top>
    </x:border>
    <x:border>
      <x:top style="thin">
        <x:color rgb="FFA9D18E"/>
      </x:top>
    </x:border>
    <x:border>
      <x:right style="thin">
        <x:color rgb="FFA9D18E"/>
      </x:right>
      <x:top style="thin">
        <x:color rgb="FFA9D18E"/>
      </x:top>
    </x:border>
    <x:border>
      <x:left style="thin">
        <x:color rgb="FFA9D18E"/>
      </x:left>
    </x:border>
    <x:border>
      <x:right style="thin">
        <x:color rgb="FFA9D18E"/>
      </x:right>
    </x:border>
    <x:border>
      <x:left style="thin">
        <x:color rgb="FFA9D18E"/>
      </x:left>
      <x:bottom style="thin">
        <x:color rgb="FFA9D18E"/>
      </x:bottom>
    </x:border>
    <x:border>
      <x:bottom style="thin">
        <x:color rgb="FFA9D18E"/>
      </x:bottom>
    </x:border>
    <x:border>
      <x:right style="thin">
        <x:color rgb="FFA9D18E"/>
      </x:right>
      <x:bottom style="thin">
        <x:color rgb="FFA9D18E"/>
      </x:bottom>
    </x:border>
    <x:border>
      <x:top style="hair">
        <x:color rgb="FFD9E2F3"/>
      </x:top>
      <x:bottom style="hair">
        <x:color rgb="FFD9E2F3"/>
      </x:bottom>
    </x:border>
    <x:border/>
    <x:border>
      <x:left style="hair">
        <x:color rgb="FFD9E2F3"/>
      </x:left>
      <x:top style="hair">
        <x:color rgb="FFD9E2F3"/>
      </x:top>
    </x:border>
    <x:border>
      <x:right style="hair">
        <x:color rgb="FFD9E2F3"/>
      </x:right>
      <x:top style="hair">
        <x:color rgb="FFD9E2F3"/>
      </x:top>
    </x:border>
    <x:border>
      <x:left style="hair">
        <x:color rgb="FFD9E2F3"/>
      </x:left>
    </x:border>
    <x:border>
      <x:right style="hair">
        <x:color rgb="FFD9E2F3"/>
      </x:right>
    </x:border>
    <x:border>
      <x:left style="hair">
        <x:color rgb="FFD9E2F3"/>
      </x:left>
      <x:bottom style="hair">
        <x:color rgb="FFD9E2F3"/>
      </x:bottom>
    </x:border>
    <x:border>
      <x:right style="hair">
        <x:color rgb="FFD9E2F3"/>
      </x:right>
      <x:bottom style="hair">
        <x:color rgb="FFD9E2F3"/>
      </x:bottom>
    </x:border>
    <x:border>
      <x:left style="thin">
        <x:color rgb="FFB4C6E7"/>
      </x:left>
      <x:top style="thin">
        <x:color rgb="FFB4C6E7"/>
      </x:top>
      <x:bottom style="thin">
        <x:color rgb="FFB4C6E7"/>
      </x:bottom>
    </x:border>
    <x:border>
      <x:right style="thin">
        <x:color rgb="FFB4C6E7"/>
      </x:right>
      <x:top style="thin">
        <x:color rgb="FFB4C6E7"/>
      </x:top>
      <x:bottom style="thin">
        <x:color rgb="FFB4C6E7"/>
      </x:bottom>
    </x:border>
    <x:border>
      <x:left style="hair">
        <x:color rgb="FFD9E2F3"/>
      </x:left>
      <x:top style="hair">
        <x:color rgb="FFD9E2F3"/>
      </x:top>
      <x:bottom style="hair">
        <x:color rgb="FFD9E2F3"/>
      </x:bottom>
    </x:border>
    <x:border>
      <x:right style="hair">
        <x:color rgb="FFD9E2F3"/>
      </x:right>
      <x:top style="hair">
        <x:color rgb="FFD9E2F3"/>
      </x:top>
      <x:bottom style="hair">
        <x:color rgb="FFD9E2F3"/>
      </x:bottom>
    </x:border>
    <x:border>
      <x:top style="thin">
        <x:color rgb="FFB4C6E7"/>
      </x:top>
      <x:bottom style="thin">
        <x:color rgb="FFB4C6E7"/>
      </x:bottom>
    </x:border>
    <x:border>
      <x:top style="hair">
        <x:color rgb="FFD9E2F3"/>
      </x:top>
    </x:border>
    <x:border>
      <x:bottom style="hair">
        <x:color rgb="FFD9E2F3"/>
      </x:bottom>
    </x:border>
    <x:border>
      <x:left style="thin">
        <x:color rgb="FFB4C6E7"/>
      </x:left>
      <x:right style="thin">
        <x:color rgb="FFB4C6E7"/>
      </x:right>
      <x:top style="thin">
        <x:color rgb="FFB4C6E7"/>
      </x:top>
      <x:bottom style="thin">
        <x:color rgb="FFB4C6E7"/>
      </x:bottom>
    </x:border>
    <x:border>
      <x:left style="hair">
        <x:color rgb="FFD9E2F3"/>
      </x:left>
      <x:right style="hair">
        <x:color rgb="FFD9E2F3"/>
      </x:right>
      <x:top style="hair">
        <x:color rgb="FFD9E2F3"/>
      </x:top>
    </x:border>
    <x:border>
      <x:left style="hair">
        <x:color rgb="FFD9E2F3"/>
      </x:left>
      <x:right style="hair">
        <x:color rgb="FFD9E2F3"/>
      </x:right>
    </x:border>
    <x:border>
      <x:left style="hair">
        <x:color rgb="FFD9E2F3"/>
      </x:left>
      <x:right style="hair">
        <x:color rgb="FFD9E2F3"/>
      </x:right>
      <x:bottom style="hair">
        <x:color rgb="FFD9E2F3"/>
      </x:bottom>
    </x:border>
    <x:border>
      <x:left style="thin">
        <x:color rgb="FFA9D18E"/>
      </x:left>
      <x:top style="thin">
        <x:color rgb="FFA9D18E"/>
      </x:top>
    </x:border>
    <x:border>
      <x:top style="thin">
        <x:color rgb="FFA9D18E"/>
      </x:top>
    </x:border>
    <x:border>
      <x:right style="thin">
        <x:color rgb="FFA9D18E"/>
      </x:right>
      <x:top style="thin">
        <x:color rgb="FFA9D18E"/>
      </x:top>
    </x:border>
    <x:border>
      <x:left style="thin">
        <x:color rgb="FFA9D18E"/>
      </x:left>
    </x:border>
    <x:border>
      <x:right style="thin">
        <x:color rgb="FFA9D18E"/>
      </x:right>
    </x:border>
    <x:border>
      <x:left style="thin">
        <x:color rgb="FFA9D18E"/>
      </x:left>
      <x:bottom style="thin">
        <x:color rgb="FFA9D18E"/>
      </x:bottom>
    </x:border>
    <x:border>
      <x:bottom style="thin">
        <x:color rgb="FFA9D18E"/>
      </x:bottom>
    </x:border>
    <x:border>
      <x:right style="thin">
        <x:color rgb="FFA9D18E"/>
      </x:right>
      <x:bottom style="thin">
        <x:color rgb="FFA9D18E"/>
      </x:bottom>
    </x:border>
    <x:border>
      <x:top style="hair">
        <x:color rgb="FFD9E2F3"/>
      </x:top>
      <x:bottom style="hair">
        <x:color rgb="FFD9E2F3"/>
      </x:bottom>
    </x:border>
  </x:borders>
  <x:cellStyleXfs count="2">
    <x:xf numFmtId="0" fontId="0" fillId="0" borderId="0"/>
    <x:xf numFmtId="0" fontId="5" fillId="0" borderId="0"/>
  </x:cellStyleXfs>
  <x:cellXfs count="162">
    <x:xf numFmtId="0" fontId="0" fillId="0" borderId="0" xfId="0"/>
    <x:xf numFmtId="0" fontId="2" fillId="3" borderId="0" xfId="1" applyFont="1" applyFill="1" applyAlignment="1">
      <x:alignment horizontal="left" vertical="center"/>
    </x:xf>
    <x:xf numFmtId="0" fontId="0" fillId="0" borderId="0" xfId="1" applyFont="1" applyAlignment="1">
      <x:alignment vertical="top" wrapText="1"/>
    </x:xf>
    <x:xf numFmtId="0" fontId="2" fillId="3" borderId="1" xfId="1" applyFont="1" applyFill="1" applyBorder="1" applyAlignment="1">
      <x:alignment horizontal="left" vertical="top" wrapText="1"/>
    </x:xf>
    <x:xf numFmtId="0" fontId="0" fillId="0" borderId="2" xfId="1" applyFont="1" applyBorder="1" applyAlignment="1">
      <x:alignment vertical="top" wrapText="1"/>
    </x:xf>
    <x:xf numFmtId="0" fontId="2" fillId="3" borderId="3" xfId="1" applyFont="1" applyFill="1" applyBorder="1" applyAlignment="1">
      <x:alignment horizontal="left" vertical="top" wrapText="1"/>
    </x:xf>
    <x:xf numFmtId="0" fontId="0" fillId="0" borderId="4" xfId="1" applyFont="1" applyBorder="1" applyAlignment="1">
      <x:alignment vertical="top" wrapText="1"/>
    </x:xf>
    <x:xf numFmtId="0" fontId="2" fillId="3" borderId="5" xfId="1" applyFont="1" applyFill="1" applyBorder="1" applyAlignment="1">
      <x:alignment horizontal="left" vertical="top" wrapText="1"/>
    </x:xf>
    <x:xf numFmtId="0" fontId="0" fillId="0" borderId="6" xfId="1" applyFont="1" applyBorder="1" applyAlignment="1">
      <x:alignment vertical="top" wrapText="1"/>
    </x:xf>
    <x:xf numFmtId="0" fontId="3" fillId="4" borderId="7" xfId="1" applyFont="1" applyFill="1" applyBorder="1" applyAlignment="1">
      <x:alignment horizontal="center" vertical="center" wrapText="1"/>
    </x:xf>
    <x:xf numFmtId="0" fontId="3" fillId="4" borderId="8" xfId="1" applyFont="1" applyFill="1" applyBorder="1" applyAlignment="1">
      <x:alignment horizontal="center" vertical="center" wrapText="1"/>
    </x:xf>
    <x:xf numFmtId="0" fontId="0" fillId="0" borderId="1" xfId="1" applyFont="1" applyBorder="1" applyAlignment="1">
      <x:alignment vertical="top" wrapText="1"/>
    </x:xf>
    <x:xf numFmtId="0" fontId="0" fillId="0" borderId="3" xfId="1" applyFont="1" applyBorder="1" applyAlignment="1">
      <x:alignment vertical="top" wrapText="1"/>
    </x:xf>
    <x:xf numFmtId="0" fontId="0" fillId="0" borderId="5" xfId="1" applyFont="1" applyBorder="1" applyAlignment="1">
      <x:alignment vertical="top" wrapText="1"/>
    </x:xf>
    <x:xf numFmtId="176" fontId="0" fillId="0" borderId="0" xfId="1" applyNumberFormat="1" applyFont="1"/>
    <x:xf numFmtId="0" fontId="0" fillId="0" borderId="9" xfId="1" applyFont="1" applyBorder="1" applyAlignment="1">
      <x:alignment vertical="top" wrapText="1"/>
    </x:xf>
    <x:xf numFmtId="0" fontId="0" fillId="0" borderId="10" xfId="1" applyFont="1" applyBorder="1" applyAlignment="1">
      <x:alignment vertical="top" wrapText="1"/>
    </x:xf>
    <x:xf numFmtId="0" fontId="3" fillId="4" borderId="11" xfId="1" applyFont="1" applyFill="1" applyBorder="1" applyAlignment="1">
      <x:alignment horizontal="center" vertical="center" wrapText="1"/>
    </x:xf>
    <x:xf numFmtId="0" fontId="0" fillId="0" borderId="12" xfId="1" applyFont="1" applyBorder="1" applyAlignment="1">
      <x:alignment vertical="top" wrapText="1"/>
    </x:xf>
    <x:xf numFmtId="0" fontId="0" fillId="0" borderId="13" xfId="1" applyFont="1" applyBorder="1" applyAlignment="1">
      <x:alignment vertical="top" wrapText="1"/>
    </x:xf>
    <x:xf numFmtId="177" fontId="0" fillId="0" borderId="12" xfId="1" applyNumberFormat="1" applyFont="1" applyBorder="1" applyAlignment="1">
      <x:alignment vertical="top" wrapText="1"/>
    </x:xf>
    <x:xf numFmtId="177" fontId="0" fillId="0" borderId="0" xfId="1" applyNumberFormat="1" applyFont="1" applyAlignment="1">
      <x:alignment vertical="top" wrapText="1"/>
    </x:xf>
    <x:xf numFmtId="177" fontId="0" fillId="0" borderId="13" xfId="1" applyNumberFormat="1" applyFont="1" applyBorder="1" applyAlignment="1">
      <x:alignment vertical="top" wrapText="1"/>
    </x:xf>
    <x:xf numFmtId="178" fontId="0" fillId="0" borderId="12" xfId="1" applyNumberFormat="1" applyFont="1" applyBorder="1" applyAlignment="1">
      <x:alignment vertical="top" wrapText="1"/>
    </x:xf>
    <x:xf numFmtId="178" fontId="0" fillId="0" borderId="0" xfId="1" applyNumberFormat="1" applyFont="1" applyAlignment="1">
      <x:alignment vertical="top" wrapText="1"/>
    </x:xf>
    <x:xf numFmtId="178" fontId="0" fillId="0" borderId="13" xfId="1" applyNumberFormat="1" applyFont="1" applyBorder="1" applyAlignment="1">
      <x:alignment vertical="top" wrapText="1"/>
    </x:xf>
    <x:xf numFmtId="178" fontId="0" fillId="0" borderId="0" xfId="1" applyNumberFormat="1" applyFont="1"/>
    <x:xf numFmtId="0" fontId="3" fillId="4" borderId="14" xfId="1" applyFont="1" applyFill="1" applyBorder="1" applyAlignment="1">
      <x:alignment horizontal="center" vertical="center" wrapText="1"/>
    </x:xf>
    <x:xf numFmtId="0" fontId="0" fillId="0" borderId="15" xfId="1" applyFont="1" applyBorder="1" applyAlignment="1">
      <x:alignment vertical="top" wrapText="1"/>
    </x:xf>
    <x:xf numFmtId="0" fontId="0" fillId="0" borderId="16" xfId="1" applyFont="1" applyBorder="1" applyAlignment="1">
      <x:alignment vertical="top" wrapText="1"/>
    </x:xf>
    <x:xf numFmtId="0" fontId="0" fillId="0" borderId="17" xfId="1" applyFont="1" applyBorder="1" applyAlignment="1">
      <x:alignment vertical="top" wrapText="1"/>
    </x:xf>
    <x:xf numFmtId="0" fontId="2" fillId="5" borderId="0" xfId="1" applyFont="1" applyFill="1" applyAlignment="1">
      <x:alignment vertical="center"/>
    </x:xf>
    <x:xf numFmtId="177" fontId="0" fillId="0" borderId="0" xfId="1" applyNumberFormat="1" applyFont="1"/>
    <x:xf numFmtId="0" fontId="4" fillId="6" borderId="0" xfId="1" applyFont="1" applyFill="1" applyAlignment="1">
      <x:alignment vertical="center"/>
    </x:xf>
    <x:xf numFmtId="0" fontId="0" fillId="0" borderId="18" xfId="1" applyFont="1" applyBorder="1" applyAlignment="1">
      <x:alignment vertical="top" wrapText="1"/>
    </x:xf>
    <x:xf numFmtId="0" fontId="0" fillId="0" borderId="19" xfId="1" applyFont="1" applyBorder="1" applyAlignment="1">
      <x:alignment vertical="top" wrapText="1"/>
    </x:xf>
    <x:xf numFmtId="0" fontId="0" fillId="0" borderId="20" xfId="1" applyFont="1" applyBorder="1" applyAlignment="1">
      <x:alignment vertical="top" wrapText="1"/>
    </x:xf>
    <x:xf numFmtId="0" fontId="0" fillId="0" borderId="21" xfId="1" applyFont="1" applyBorder="1" applyAlignment="1">
      <x:alignment vertical="top" wrapText="1"/>
    </x:xf>
    <x:xf numFmtId="0" fontId="0" fillId="0" borderId="22" xfId="1" applyFont="1" applyBorder="1" applyAlignment="1">
      <x:alignment vertical="top" wrapText="1"/>
    </x:xf>
    <x:xf numFmtId="0" fontId="0" fillId="0" borderId="23" xfId="1" applyFont="1" applyBorder="1" applyAlignment="1">
      <x:alignment vertical="top" wrapText="1"/>
    </x:xf>
    <x:xf numFmtId="0" fontId="0" fillId="0" borderId="24" xfId="1" applyFont="1" applyBorder="1" applyAlignment="1">
      <x:alignment vertical="top" wrapText="1"/>
    </x:xf>
    <x:xf numFmtId="0" fontId="0" fillId="0" borderId="25" xfId="1" applyFont="1" applyBorder="1" applyAlignment="1">
      <x:alignment vertical="top" wrapText="1"/>
    </x:xf>
    <x:xf numFmtId="0" fontId="2" fillId="8" borderId="1" xfId="1" applyFont="1" applyFill="1" applyBorder="1" applyAlignment="1">
      <x:alignment vertical="top" wrapText="1"/>
    </x:xf>
    <x:xf numFmtId="0" fontId="2" fillId="8" borderId="3" xfId="1" applyFont="1" applyFill="1" applyBorder="1" applyAlignment="1">
      <x:alignment vertical="top" wrapText="1"/>
    </x:xf>
    <x:xf numFmtId="0" fontId="2" fillId="8" borderId="5" xfId="1" applyFont="1" applyFill="1" applyBorder="1" applyAlignment="1">
      <x:alignment vertical="top" wrapText="1"/>
    </x:xf>
    <x:xf numFmtId="0" fontId="3" fillId="9" borderId="0" xfId="1" applyFont="1" applyFill="1" applyAlignment="1">
      <x:alignment horizontal="center" vertical="center" wrapText="1"/>
    </x:xf>
    <x:xf numFmtId="0" fontId="0" fillId="0" borderId="26" xfId="1" applyFont="1" applyBorder="1" applyAlignment="1">
      <x:alignment vertical="top" wrapText="1"/>
    </x:xf>
    <x:xf numFmtId="0" fontId="3" fillId="4" borderId="1" xfId="1" applyFont="1" applyFill="1" applyBorder="1" applyAlignment="1">
      <x:alignment horizontal="center" vertical="top" wrapText="1"/>
    </x:xf>
    <x:xf numFmtId="0" fontId="3" fillId="4" borderId="12" xfId="1" applyFont="1" applyFill="1" applyBorder="1" applyAlignment="1">
      <x:alignment horizontal="center" vertical="top" wrapText="1"/>
    </x:xf>
    <x:xf numFmtId="0" fontId="3" fillId="4" borderId="2" xfId="1" applyFont="1" applyFill="1" applyBorder="1" applyAlignment="1">
      <x:alignment horizontal="center" vertical="top" wrapText="1"/>
    </x:xf>
    <x:xf numFmtId="0" fontId="2" fillId="11" borderId="1" xfId="1" applyFont="1" applyFill="1" applyBorder="1" applyAlignment="1">
      <x:alignment vertical="top" wrapText="1"/>
    </x:xf>
    <x:xf numFmtId="0" fontId="2" fillId="11" borderId="3" xfId="1" applyFont="1" applyFill="1" applyBorder="1" applyAlignment="1">
      <x:alignment vertical="top" wrapText="1"/>
    </x:xf>
    <x:xf numFmtId="0" fontId="2" fillId="11" borderId="5" xfId="1" applyFont="1" applyFill="1" applyBorder="1" applyAlignment="1">
      <x:alignment vertical="top" wrapText="1"/>
    </x:xf>
    <x:xf numFmtId="0" fontId="3" fillId="12" borderId="0" xfId="1" applyFont="1" applyFill="1" applyAlignment="1">
      <x:alignment horizontal="center" vertical="center" wrapText="1"/>
    </x:xf>
    <x:xf numFmtId="0" fontId="1" fillId="2" borderId="0" xfId="1" applyFont="1" applyFill="1" applyAlignment="1">
      <x:alignment horizontal="left" vertical="center"/>
    </x:xf>
    <x:xf numFmtId="0" fontId="2" fillId="3" borderId="0" xfId="1" applyFont="1" applyFill="1" applyAlignment="1">
      <x:alignment horizontal="left" vertical="center"/>
    </x:xf>
    <x:xf numFmtId="0" fontId="1" fillId="7" borderId="0" xfId="1" applyFont="1" applyFill="1" applyAlignment="1">
      <x:alignment horizontal="left" vertical="center"/>
    </x:xf>
    <x:xf numFmtId="0" fontId="2" fillId="8" borderId="0" xfId="1" applyFont="1" applyFill="1" applyAlignment="1">
      <x:alignment vertical="center"/>
    </x:xf>
    <x:xf numFmtId="0" fontId="3" fillId="9" borderId="0" xfId="1" applyFont="1" applyFill="1" applyAlignment="1">
      <x:alignment horizontal="center" vertical="center" wrapText="1"/>
    </x:xf>
    <x:xf numFmtId="0" fontId="3" fillId="4" borderId="1" xfId="1" applyFont="1" applyFill="1" applyBorder="1" applyAlignment="1">
      <x:alignment horizontal="center" vertical="top" wrapText="1"/>
    </x:xf>
    <x:xf numFmtId="0" fontId="3" fillId="4" borderId="12" xfId="1" applyFont="1" applyFill="1" applyBorder="1" applyAlignment="1">
      <x:alignment horizontal="center" vertical="top" wrapText="1"/>
    </x:xf>
    <x:xf numFmtId="0" fontId="3" fillId="4" borderId="2" xfId="1" applyFont="1" applyFill="1" applyBorder="1" applyAlignment="1">
      <x:alignment horizontal="center" vertical="top" wrapText="1"/>
    </x:xf>
    <x:xf numFmtId="0" fontId="0" fillId="0" borderId="1" xfId="1" applyFont="1" applyBorder="1" applyAlignment="1">
      <x:alignment vertical="top" wrapText="1"/>
    </x:xf>
    <x:xf numFmtId="0" fontId="0" fillId="0" borderId="12" xfId="1" applyFont="1" applyBorder="1" applyAlignment="1">
      <x:alignment vertical="top" wrapText="1"/>
    </x:xf>
    <x:xf numFmtId="0" fontId="0" fillId="0" borderId="2" xfId="1" applyFont="1" applyBorder="1" applyAlignment="1">
      <x:alignment vertical="top" wrapText="1"/>
    </x:xf>
    <x:xf numFmtId="0" fontId="0" fillId="0" borderId="3" xfId="1" applyFont="1" applyBorder="1" applyAlignment="1">
      <x:alignment vertical="top" wrapText="1"/>
    </x:xf>
    <x:xf numFmtId="0" fontId="0" fillId="0" borderId="0" xfId="1" applyFont="1" applyAlignment="1">
      <x:alignment vertical="top" wrapText="1"/>
    </x:xf>
    <x:xf numFmtId="0" fontId="0" fillId="0" borderId="4" xfId="1" applyFont="1" applyBorder="1" applyAlignment="1">
      <x:alignment vertical="top" wrapText="1"/>
    </x:xf>
    <x:xf numFmtId="0" fontId="0" fillId="0" borderId="5" xfId="1" applyFont="1" applyBorder="1" applyAlignment="1">
      <x:alignment vertical="top" wrapText="1"/>
    </x:xf>
    <x:xf numFmtId="0" fontId="0" fillId="0" borderId="13" xfId="1" applyFont="1" applyBorder="1" applyAlignment="1">
      <x:alignment vertical="top" wrapText="1"/>
    </x:xf>
    <x:xf numFmtId="0" fontId="0" fillId="0" borderId="6" xfId="1" applyFont="1" applyBorder="1" applyAlignment="1">
      <x:alignment vertical="top" wrapText="1"/>
    </x:xf>
    <x:xf numFmtId="0" fontId="1" fillId="10" borderId="0" xfId="1" applyFont="1" applyFill="1" applyAlignment="1">
      <x:alignment horizontal="left" vertical="center"/>
    </x:xf>
    <x:xf numFmtId="0" fontId="0" fillId="0" borderId="27" xfId="0" applyNumberFormat="1" applyFont="1" applyFill="1" applyBorder="1"/>
    <x:xf numFmtId="0" fontId="2" fillId="3" borderId="27" xfId="0" applyNumberFormat="1" applyFont="1" applyFill="1" applyBorder="1" applyAlignment="1">
      <x:alignment horizontal="left" vertical="center"/>
    </x:xf>
    <x:xf numFmtId="0" fontId="0" fillId="0" borderId="27" xfId="0" applyNumberFormat="1" applyFont="1" applyFill="1" applyBorder="1" applyAlignment="1">
      <x:alignment vertical="top" wrapText="1"/>
    </x:xf>
    <x:xf numFmtId="0" fontId="2" fillId="3" borderId="28" xfId="0" applyNumberFormat="1" applyFont="1" applyFill="1" applyBorder="1" applyAlignment="1">
      <x:alignment horizontal="left" vertical="top" wrapText="1"/>
    </x:xf>
    <x:xf numFmtId="0" fontId="0" fillId="0" borderId="29" xfId="0" applyNumberFormat="1" applyFont="1" applyFill="1" applyBorder="1" applyAlignment="1">
      <x:alignment vertical="top" wrapText="1"/>
    </x:xf>
    <x:xf numFmtId="0" fontId="2" fillId="3" borderId="30" xfId="0" applyNumberFormat="1" applyFont="1" applyFill="1" applyBorder="1" applyAlignment="1">
      <x:alignment horizontal="left" vertical="top" wrapText="1"/>
    </x:xf>
    <x:xf numFmtId="0" fontId="0" fillId="0" borderId="31" xfId="0" applyNumberFormat="1" applyFont="1" applyFill="1" applyBorder="1" applyAlignment="1">
      <x:alignment vertical="top" wrapText="1"/>
    </x:xf>
    <x:xf numFmtId="0" fontId="2" fillId="3" borderId="32" xfId="0" applyNumberFormat="1" applyFont="1" applyFill="1" applyBorder="1" applyAlignment="1">
      <x:alignment horizontal="left" vertical="top" wrapText="1"/>
    </x:xf>
    <x:xf numFmtId="0" fontId="0" fillId="0" borderId="33" xfId="0" applyNumberFormat="1" applyFont="1" applyFill="1" applyBorder="1" applyAlignment="1">
      <x:alignment vertical="top" wrapText="1"/>
    </x:xf>
    <x:xf numFmtId="0" fontId="3" fillId="4" borderId="34" xfId="0" applyNumberFormat="1" applyFont="1" applyFill="1" applyBorder="1" applyAlignment="1">
      <x:alignment horizontal="center" vertical="center" wrapText="1"/>
    </x:xf>
    <x:xf numFmtId="0" fontId="3" fillId="4" borderId="35" xfId="0" applyNumberFormat="1" applyFont="1" applyFill="1" applyBorder="1" applyAlignment="1">
      <x:alignment horizontal="center" vertical="center" wrapText="1"/>
    </x:xf>
    <x:xf numFmtId="0" fontId="0" fillId="0" borderId="28"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176" fontId="0" fillId="0" borderId="27" xfId="0" applyNumberFormat="1" applyFont="1" applyFill="1" applyBorder="1"/>
    <x:xf numFmtId="0" fontId="0" fillId="0" borderId="36" xfId="0" applyNumberFormat="1" applyFont="1" applyFill="1" applyBorder="1" applyAlignment="1">
      <x:alignment vertical="top" wrapText="1"/>
    </x:xf>
    <x:xf numFmtId="0" fontId="0" fillId="0" borderId="37" xfId="0" applyNumberFormat="1" applyFont="1" applyFill="1" applyBorder="1" applyAlignment="1">
      <x:alignment vertical="top" wrapText="1"/>
    </x:xf>
    <x:xf numFmtId="0" fontId="3" fillId="4" borderId="38" xfId="0" applyNumberFormat="1" applyFont="1" applyFill="1" applyBorder="1" applyAlignment="1">
      <x:alignment horizontal="center" vertical="center" wrapText="1"/>
    </x:xf>
    <x:xf numFmtId="0" fontId="0" fillId="0" borderId="39" xfId="0" applyNumberFormat="1" applyFont="1" applyFill="1" applyBorder="1" applyAlignment="1">
      <x:alignment vertical="top" wrapText="1"/>
    </x:xf>
    <x:xf numFmtId="0" fontId="0" fillId="0" borderId="40" xfId="0" applyNumberFormat="1" applyFont="1" applyFill="1" applyBorder="1" applyAlignment="1">
      <x:alignment vertical="top" wrapText="1"/>
    </x:xf>
    <x:xf numFmtId="177" fontId="0" fillId="0" borderId="39" xfId="0" applyNumberFormat="1" applyFont="1" applyFill="1" applyBorder="1" applyAlignment="1">
      <x:alignment vertical="top" wrapText="1"/>
    </x:xf>
    <x:xf numFmtId="177" fontId="0" fillId="0" borderId="27" xfId="0" applyNumberFormat="1" applyFont="1" applyFill="1" applyBorder="1" applyAlignment="1">
      <x:alignment vertical="top" wrapText="1"/>
    </x:xf>
    <x:xf numFmtId="177" fontId="0" fillId="0" borderId="40" xfId="0" applyNumberFormat="1" applyFont="1" applyFill="1" applyBorder="1" applyAlignment="1">
      <x:alignment vertical="top" wrapText="1"/>
    </x:xf>
    <x:xf numFmtId="178" fontId="0" fillId="0" borderId="39" xfId="0" applyNumberFormat="1" applyFont="1" applyFill="1" applyBorder="1" applyAlignment="1">
      <x:alignment vertical="top" wrapText="1"/>
    </x:xf>
    <x:xf numFmtId="178" fontId="0" fillId="0" borderId="27" xfId="0" applyNumberFormat="1" applyFont="1" applyFill="1" applyBorder="1" applyAlignment="1">
      <x:alignment vertical="top" wrapText="1"/>
    </x:xf>
    <x:xf numFmtId="178" fontId="0" fillId="0" borderId="40" xfId="0" applyNumberFormat="1" applyFont="1" applyFill="1" applyBorder="1" applyAlignment="1">
      <x:alignment vertical="top" wrapText="1"/>
    </x:xf>
    <x:xf numFmtId="178" fontId="0" fillId="0" borderId="27" xfId="0" applyNumberFormat="1" applyFont="1" applyFill="1" applyBorder="1"/>
    <x:xf numFmtId="0" fontId="3" fillId="4" borderId="41" xfId="0" applyNumberFormat="1" applyFont="1" applyFill="1" applyBorder="1" applyAlignment="1">
      <x:alignment horizontal="center" vertical="center" wrapText="1"/>
    </x:xf>
    <x:xf numFmtId="0" fontId="0" fillId="0" borderId="42" xfId="0" applyNumberFormat="1" applyFont="1" applyFill="1" applyBorder="1" applyAlignment="1">
      <x:alignment vertical="top" wrapText="1"/>
    </x:xf>
    <x:xf numFmtId="0" fontId="0" fillId="0" borderId="43" xfId="0" applyNumberFormat="1" applyFont="1" applyFill="1" applyBorder="1" applyAlignment="1">
      <x:alignment vertical="top" wrapText="1"/>
    </x:xf>
    <x:xf numFmtId="0" fontId="0" fillId="0" borderId="44" xfId="0" applyNumberFormat="1" applyFont="1" applyFill="1" applyBorder="1" applyAlignment="1">
      <x:alignment vertical="top" wrapText="1"/>
    </x:xf>
    <x:xf numFmtId="0" fontId="2" fillId="3" borderId="27" xfId="0" applyNumberFormat="1" applyFont="1" applyFill="1" applyBorder="1" applyAlignment="1">
      <x:alignment vertical="center"/>
    </x:xf>
    <x:xf numFmtId="177" fontId="0" fillId="0" borderId="27" xfId="0" applyNumberFormat="1" applyFont="1" applyFill="1" applyBorder="1"/>
    <x:xf numFmtId="0" fontId="4" fillId="6" borderId="27" xfId="0" applyNumberFormat="1" applyFont="1" applyFill="1" applyBorder="1" applyAlignment="1">
      <x:alignment vertical="center"/>
    </x:xf>
    <x:xf numFmtId="0" fontId="0" fillId="0" borderId="45" xfId="0" applyNumberFormat="1" applyFont="1" applyFill="1" applyBorder="1" applyAlignment="1">
      <x:alignment vertical="top" wrapText="1"/>
    </x:xf>
    <x:xf numFmtId="0" fontId="0" fillId="0" borderId="46" xfId="0" applyNumberFormat="1" applyFont="1" applyFill="1" applyBorder="1" applyAlignment="1">
      <x:alignment vertical="top" wrapText="1"/>
    </x:xf>
    <x:xf numFmtId="0" fontId="0" fillId="0" borderId="47" xfId="0" applyNumberFormat="1" applyFont="1" applyFill="1" applyBorder="1" applyAlignment="1">
      <x:alignment vertical="top" wrapText="1"/>
    </x:xf>
    <x:xf numFmtId="0" fontId="0" fillId="0" borderId="48" xfId="0" applyNumberFormat="1" applyFont="1" applyFill="1" applyBorder="1" applyAlignment="1">
      <x:alignment vertical="top" wrapText="1"/>
    </x:xf>
    <x:xf numFmtId="0" fontId="0" fillId="0" borderId="49" xfId="0" applyNumberFormat="1" applyFont="1" applyFill="1" applyBorder="1" applyAlignment="1">
      <x:alignment vertical="top" wrapText="1"/>
    </x:xf>
    <x:xf numFmtId="0" fontId="0" fillId="0" borderId="50" xfId="0" applyNumberFormat="1" applyFont="1" applyFill="1" applyBorder="1" applyAlignment="1">
      <x:alignment vertical="top" wrapText="1"/>
    </x:xf>
    <x:xf numFmtId="0" fontId="0" fillId="0" borderId="51" xfId="0" applyNumberFormat="1" applyFont="1" applyFill="1" applyBorder="1" applyAlignment="1">
      <x:alignment vertical="top" wrapText="1"/>
    </x:xf>
    <x:xf numFmtId="0" fontId="0" fillId="0" borderId="52" xfId="0" applyNumberFormat="1" applyFont="1" applyFill="1" applyBorder="1" applyAlignment="1">
      <x:alignment vertical="top" wrapText="1"/>
    </x:xf>
    <x:xf numFmtId="0" fontId="2" fillId="3" borderId="28" xfId="0" applyNumberFormat="1" applyFont="1" applyFill="1" applyBorder="1" applyAlignment="1">
      <x:alignment vertical="top" wrapText="1"/>
    </x:xf>
    <x:xf numFmtId="0" fontId="2" fillId="3" borderId="30" xfId="0" applyNumberFormat="1" applyFont="1" applyFill="1" applyBorder="1" applyAlignment="1">
      <x:alignment vertical="top" wrapText="1"/>
    </x:xf>
    <x:xf numFmtId="0" fontId="2" fillId="3" borderId="32" xfId="0" applyNumberFormat="1" applyFont="1" applyFill="1" applyBorder="1" applyAlignment="1">
      <x:alignment vertical="top" wrapText="1"/>
    </x:xf>
    <x:xf numFmtId="0" fontId="3" fillId="4" borderId="27" xfId="0" applyNumberFormat="1" applyFont="1" applyFill="1" applyBorder="1" applyAlignment="1">
      <x:alignment horizontal="center" vertical="center" wrapText="1"/>
    </x:xf>
    <x:xf numFmtId="0" fontId="0" fillId="0" borderId="53" xfId="0" applyNumberFormat="1" applyFont="1" applyFill="1" applyBorder="1" applyAlignment="1">
      <x:alignment vertical="top" wrapText="1"/>
    </x:xf>
    <x:xf numFmtId="0" fontId="3" fillId="4" borderId="28" xfId="0" applyNumberFormat="1" applyFont="1" applyFill="1" applyBorder="1" applyAlignment="1">
      <x:alignment horizontal="center" vertical="top" wrapText="1"/>
    </x:xf>
    <x:xf numFmtId="0" fontId="3" fillId="4" borderId="39" xfId="0" applyNumberFormat="1" applyFont="1" applyFill="1" applyBorder="1" applyAlignment="1">
      <x:alignment horizontal="center" vertical="top" wrapText="1"/>
    </x:xf>
    <x:xf numFmtId="0" fontId="3" fillId="4" borderId="29" xfId="0" applyNumberFormat="1" applyFont="1" applyFill="1" applyBorder="1" applyAlignment="1">
      <x:alignment horizontal="center" vertical="top" wrapText="1"/>
    </x:xf>
    <x:xf numFmtId="0" fontId="1" fillId="2" borderId="27" xfId="0" applyNumberFormat="1" applyFont="1" applyFill="1" applyBorder="1" applyAlignment="1">
      <x:alignment horizontal="left" vertical="center"/>
    </x:xf>
    <x:xf numFmtId="200" fontId="0" fillId="0" borderId="0" xfId="0" applyNumberFormat="1" applyFont="1" applyFill="1" applyBorder="1" applyAlignment="1">
      <x:alignment vertical="top" wrapText="1"/>
    </x:xf>
    <x:xf numFmtId="200" fontId="0" fillId="0" borderId="27" xfId="0" applyNumberFormat="1" applyFont="1" applyFill="1" applyBorder="1" applyAlignment="1">
      <x:alignment vertical="top" wrapText="1"/>
    </x:xf>
    <x:xf numFmtId="200" fontId="0" fillId="0" borderId="13" xfId="0" applyNumberFormat="1" applyFont="1" applyFill="1" applyBorder="1" applyAlignment="1">
      <x:alignment vertical="top" wrapText="1"/>
    </x:xf>
    <x:xf numFmtId="200" fontId="0" fillId="0" borderId="40" xfId="0" applyNumberFormat="1" applyFont="1" applyFill="1" applyBorder="1" applyAlignment="1">
      <x:alignment vertical="top" wrapText="1"/>
    </x:xf>
    <x:xf numFmtId="200" fontId="0" fillId="0" borderId="0" xfId="0" applyNumberFormat="1" applyFont="1" applyFill="1" applyBorder="1"/>
    <x:xf numFmtId="200" fontId="0" fillId="0" borderId="27" xfId="0" applyNumberFormat="1" applyFont="1" applyFill="1" applyBorder="1"/>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vertical="center"/>
    </x:xf>
    <x:xf numFmtId="0" fontId="0" fillId="13" borderId="27" xfId="0" applyNumberFormat="1" applyFont="1" applyFill="1" applyBorder="1"/>
    <x:xf numFmtId="0" fontId="4" fillId="13" borderId="27" xfId="0" applyNumberFormat="1" applyFont="1" applyFill="1" applyBorder="1"/>
    <x:xf numFmtId="0" fontId="4" fillId="13" borderId="27" xfId="0" applyNumberFormat="1" applyFont="1" applyFill="1" applyBorder="1" applyAlignment="1">
      <x:alignment vertical="center"/>
    </x:xf>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0"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cellXfs>
  <x:cellStyles count="2">
    <x:cellStyle name="Normal" xfId="1"/>
    <x:cellStyle name="常规" xfId="0"/>
  </x:cellStyles>
  <x:dxfs count="15">
    <x:dxf>
      <x:fill>
        <x:patternFill>
          <x:bgColor rgb="FFF4CCCC"/>
        </x:patternFill>
      </x:fill>
    </x:dxf>
    <x:dxf>
      <x:fill>
        <x:patternFill>
          <x:bgColor rgb="FFFFF2CC"/>
        </x:patternFill>
      </x:fill>
    </x:dxf>
    <x:dxf>
      <x:fill>
        <x:patternFill>
          <x:bgColor rgb="FFC6E0B4"/>
        </x:patternFill>
      </x:fill>
    </x:dxf>
    <x:dxf>
      <x:fill>
        <x:patternFill>
          <x:bgColor rgb="FFF4CCCC"/>
        </x:patternFill>
      </x:fill>
    </x:dxf>
    <x:dxf>
      <x:fill>
        <x:patternFill>
          <x:bgColor rgb="FFFFF2CC"/>
        </x:patternFill>
      </x:fill>
    </x:dxf>
    <x:dxf>
      <x:fill>
        <x:patternFill>
          <x:bgColor rgb="FFC6E0B4"/>
        </x:patternFill>
      </x:fill>
    </x:dxf>
    <x:dxf>
      <x:fill>
        <x:patternFill>
          <x:bgColor rgb="FFF4CCCC"/>
        </x:patternFill>
      </x:fill>
    </x:dxf>
    <x:dxf>
      <x:fill>
        <x:patternFill>
          <x:bgColor rgb="FFFFF2CC"/>
        </x:patternFill>
      </x:fill>
    </x:dxf>
    <x:dxf>
      <x:fill>
        <x:patternFill>
          <x:bgColor rgb="FFC6E0B4"/>
        </x:patternFill>
      </x:fill>
    </x:dxf>
    <x:dxf>
      <x:font>
        <x:color rgb="FF9C0006"/>
      </x:font>
      <x:fill>
        <x:patternFill>
          <x:bgColor rgb="FFF4CCCC"/>
        </x:patternFill>
      </x:fill>
    </x:dxf>
    <x:dxf>
      <x:fill>
        <x:patternFill>
          <x:bgColor rgb="FFFFF2CC"/>
        </x:patternFill>
      </x:fill>
    </x:dxf>
    <x:dxf>
      <x:font>
        <x:b/>
        <x:color rgb="FF375623"/>
      </x:font>
      <x:fill>
        <x:patternFill>
          <x:bgColor rgb="FFC6E0B4"/>
        </x:patternFill>
      </x:fill>
    </x:dxf>
    <x:dxf>
      <x:font>
        <x:b/>
        <x:color rgb="FF9C0006"/>
      </x:font>
      <x:fill>
        <x:patternFill>
          <x:bgColor rgb="FFF4CCCC"/>
        </x:patternFill>
      </x:fill>
    </x:dxf>
    <x:dxf>
      <x:font>
        <x:color rgb="FF7F6000"/>
      </x:font>
      <x:fill>
        <x:patternFill>
          <x:bgColor rgb="FFFFF2CC"/>
        </x:patternFill>
      </x:fill>
    </x:dxf>
    <x:dxf>
      <x:font>
        <x:b/>
        <x:color rgb="FF375623"/>
      </x:font>
      <x:fill>
        <x:patternFill>
          <x:bgColor rgb="FFC6E0B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6c61aad6834c87" /><Relationship Type="http://schemas.openxmlformats.org/officeDocument/2006/relationships/theme" Target="/xl/theme/theme1.xml" Id="R879b28d555a749ce" /><Relationship Type="http://schemas.openxmlformats.org/officeDocument/2006/relationships/sharedStrings" Target="/xl/sharedStrings.xml" Id="R3f02bcbd2cb249e9" /><Relationship Type="http://schemas.openxmlformats.org/officeDocument/2006/relationships/worksheet" Target="/xl/worksheets/sheet1.xml" Id="R6f67cd1484784398" /><Relationship Type="http://schemas.openxmlformats.org/officeDocument/2006/relationships/worksheet" Target="/xl/worksheets/sheet2.xml" Id="R785d229c1d8d4cc3" /><Relationship Type="http://schemas.openxmlformats.org/officeDocument/2006/relationships/worksheet" Target="/xl/worksheets/sheet3.xml" Id="Rabb407536f4d4dd8" /><Relationship Type="http://schemas.openxmlformats.org/officeDocument/2006/relationships/worksheet" Target="/xl/worksheets/sheet4.xml" Id="R188bf4c0bbca438d" /><Relationship Type="http://schemas.openxmlformats.org/officeDocument/2006/relationships/worksheet" Target="/xl/worksheets/sheet5.xml" Id="R413ba423e09a4bad" /><Relationship Type="http://schemas.openxmlformats.org/officeDocument/2006/relationships/worksheet" Target="/xl/worksheets/sheet6.xml" Id="R9ea625c2d55c405d" /><Relationship Type="http://schemas.openxmlformats.org/officeDocument/2006/relationships/worksheet" Target="/xl/worksheets/sheet7.xml" Id="Rff4691858fe1484f" /><Relationship Type="http://schemas.openxmlformats.org/officeDocument/2006/relationships/worksheet" Target="/xl/worksheets/sheet8.xml" Id="R7a60c96f135a4faa" /><Relationship Type="http://schemas.openxmlformats.org/officeDocument/2006/relationships/worksheet" Target="/xl/worksheets/sheet9.xml" Id="R7173cf4565f348e9" /></Relationships>
</file>

<file path=xl/drawings/_rels/drawing1.xml.rels>&#65279;<?xml version="1.0" encoding="utf-8"?><Relationships xmlns="http://schemas.openxmlformats.org/package/2006/relationships"><Relationship Type="http://schemas.openxmlformats.org/officeDocument/2006/relationships/chart" Target="/xl/drawings/charts/chart1.xml" Id="R6ea81e815d884224"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a:t>阶段四复核状态</a:t>
            </a:r>
          </a:p>
        </c:rich>
      </c:tx>
      <c:overlay val="0"/>
    </c:title>
    <c:autoTitleDeleted val="0"/>
    <c:plotArea>
      <c:layout/>
      <c:barChart>
        <c:barDir val="col"/>
        <c:grouping val="clustered"/>
        <c:varyColors val="0"/>
        <c:ser>
          <c:idx val="0"/>
          <c:order val="0"/>
          <c:tx>
            <c:v>数量</c:v>
          </c:tx>
          <c:cat>
            <c:strRef>
              <c:f>'00_使用说明'!$G$5:$G$7</c:f>
              <c:strCache>
                <c:ptCount val="3"/>
                <c:pt idx="0">
                  <c:v>已验收通过</c:v>
                </c:pt>
                <c:pt idx="1">
                  <c:v>待人工复核</c:v>
                </c:pt>
                <c:pt idx="2">
                  <c:v>其他状态</c:v>
                </c:pt>
              </c:strCache>
            </c:strRef>
          </c:cat>
          <c:val>
            <c:numRef>
              <c:f>'00_使用说明'!$H$5:$H$7</c:f>
              <c:numCache>
                <c:formatCode>General</c:formatCode>
                <c:ptCount val="3"/>
                <c:pt idx="0">
                  <c:v>5</c:v>
                </c:pt>
                <c:pt idx="1">
                  <c:v>21</c:v>
                </c:pt>
                <c:pt idx="2">
                  <c:v>0</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8</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ea81e815d884224"/>
        </a:graphicData>
      </a:graphic>
    </xdr:graphicFrame>
    <xdr:clientData/>
  </xdr:twoCellAnchor>
</xdr:wsDr>
</file>

<file path=xl/tables/table1.xml><?xml version="1.0" encoding="utf-8"?>
<x:table xmlns:x="http://schemas.openxmlformats.org/spreadsheetml/2006/main" id="1" name="EventMasterTable" displayName="EventMasterTable" ref="A1:AF27">
  <x:tableColumns count="32">
    <x:tableColumn id="1" name="event_id"/>
    <x:tableColumn id="2" name="parent_event_id"/>
    <x:tableColumn id="3" name="event_level"/>
    <x:tableColumn id="4" name="stage3_date"/>
    <x:tableColumn id="5" name="stage3_title"/>
    <x:tableColumn id="6" name="standard_event_name"/>
    <x:tableColumn id="7" name="chapter_no"/>
    <x:tableColumn id="8" name="chapter_title"/>
    <x:tableColumn id="9" name="pdf_pages"/>
    <x:tableColumn id="10" name="printed_pages"/>
    <x:tableColumn id="11" name="event_type"/>
    <x:tableColumn id="12" name="title_date"/>
    <x:tableColumn id="13" name="application_or_resolution_date"/>
    <x:tableColumn id="14" name="agreement_date"/>
    <x:tableColumn id="15" name="payment_or_verification_date"/>
    <x:tableColumn id="16" name="registration_date"/>
    <x:tableColumn id="17" name="actual_completion_date"/>
    <x:tableColumn id="18" name="date_notes"/>
    <x:tableColumn id="19" name="is_composite"/>
    <x:tableColumn id="20" name="split_result"/>
    <x:tableColumn id="21" name="split_reason"/>
    <x:tableColumn id="22" name="shareholder_change_summary"/>
    <x:tableColumn id="23" name="original_values_summary"/>
    <x:tableColumn id="24" name="special_agreement_tag"/>
    <x:tableColumn id="25" name="confirmed_facts"/>
    <x:tableColumn id="26" name="manual_judgment"/>
    <x:tableColumn id="27" name="undisclosed_items"/>
    <x:tableColumn id="28" name="review_questions"/>
    <x:tableColumn id="29" name="review_status"/>
    <x:tableColumn id="30" name="reviewer"/>
    <x:tableColumn id="31" name="review_date"/>
    <x:tableColumn id="32" name="source_note"/>
  </x:tableColumns>
  <x:tableStyleInfo name="TableStyleMedium2" showRowStripes="1"/>
</x:table>
</file>

<file path=xl/tables/table2.xml><?xml version="1.0" encoding="utf-8"?>
<x:table xmlns:x="http://schemas.openxmlformats.org/spreadsheetml/2006/main" id="2" name="ParticipantsTable" displayName="ParticipantsTable" ref="A1:O102">
  <x:tableColumns count="15">
    <x:tableColumn id="1" name="participant_id"/>
    <x:tableColumn id="2" name="event_id"/>
    <x:tableColumn id="3" name="original_name"/>
    <x:tableColumn id="4" name="standardized_name"/>
    <x:tableColumn id="5" name="disclosed_entity_type"/>
    <x:tableColumn id="6" name="event_role"/>
    <x:tableColumn id="7" name="before_status"/>
    <x:tableColumn id="8" name="action"/>
    <x:tableColumn id="9" name="change_direction"/>
    <x:tableColumn id="10" name="after_status"/>
    <x:tableColumn id="11" name="judgment_nature"/>
    <x:tableColumn id="12" name="judgment_basis"/>
    <x:tableColumn id="13" name="evidence_ids"/>
    <x:tableColumn id="14" name="review_note"/>
    <x:tableColumn id="15" name="review_status"/>
  </x:tableColumns>
  <x:tableStyleInfo name="TableStyleMedium2" showRowStripes="1"/>
</x:table>
</file>

<file path=xl/tables/table3.xml><?xml version="1.0" encoding="utf-8"?>
<x:table xmlns:x="http://schemas.openxmlformats.org/spreadsheetml/2006/main" id="3" name="EvidenceTable" displayName="EvidenceTable" ref="A1:N62">
  <x:tableColumns count="14">
    <x:tableColumn id="1" name="evidence_id"/>
    <x:tableColumn id="2" name="event_id"/>
    <x:tableColumn id="3" name="chapter_no"/>
    <x:tableColumn id="4" name="chapter_title"/>
    <x:tableColumn id="5" name="pdf_page"/>
    <x:tableColumn id="6" name="printed_page"/>
    <x:tableColumn id="7" name="location_type"/>
    <x:tableColumn id="8" name="cross_page"/>
    <x:tableColumn id="9" name="original_quote_or_description"/>
    <x:tableColumn id="10" name="supported_fields"/>
    <x:tableColumn id="11" name="related_evidence"/>
    <x:tableColumn id="12" name="evidence_note"/>
    <x:tableColumn id="13" name="needs_review"/>
    <x:tableColumn id="14" name="review_status"/>
  </x:tableColumns>
  <x:tableStyleInfo name="TableStyleMedium2" showRowStripes="1"/>
</x:table>
</file>

<file path=xl/tables/table4.xml><?xml version="1.0" encoding="utf-8"?>
<x:table xmlns:x="http://schemas.openxmlformats.org/spreadsheetml/2006/main" id="4" name="OriginalValuesTable" displayName="OriginalValuesTable" ref="A1:L140">
  <x:tableColumns count="12">
    <x:tableColumn id="1" name="value_id"/>
    <x:tableColumn id="2" name="event_id"/>
    <x:tableColumn id="3" name="evidence_id"/>
    <x:tableColumn id="4" name="field_name"/>
    <x:tableColumn id="5" name="original_value"/>
    <x:tableColumn id="6" name="unit"/>
    <x:tableColumn id="7" name="related_party"/>
    <x:tableColumn id="8" name="related_sub_event"/>
    <x:tableColumn id="9" name="value_nature"/>
    <x:tableColumn id="10" name="calculation_status"/>
    <x:tableColumn id="11" name="口径备注"/>
    <x:tableColumn id="12" name="review_status"/>
  </x:tableColumns>
  <x:tableStyleInfo name="TableStyleMedium2" showRowStripes="1"/>
</x:table>
</file>

<file path=xl/tables/table5.xml><?xml version="1.0" encoding="utf-8"?>
<x:table xmlns:x="http://schemas.openxmlformats.org/spreadsheetml/2006/main" id="5" name="ReviewChecklistTable" displayName="ReviewChecklistTable" ref="A1:R27">
  <x:tableColumns count="18">
    <x:tableColumn id="1" name="event_id"/>
    <x:tableColumn id="2" name="stage3_title"/>
    <x:tableColumn id="3" name="全部相关原文已阅读"/>
    <x:tableColumn id="4" name="章节编号完整"/>
    <x:tableColumn id="5" name="双页码完整"/>
    <x:tableColumn id="6" name="证据可回溯"/>
    <x:tableColumn id="7" name="四类时间分别处理"/>
    <x:tableColumn id="8" name="参与方角色有依据"/>
    <x:tableColumn id="9" name="复合事件已判断"/>
    <x:tableColumn id="10" name="股东变化方向已标记"/>
    <x:tableColumn id="11" name="原文值与判断分开"/>
    <x:tableColumn id="12" name="未进行禁止计算"/>
    <x:tableColumn id="13" name="未形成PEVC结论"/>
    <x:tableColumn id="14" name="不确定事项已列明"/>
    <x:tableColumn id="15" name="overall_check_status"/>
    <x:tableColumn id="16" name="reviewer"/>
    <x:tableColumn id="17" name="review_date"/>
    <x:tableColumn id="18" name="review_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9b39785f415441e" /></Relationships>
</file>

<file path=xl/worksheets/_rels/sheet2.xml.rels>&#65279;<?xml version="1.0" encoding="utf-8"?><Relationships xmlns="http://schemas.openxmlformats.org/package/2006/relationships"><Relationship Type="http://schemas.openxmlformats.org/officeDocument/2006/relationships/table" Target="/xl/tables/table1.xml" Id="R15ed244af6c64888" /></Relationships>
</file>

<file path=xl/worksheets/_rels/sheet3.xml.rels>&#65279;<?xml version="1.0" encoding="utf-8"?><Relationships xmlns="http://schemas.openxmlformats.org/package/2006/relationships"><Relationship Type="http://schemas.openxmlformats.org/officeDocument/2006/relationships/table" Target="/xl/tables/table2.xml" Id="Rad09e554c500491c" /></Relationships>
</file>

<file path=xl/worksheets/_rels/sheet4.xml.rels>&#65279;<?xml version="1.0" encoding="utf-8"?><Relationships xmlns="http://schemas.openxmlformats.org/package/2006/relationships"><Relationship Type="http://schemas.openxmlformats.org/officeDocument/2006/relationships/table" Target="/xl/tables/table3.xml" Id="R0e3c11bc6a8e4d02" /></Relationships>
</file>

<file path=xl/worksheets/_rels/sheet5.xml.rels>&#65279;<?xml version="1.0" encoding="utf-8"?><Relationships xmlns="http://schemas.openxmlformats.org/package/2006/relationships"><Relationship Type="http://schemas.openxmlformats.org/officeDocument/2006/relationships/table" Target="/xl/tables/table4.xml" Id="R0fcd3cee5c494946" /></Relationships>
</file>

<file path=xl/worksheets/_rels/sheet6.xml.rels>&#65279;<?xml version="1.0" encoding="utf-8"?><Relationships xmlns="http://schemas.openxmlformats.org/package/2006/relationships"><Relationship Type="http://schemas.openxmlformats.org/officeDocument/2006/relationships/table" Target="/xl/tables/table5.xml" Id="R9e9f576a7fc54a4c" /></Relationships>
</file>

<file path=xl/worksheets/sheet1.xml><?xml version="1.0" encoding="utf-8"?>
<x:worksheet xmlns:x="http://schemas.openxmlformats.org/spreadsheetml/2006/main">
  <x:sheetFormatPr defaultRowHeight="14"/>
  <x:cols>
    <x:col min="1" max="1" width="22" customWidth="1"/>
    <x:col min="2" max="2" width="88" customWidth="1"/>
    <x:col min="4" max="4" width="20" customWidth="1"/>
    <x:col min="5" max="5" width="26" customWidth="1"/>
  </x:cols>
  <x:sheetData>
    <x:row r="1" ht="20" customHeight="1">
      <x:c r="A1" s="54" t="s">
        <x:v>0</x:v>
      </x:c>
      <x:c r="B1" s="54"/>
      <x:c r="C1" s="54"/>
      <x:c r="D1" s="54"/>
      <x:c r="E1" s="54"/>
      <x:c r="F1" s="54"/>
      <x:c r="G1" s="54"/>
      <x:c r="H1" s="54"/>
    </x:row>
    <x:row r="3">
      <x:c r="A3" s="3" t="s">
        <x:v>1</x:v>
      </x:c>
      <x:c r="B3" s="4" t="s">
        <x:v>2</x:v>
      </x:c>
      <x:c r="D3" s="55" t="s">
        <x:v>3</x:v>
      </x:c>
      <x:c r="E3" s="55"/>
      <x:c r="F3" s="55"/>
      <x:c r="G3" s="55"/>
    </x:row>
    <x:row r="4">
      <x:c r="A4" s="5" t="s">
        <x:v>4</x:v>
      </x:c>
      <x:c r="B4" s="6" t="s">
        <x:v>5</x:v>
      </x:c>
      <x:c r="D4" s="9" t="s">
        <x:v>6</x:v>
      </x:c>
      <x:c r="E4" s="10" t="s">
        <x:v>7</x:v>
      </x:c>
      <x:c r="G4" s="9" t="s">
        <x:v>8</x:v>
      </x:c>
      <x:c r="H4" s="10" t="s">
        <x:v>9</x:v>
      </x:c>
    </x:row>
    <x:row r="5" ht="28">
      <x:c r="A5" s="5" t="s">
        <x:v>10</x:v>
      </x:c>
      <x:c r="B5" s="6" t="s">
        <x:v>11</x:v>
      </x:c>
      <x:c r="D5" s="11" t="s">
        <x:v>12</x:v>
      </x:c>
      <x:c r="E5" s="4" t="n">
        <x:f>COUNTA('01_事件主表'!A2:A200)</x:f>
        <x:v>26</x:v>
      </x:c>
      <x:c r="G5" s="11" t="s">
        <x:v>13</x:v>
      </x:c>
      <x:c r="H5" s="4" t="n">
        <x:f>COUNTIF('01_事件主表'!AC2:AC200,G5)</x:f>
        <x:v>26</x:v>
      </x:c>
    </x:row>
    <x:row r="6" ht="28">
      <x:c r="A6" s="5" t="s">
        <x:v>14</x:v>
      </x:c>
      <x:c r="B6" s="6" t="str">
        <x:v>事件主表、参与方、证据、原文数值和复核清单均已锁定为阶段四最终验收状态。</x:v>
      </x:c>
      <x:c r="D6" s="12" t="s">
        <x:v>13</x:v>
      </x:c>
      <x:c r="E6" s="6" t="n">
        <x:f>COUNTIF('01_事件主表'!AC2:AC200,"已验收通过")</x:f>
        <x:v>26</x:v>
      </x:c>
      <x:c r="G6" s="12" t="s">
        <x:v>15</x:v>
      </x:c>
      <x:c r="H6" s="6" t="n">
        <x:f>COUNTIF('01_事件主表'!AC2:AC200,G6)</x:f>
        <x:v>0</x:v>
      </x:c>
    </x:row>
    <x:row r="7">
      <x:c r="A7" s="5" t="s">
        <x:v>16</x:v>
      </x:c>
      <x:c r="B7" s="6" t="s">
        <x:v>17</x:v>
      </x:c>
      <x:c r="D7" s="13" t="s">
        <x:v>15</x:v>
      </x:c>
      <x:c r="E7" s="8" t="n">
        <x:f>COUNTIF('01_事件主表'!AC2:AC200,"待人工复核")</x:f>
        <x:v>0</x:v>
      </x:c>
      <x:c r="G7" s="13" t="s">
        <x:v>18</x:v>
      </x:c>
      <x:c r="H7" s="8" t="n">
        <x:f>COUNTA('01_事件主表'!A2:A200)-H5-H6</x:f>
        <x:v>0</x:v>
      </x:c>
    </x:row>
    <x:row r="8">
      <x:c r="A8" s="5" t="s">
        <x:v>19</x:v>
      </x:c>
      <x:c r="B8" s="6" t="s">
        <x:v>20</x:v>
      </x:c>
    </x:row>
    <x:row r="9">
      <x:c r="A9" s="5" t="s">
        <x:v>21</x:v>
      </x:c>
      <x:c r="B9" s="6" t="s">
        <x:v>22</x:v>
      </x:c>
      <x:c r="D9" s="1" t="s">
        <x:v>23</x:v>
      </x:c>
      <x:c r="E9" s="14" t="n">
        <x:f>IF(E5=0,0,E6/E5)</x:f>
        <x:v>1</x:v>
      </x:c>
    </x:row>
    <x:row r="10" ht="28">
      <x:c r="A10" s="5" t="s">
        <x:v>24</x:v>
      </x:c>
      <x:c r="B10" s="6" t="s">
        <x:v>25</x:v>
      </x:c>
      <x:c r="D10" s="15" t="s">
        <x:v>26</x:v>
      </x:c>
      <x:c r="E10" s="16" t="s">
        <x:v>27</x:v>
      </x:c>
    </x:row>
    <x:row r="11">
      <x:c r="A11" s="7" t="s">
        <x:v>28</x:v>
      </x:c>
      <x:c r="B11" s="8" t="str">
        <x:v>CE-001至CE-014及全部子事件、轮次级候选项均已完成标注并通过用户复核。</x:v>
      </x:c>
    </x:row>
    <x:row r="13">
      <x:c r="A13" s="55" t="s">
        <x:v>29</x:v>
      </x:c>
      <x:c r="B13" s="55"/>
      <x:c r="C13" s="55"/>
      <x:c r="D13" s="55"/>
      <x:c r="E13" s="55"/>
      <x:c r="F13" s="55"/>
      <x:c r="G13" s="55"/>
      <x:c r="H13" s="55"/>
    </x:row>
    <x:row r="14">
      <x:c r="A14" s="9" t="s">
        <x:v>30</x:v>
      </x:c>
      <x:c r="B14" s="10" t="s">
        <x:v>31</x:v>
      </x:c>
    </x:row>
    <x:row r="15">
      <x:c r="A15" s="11" t="s">
        <x:v>32</x:v>
      </x:c>
      <x:c r="B15" s="4" t="s">
        <x:v>33</x:v>
      </x:c>
    </x:row>
    <x:row r="16">
      <x:c r="A16" s="12" t="s">
        <x:v>34</x:v>
      </x:c>
      <x:c r="B16" s="6" t="s">
        <x:v>35</x:v>
      </x:c>
    </x:row>
    <x:row r="17">
      <x:c r="A17" s="12" t="s">
        <x:v>36</x:v>
      </x:c>
      <x:c r="B17" s="6" t="s">
        <x:v>37</x:v>
      </x:c>
    </x:row>
    <x:row r="18">
      <x:c r="A18" s="12" t="s">
        <x:v>38</x:v>
      </x:c>
      <x:c r="B18" s="6" t="s">
        <x:v>39</x:v>
      </x:c>
    </x:row>
    <x:row r="19">
      <x:c r="A19" s="12" t="s">
        <x:v>40</x:v>
      </x:c>
      <x:c r="B19" s="6" t="s">
        <x:v>41</x:v>
      </x:c>
    </x:row>
    <x:row r="20">
      <x:c r="A20" s="13" t="s">
        <x:v>42</x:v>
      </x:c>
      <x:c r="B20" s="8" t="s">
        <x:v>43</x:v>
      </x:c>
    </x:row>
  </x:sheetData>
  <x:mergeCells>
    <x:mergeCell ref="A1:H1"/>
    <x:mergeCell ref="A13:H13"/>
    <x:mergeCell ref="D3:G3"/>
  </x:mergeCells>
  <x:pageMargins left="0.7" right="0.7" top="0.75" bottom="0.75" header="0.3" footer="0.3"/>
  <x:drawing xmlns:r="http://schemas.openxmlformats.org/officeDocument/2006/relationships" r:id="Ra9b39785f415441e"/>
</x:worksheet>
</file>

<file path=xl/worksheets/sheet2.xml><?xml version="1.0" encoding="utf-8"?>
<x:worksheet xmlns:x="http://schemas.openxmlformats.org/spreadsheetml/2006/main">
  <x:sheetFormatPr defaultRowHeight="14"/>
  <x:cols>
    <x:col min="1" max="2" width="13" customWidth="1"/>
    <x:col min="3" max="4" width="15" customWidth="1"/>
    <x:col min="5" max="5" width="34" customWidth="1"/>
    <x:col min="6" max="6" width="36" customWidth="1"/>
    <x:col min="7" max="7" width="12" customWidth="1"/>
    <x:col min="8" max="8" width="30" customWidth="1"/>
    <x:col min="9" max="10" width="12" customWidth="1"/>
    <x:col min="11" max="11" width="22" customWidth="1"/>
    <x:col min="12" max="12" width="15" customWidth="1"/>
    <x:col min="13" max="14" width="18" customWidth="1"/>
    <x:col min="15" max="15" width="30" customWidth="1"/>
    <x:col min="16" max="16" width="18" customWidth="1"/>
    <x:col min="17" max="17" width="30" customWidth="1"/>
    <x:col min="18" max="18" width="38" customWidth="1"/>
    <x:col min="19" max="19" width="12" customWidth="1"/>
    <x:col min="20" max="20" width="16" customWidth="1"/>
    <x:col min="21" max="21" width="45" customWidth="1"/>
    <x:col min="22" max="22" width="34" customWidth="1"/>
    <x:col min="23" max="23" width="42" customWidth="1"/>
    <x:col min="24" max="24" width="22" customWidth="1"/>
    <x:col min="25" max="26" width="55" customWidth="1"/>
    <x:col min="27" max="28" width="38" customWidth="1"/>
    <x:col min="29" max="30" width="16" customWidth="1"/>
    <x:col min="31" max="31" width="14" customWidth="1"/>
    <x:col min="32" max="32" width="36" customWidth="1"/>
  </x:cols>
  <x:sheetData>
    <x:row r="1" ht="22.649999618530273" customHeight="1">
      <x:c r="A1" s="9" t="s">
        <x:v>44</x:v>
      </x:c>
      <x:c r="B1" s="17" t="s">
        <x:v>45</x:v>
      </x:c>
      <x:c r="C1" s="17" t="s">
        <x:v>46</x:v>
      </x:c>
      <x:c r="D1" s="17" t="s">
        <x:v>47</x:v>
      </x:c>
      <x:c r="E1" s="17" t="s">
        <x:v>48</x:v>
      </x:c>
      <x:c r="F1" s="17" t="s">
        <x:v>49</x:v>
      </x:c>
      <x:c r="G1" s="17" t="s">
        <x:v>50</x:v>
      </x:c>
      <x:c r="H1" s="17" t="s">
        <x:v>51</x:v>
      </x:c>
      <x:c r="I1" s="17" t="s">
        <x:v>52</x:v>
      </x:c>
      <x:c r="J1" s="17" t="s">
        <x:v>53</x:v>
      </x:c>
      <x:c r="K1" s="17" t="s">
        <x:v>54</x:v>
      </x:c>
      <x:c r="L1" s="17" t="s">
        <x:v>55</x:v>
      </x:c>
      <x:c r="M1" s="17" t="s">
        <x:v>56</x:v>
      </x:c>
      <x:c r="N1" s="17" t="s">
        <x:v>57</x:v>
      </x:c>
      <x:c r="O1" s="17" t="s">
        <x:v>58</x:v>
      </x:c>
      <x:c r="P1" s="17" t="s">
        <x:v>59</x:v>
      </x:c>
      <x:c r="Q1" s="17" t="s">
        <x:v>60</x:v>
      </x:c>
      <x:c r="R1" s="17" t="s">
        <x:v>61</x:v>
      </x:c>
      <x:c r="S1" s="17" t="s">
        <x:v>62</x:v>
      </x:c>
      <x:c r="T1" s="17" t="s">
        <x:v>63</x:v>
      </x:c>
      <x:c r="U1" s="17" t="s">
        <x:v>64</x:v>
      </x:c>
      <x:c r="V1" s="17" t="s">
        <x:v>65</x:v>
      </x:c>
      <x:c r="W1" s="17" t="s">
        <x:v>66</x:v>
      </x:c>
      <x:c r="X1" s="17" t="s">
        <x:v>67</x:v>
      </x:c>
      <x:c r="Y1" s="17" t="s">
        <x:v>68</x:v>
      </x:c>
      <x:c r="Z1" s="17" t="s">
        <x:v>69</x:v>
      </x:c>
      <x:c r="AA1" s="17" t="s">
        <x:v>70</x:v>
      </x:c>
      <x:c r="AB1" s="17" t="s">
        <x:v>71</x:v>
      </x:c>
      <x:c r="AC1" s="17" t="s">
        <x:v>72</x:v>
      </x:c>
      <x:c r="AD1" s="17" t="s">
        <x:v>73</x:v>
      </x:c>
      <x:c r="AE1" s="17" t="s">
        <x:v>74</x:v>
      </x:c>
      <x:c r="AF1" s="10" t="s">
        <x:v>75</x:v>
      </x:c>
    </x:row>
    <x:row r="2" ht="28" customHeight="1">
      <x:c r="A2" s="11" t="s">
        <x:v>76</x:v>
      </x:c>
      <x:c r="B2" s="18" t="s">
        <x:v>76</x:v>
      </x:c>
      <x:c r="C2" s="18" t="s">
        <x:v>77</x:v>
      </x:c>
      <x:c r="D2" s="18" t="s">
        <x:v>78</x:v>
      </x:c>
      <x:c r="E2" s="18" t="s">
        <x:v>79</x:v>
      </x:c>
      <x:c r="F2" s="18" t="s">
        <x:v>80</x:v>
      </x:c>
      <x:c r="G2" s="18" t="s">
        <x:v>81</x:v>
      </x:c>
      <x:c r="H2" s="18" t="s">
        <x:v>82</x:v>
      </x:c>
      <x:c r="I2" s="18" t="s">
        <x:v>83</x:v>
      </x:c>
      <x:c r="J2" s="18" t="s">
        <x:v>84</x:v>
      </x:c>
      <x:c r="K2" s="18" t="s">
        <x:v>85</x:v>
      </x:c>
      <x:c r="L2" s="18" t="s">
        <x:v>78</x:v>
      </x:c>
      <x:c r="M2" s="18" t="s">
        <x:v>86</x:v>
      </x:c>
      <x:c r="N2" s="18" t="s">
        <x:v>87</x:v>
      </x:c>
      <x:c r="O2" s="18" t="s">
        <x:v>88</x:v>
      </x:c>
      <x:c r="P2" s="18" t="s">
        <x:v>89</x:v>
      </x:c>
      <x:c r="Q2" s="18" t="s">
        <x:v>90</x:v>
      </x:c>
      <x:c r="R2" s="18" t="s">
        <x:v>91</x:v>
      </x:c>
      <x:c r="S2" s="18" t="s">
        <x:v>92</x:v>
      </x:c>
      <x:c r="T2" s="18" t="s">
        <x:v>93</x:v>
      </x:c>
      <x:c r="U2" s="18" t="s">
        <x:v>94</x:v>
      </x:c>
      <x:c r="V2" s="18" t="s">
        <x:v>95</x:v>
      </x:c>
      <x:c r="W2" s="18" t="s">
        <x:v>96</x:v>
      </x:c>
      <x:c r="X2" s="18" t="s">
        <x:v>97</x:v>
      </x:c>
      <x:c r="Y2" s="18" t="s">
        <x:v>98</x:v>
      </x:c>
      <x:c r="Z2" s="18" t="s">
        <x:v>99</x:v>
      </x:c>
      <x:c r="AA2" s="18" t="s">
        <x:v>100</x:v>
      </x:c>
      <x:c r="AB2" s="18" t="s">
        <x:v>101</x:v>
      </x:c>
      <x:c r="AC2" s="18" t="s">
        <x:v>13</x:v>
      </x:c>
      <x:c r="AD2" s="18" t="s">
        <x:v>102</x:v>
      </x:c>
      <x:c r="AE2" s="20">
        <x:v>46219</x:v>
      </x:c>
      <x:c r="AF2" s="4" t="s">
        <x:v>103</x:v>
      </x:c>
    </x:row>
    <x:row r="3" ht="28" customHeight="1">
      <x:c r="A3" s="12" t="s">
        <x:v>104</x:v>
      </x:c>
      <x:c r="B3" s="2" t="s">
        <x:v>104</x:v>
      </x:c>
      <x:c r="C3" s="2" t="s">
        <x:v>77</x:v>
      </x:c>
      <x:c r="D3" s="2" t="s">
        <x:v>105</x:v>
      </x:c>
      <x:c r="E3" s="2" t="s">
        <x:v>106</x:v>
      </x:c>
      <x:c r="F3" s="2" t="s">
        <x:v>107</x:v>
      </x:c>
      <x:c r="G3" s="2" t="s">
        <x:v>108</x:v>
      </x:c>
      <x:c r="H3" s="2" t="s">
        <x:v>109</x:v>
      </x:c>
      <x:c r="I3" s="2" t="s">
        <x:v>110</x:v>
      </x:c>
      <x:c r="J3" s="2" t="s">
        <x:v>111</x:v>
      </x:c>
      <x:c r="K3" s="2" t="s">
        <x:v>112</x:v>
      </x:c>
      <x:c r="L3" s="2" t="s">
        <x:v>105</x:v>
      </x:c>
      <x:c r="M3" s="2" t="s">
        <x:v>87</x:v>
      </x:c>
      <x:c r="N3" s="2" t="s">
        <x:v>87</x:v>
      </x:c>
      <x:c r="O3" s="2" t="s">
        <x:v>87</x:v>
      </x:c>
      <x:c r="P3" s="2" t="s">
        <x:v>87</x:v>
      </x:c>
      <x:c r="Q3" s="2" t="s">
        <x:v>113</x:v>
      </x:c>
      <x:c r="R3" s="2" t="s">
        <x:v>114</x:v>
      </x:c>
      <x:c r="S3" s="2" t="s">
        <x:v>115</x:v>
      </x:c>
      <x:c r="T3" s="2" t="s">
        <x:v>116</x:v>
      </x:c>
      <x:c r="U3" s="2" t="s">
        <x:v>117</x:v>
      </x:c>
      <x:c r="V3" s="2" t="s">
        <x:v>118</x:v>
      </x:c>
      <x:c r="W3" s="2" t="s">
        <x:v>119</x:v>
      </x:c>
      <x:c r="X3" s="2" t="s">
        <x:v>97</x:v>
      </x:c>
      <x:c r="Y3" s="2" t="s">
        <x:v>120</x:v>
      </x:c>
      <x:c r="Z3" s="2" t="s">
        <x:v>121</x:v>
      </x:c>
      <x:c r="AA3" s="2" t="s">
        <x:v>122</x:v>
      </x:c>
      <x:c r="AB3" s="2" t="s">
        <x:v>123</x:v>
      </x:c>
      <x:c r="AC3" s="2" t="s">
        <x:v>13</x:v>
      </x:c>
      <x:c r="AD3" s="2" t="s">
        <x:v>102</x:v>
      </x:c>
      <x:c r="AE3" s="21">
        <x:v>46219</x:v>
      </x:c>
      <x:c r="AF3" s="6" t="s">
        <x:v>124</x:v>
      </x:c>
    </x:row>
    <x:row r="4" ht="28" customHeight="1">
      <x:c r="A4" s="12" t="s">
        <x:v>125</x:v>
      </x:c>
      <x:c r="B4" s="2" t="s">
        <x:v>125</x:v>
      </x:c>
      <x:c r="C4" s="2" t="s">
        <x:v>77</x:v>
      </x:c>
      <x:c r="D4" s="2" t="s">
        <x:v>126</x:v>
      </x:c>
      <x:c r="E4" s="2" t="s">
        <x:v>127</x:v>
      </x:c>
      <x:c r="F4" s="2" t="s">
        <x:v>128</x:v>
      </x:c>
      <x:c r="G4" s="2" t="s">
        <x:v>108</x:v>
      </x:c>
      <x:c r="H4" s="2" t="s">
        <x:v>109</x:v>
      </x:c>
      <x:c r="I4" s="2" t="s">
        <x:v>110</x:v>
      </x:c>
      <x:c r="J4" s="2" t="s">
        <x:v>111</x:v>
      </x:c>
      <x:c r="K4" s="2" t="s">
        <x:v>129</x:v>
      </x:c>
      <x:c r="L4" s="2" t="s">
        <x:v>126</x:v>
      </x:c>
      <x:c r="M4" s="2" t="s">
        <x:v>87</x:v>
      </x:c>
      <x:c r="N4" s="2" t="s">
        <x:v>87</x:v>
      </x:c>
      <x:c r="O4" s="2" t="s">
        <x:v>97</x:v>
      </x:c>
      <x:c r="P4" s="2" t="s">
        <x:v>87</x:v>
      </x:c>
      <x:c r="Q4" s="2" t="s">
        <x:v>130</x:v>
      </x:c>
      <x:c r="R4" s="2" t="s">
        <x:v>131</x:v>
      </x:c>
      <x:c r="S4" s="2" t="s">
        <x:v>92</x:v>
      </x:c>
      <x:c r="T4" s="2" t="s">
        <x:v>93</x:v>
      </x:c>
      <x:c r="U4" s="2" t="s">
        <x:v>132</x:v>
      </x:c>
      <x:c r="V4" s="2" t="s">
        <x:v>133</x:v>
      </x:c>
      <x:c r="W4" s="2" t="s">
        <x:v>134</x:v>
      </x:c>
      <x:c r="X4" s="2" t="s">
        <x:v>97</x:v>
      </x:c>
      <x:c r="Y4" s="2" t="s">
        <x:v>135</x:v>
      </x:c>
      <x:c r="Z4" s="2" t="s">
        <x:v>136</x:v>
      </x:c>
      <x:c r="AA4" s="2" t="s">
        <x:v>137</x:v>
      </x:c>
      <x:c r="AB4" s="2" t="s">
        <x:v>138</x:v>
      </x:c>
      <x:c r="AC4" s="2" t="s">
        <x:v>13</x:v>
      </x:c>
      <x:c r="AD4" s="2" t="s">
        <x:v>102</x:v>
      </x:c>
      <x:c r="AE4" s="21">
        <x:v>46219</x:v>
      </x:c>
      <x:c r="AF4" s="6" t="s">
        <x:v>139</x:v>
      </x:c>
    </x:row>
    <x:row r="5" ht="28" customHeight="1">
      <x:c r="A5" s="12" t="s">
        <x:v>140</x:v>
      </x:c>
      <x:c r="B5" s="2" t="s">
        <x:v>140</x:v>
      </x:c>
      <x:c r="C5" s="2" t="s">
        <x:v>77</x:v>
      </x:c>
      <x:c r="D5" s="2" t="s">
        <x:v>141</x:v>
      </x:c>
      <x:c r="E5" s="2" t="s">
        <x:v>142</x:v>
      </x:c>
      <x:c r="F5" s="2" t="s">
        <x:v>143</x:v>
      </x:c>
      <x:c r="G5" s="2" t="s">
        <x:v>108</x:v>
      </x:c>
      <x:c r="H5" s="2" t="s">
        <x:v>109</x:v>
      </x:c>
      <x:c r="I5" s="2" t="s">
        <x:v>110</x:v>
      </x:c>
      <x:c r="J5" s="2" t="s">
        <x:v>111</x:v>
      </x:c>
      <x:c r="K5" s="2" t="s">
        <x:v>144</x:v>
      </x:c>
      <x:c r="L5" s="2" t="s">
        <x:v>141</x:v>
      </x:c>
      <x:c r="M5" s="2" t="s">
        <x:v>87</x:v>
      </x:c>
      <x:c r="N5" s="2" t="s">
        <x:v>87</x:v>
      </x:c>
      <x:c r="O5" s="2" t="s">
        <x:v>87</x:v>
      </x:c>
      <x:c r="P5" s="2" t="s">
        <x:v>87</x:v>
      </x:c>
      <x:c r="Q5" s="2" t="s">
        <x:v>145</x:v>
      </x:c>
      <x:c r="R5" s="2" t="s">
        <x:v>146</x:v>
      </x:c>
      <x:c r="S5" s="2" t="s">
        <x:v>92</x:v>
      </x:c>
      <x:c r="T5" s="2" t="s">
        <x:v>93</x:v>
      </x:c>
      <x:c r="U5" s="2" t="s">
        <x:v>147</x:v>
      </x:c>
      <x:c r="V5" s="2" t="s">
        <x:v>148</x:v>
      </x:c>
      <x:c r="W5" s="2" t="s">
        <x:v>149</x:v>
      </x:c>
      <x:c r="X5" s="2" t="s">
        <x:v>150</x:v>
      </x:c>
      <x:c r="Y5" s="2" t="s">
        <x:v>151</x:v>
      </x:c>
      <x:c r="Z5" s="2" t="s">
        <x:v>152</x:v>
      </x:c>
      <x:c r="AA5" s="2" t="s">
        <x:v>153</x:v>
      </x:c>
      <x:c r="AB5" s="2" t="s">
        <x:v>154</x:v>
      </x:c>
      <x:c r="AC5" s="2" t="str">
        <x:v>已验收通过</x:v>
      </x:c>
      <x:c r="AD5" s="2" t="str">
        <x:v>用户批量复核确认</x:v>
      </x:c>
      <x:c r="AE5" s="123" t="n">
        <x:v>46220</x:v>
      </x:c>
      <x:c r="AF5" s="6" t="s">
        <x:v>155</x:v>
      </x:c>
    </x:row>
    <x:row r="6" ht="28" customHeight="1">
      <x:c r="A6" s="12" t="s">
        <x:v>156</x:v>
      </x:c>
      <x:c r="B6" s="2" t="s">
        <x:v>156</x:v>
      </x:c>
      <x:c r="C6" s="2" t="s">
        <x:v>77</x:v>
      </x:c>
      <x:c r="D6" s="2" t="s">
        <x:v>157</x:v>
      </x:c>
      <x:c r="E6" s="2" t="s">
        <x:v>158</x:v>
      </x:c>
      <x:c r="F6" s="2" t="s">
        <x:v>159</x:v>
      </x:c>
      <x:c r="G6" s="2" t="s">
        <x:v>108</x:v>
      </x:c>
      <x:c r="H6" s="2" t="s">
        <x:v>109</x:v>
      </x:c>
      <x:c r="I6" s="2" t="s">
        <x:v>110</x:v>
      </x:c>
      <x:c r="J6" s="2" t="s">
        <x:v>111</x:v>
      </x:c>
      <x:c r="K6" s="2" t="s">
        <x:v>144</x:v>
      </x:c>
      <x:c r="L6" s="2" t="s">
        <x:v>157</x:v>
      </x:c>
      <x:c r="M6" s="2" t="s">
        <x:v>87</x:v>
      </x:c>
      <x:c r="N6" s="2" t="s">
        <x:v>87</x:v>
      </x:c>
      <x:c r="O6" s="2" t="s">
        <x:v>87</x:v>
      </x:c>
      <x:c r="P6" s="2" t="s">
        <x:v>87</x:v>
      </x:c>
      <x:c r="Q6" s="2" t="s">
        <x:v>160</x:v>
      </x:c>
      <x:c r="R6" s="2" t="s">
        <x:v>161</x:v>
      </x:c>
      <x:c r="S6" s="2" t="s">
        <x:v>92</x:v>
      </x:c>
      <x:c r="T6" s="2" t="s">
        <x:v>93</x:v>
      </x:c>
      <x:c r="U6" s="2" t="s">
        <x:v>162</x:v>
      </x:c>
      <x:c r="V6" s="2" t="s">
        <x:v>163</x:v>
      </x:c>
      <x:c r="W6" s="2" t="s">
        <x:v>164</x:v>
      </x:c>
      <x:c r="X6" s="2" t="s">
        <x:v>150</x:v>
      </x:c>
      <x:c r="Y6" s="2" t="s">
        <x:v>165</x:v>
      </x:c>
      <x:c r="Z6" s="2" t="s">
        <x:v>166</x:v>
      </x:c>
      <x:c r="AA6" s="2" t="s">
        <x:v>167</x:v>
      </x:c>
      <x:c r="AB6" s="2" t="s">
        <x:v>168</x:v>
      </x:c>
      <x:c r="AC6" s="2" t="str">
        <x:v>已验收通过</x:v>
      </x:c>
      <x:c r="AD6" s="2" t="str">
        <x:v>用户批量复核确认</x:v>
      </x:c>
      <x:c r="AE6" s="123" t="n">
        <x:v>46220</x:v>
      </x:c>
      <x:c r="AF6" s="6" t="s">
        <x:v>155</x:v>
      </x:c>
    </x:row>
    <x:row r="7" ht="28" customHeight="1">
      <x:c r="A7" s="12" t="s">
        <x:v>169</x:v>
      </x:c>
      <x:c r="B7" s="2" t="s">
        <x:v>169</x:v>
      </x:c>
      <x:c r="C7" s="2" t="s">
        <x:v>77</x:v>
      </x:c>
      <x:c r="D7" s="2" t="s">
        <x:v>170</x:v>
      </x:c>
      <x:c r="E7" s="2" t="s">
        <x:v>171</x:v>
      </x:c>
      <x:c r="F7" s="2" t="s">
        <x:v>172</x:v>
      </x:c>
      <x:c r="G7" s="2" t="s">
        <x:v>108</x:v>
      </x:c>
      <x:c r="H7" s="2" t="s">
        <x:v>109</x:v>
      </x:c>
      <x:c r="I7" s="2" t="s">
        <x:v>110</x:v>
      </x:c>
      <x:c r="J7" s="2" t="s">
        <x:v>111</x:v>
      </x:c>
      <x:c r="K7" s="2" t="s">
        <x:v>173</x:v>
      </x:c>
      <x:c r="L7" s="2" t="s">
        <x:v>170</x:v>
      </x:c>
      <x:c r="M7" s="2" t="s">
        <x:v>87</x:v>
      </x:c>
      <x:c r="N7" s="2" t="s">
        <x:v>97</x:v>
      </x:c>
      <x:c r="O7" s="2" t="s">
        <x:v>174</x:v>
      </x:c>
      <x:c r="P7" s="2" t="s">
        <x:v>87</x:v>
      </x:c>
      <x:c r="Q7" s="2" t="s">
        <x:v>175</x:v>
      </x:c>
      <x:c r="R7" s="2" t="s">
        <x:v>176</x:v>
      </x:c>
      <x:c r="S7" s="2" t="s">
        <x:v>92</x:v>
      </x:c>
      <x:c r="T7" s="2" t="s">
        <x:v>93</x:v>
      </x:c>
      <x:c r="U7" s="2" t="s">
        <x:v>177</x:v>
      </x:c>
      <x:c r="V7" s="2" t="s">
        <x:v>178</x:v>
      </x:c>
      <x:c r="W7" s="2" t="s">
        <x:v>179</x:v>
      </x:c>
      <x:c r="X7" s="2" t="s">
        <x:v>97</x:v>
      </x:c>
      <x:c r="Y7" s="2" t="s">
        <x:v>180</x:v>
      </x:c>
      <x:c r="Z7" s="2" t="s">
        <x:v>181</x:v>
      </x:c>
      <x:c r="AA7" s="2" t="s">
        <x:v>182</x:v>
      </x:c>
      <x:c r="AB7" s="2" t="s">
        <x:v>183</x:v>
      </x:c>
      <x:c r="AC7" s="2" t="str">
        <x:v>已验收通过</x:v>
      </x:c>
      <x:c r="AD7" s="2" t="str">
        <x:v>用户批量复核确认</x:v>
      </x:c>
      <x:c r="AE7" s="123" t="n">
        <x:v>46220</x:v>
      </x:c>
      <x:c r="AF7" s="6" t="s">
        <x:v>155</x:v>
      </x:c>
    </x:row>
    <x:row r="8" ht="28" customHeight="1">
      <x:c r="A8" s="12" t="s">
        <x:v>184</x:v>
      </x:c>
      <x:c r="B8" s="2" t="s">
        <x:v>184</x:v>
      </x:c>
      <x:c r="C8" s="2" t="s">
        <x:v>77</x:v>
      </x:c>
      <x:c r="D8" s="2" t="s">
        <x:v>185</x:v>
      </x:c>
      <x:c r="E8" s="2" t="s">
        <x:v>186</x:v>
      </x:c>
      <x:c r="F8" s="2" t="s">
        <x:v>187</x:v>
      </x:c>
      <x:c r="G8" s="2" t="s">
        <x:v>108</x:v>
      </x:c>
      <x:c r="H8" s="2" t="s">
        <x:v>109</x:v>
      </x:c>
      <x:c r="I8" s="2" t="s">
        <x:v>188</x:v>
      </x:c>
      <x:c r="J8" s="2" t="s">
        <x:v>110</x:v>
      </x:c>
      <x:c r="K8" s="2" t="s">
        <x:v>144</x:v>
      </x:c>
      <x:c r="L8" s="2" t="s">
        <x:v>185</x:v>
      </x:c>
      <x:c r="M8" s="2" t="s">
        <x:v>87</x:v>
      </x:c>
      <x:c r="N8" s="2" t="s">
        <x:v>87</x:v>
      </x:c>
      <x:c r="O8" s="2" t="s">
        <x:v>87</x:v>
      </x:c>
      <x:c r="P8" s="2" t="s">
        <x:v>87</x:v>
      </x:c>
      <x:c r="Q8" s="2" t="s">
        <x:v>189</x:v>
      </x:c>
      <x:c r="R8" s="2" t="s">
        <x:v>190</x:v>
      </x:c>
      <x:c r="S8" s="2" t="s">
        <x:v>92</x:v>
      </x:c>
      <x:c r="T8" s="2" t="s">
        <x:v>93</x:v>
      </x:c>
      <x:c r="U8" s="2" t="s">
        <x:v>191</x:v>
      </x:c>
      <x:c r="V8" s="2" t="s">
        <x:v>192</x:v>
      </x:c>
      <x:c r="W8" s="2" t="s">
        <x:v>193</x:v>
      </x:c>
      <x:c r="X8" s="2" t="s">
        <x:v>194</x:v>
      </x:c>
      <x:c r="Y8" s="2" t="s">
        <x:v>195</x:v>
      </x:c>
      <x:c r="Z8" s="2" t="s">
        <x:v>196</x:v>
      </x:c>
      <x:c r="AA8" s="2" t="s">
        <x:v>197</x:v>
      </x:c>
      <x:c r="AB8" s="2" t="s">
        <x:v>198</x:v>
      </x:c>
      <x:c r="AC8" s="2" t="str">
        <x:v>已验收通过</x:v>
      </x:c>
      <x:c r="AD8" s="2" t="str">
        <x:v>用户批量复核确认</x:v>
      </x:c>
      <x:c r="AE8" s="123" t="n">
        <x:v>46220</x:v>
      </x:c>
      <x:c r="AF8" s="6" t="s">
        <x:v>199</x:v>
      </x:c>
    </x:row>
    <x:row r="9" ht="28" customHeight="1">
      <x:c r="A9" s="12" t="s">
        <x:v>200</x:v>
      </x:c>
      <x:c r="B9" s="2" t="s">
        <x:v>200</x:v>
      </x:c>
      <x:c r="C9" s="2" t="s">
        <x:v>77</x:v>
      </x:c>
      <x:c r="D9" s="2" t="s">
        <x:v>201</x:v>
      </x:c>
      <x:c r="E9" s="2" t="s">
        <x:v>202</x:v>
      </x:c>
      <x:c r="F9" s="2" t="s">
        <x:v>203</x:v>
      </x:c>
      <x:c r="G9" s="2" t="s">
        <x:v>204</x:v>
      </x:c>
      <x:c r="H9" s="2" t="s">
        <x:v>205</x:v>
      </x:c>
      <x:c r="I9" s="2" t="s">
        <x:v>206</x:v>
      </x:c>
      <x:c r="J9" s="2" t="s">
        <x:v>207</x:v>
      </x:c>
      <x:c r="K9" s="2" t="s">
        <x:v>208</x:v>
      </x:c>
      <x:c r="L9" s="2" t="s">
        <x:v>201</x:v>
      </x:c>
      <x:c r="M9" s="2" t="s">
        <x:v>209</x:v>
      </x:c>
      <x:c r="N9" s="2" t="s">
        <x:v>210</x:v>
      </x:c>
      <x:c r="O9" s="2" t="s">
        <x:v>211</x:v>
      </x:c>
      <x:c r="P9" s="2" t="s">
        <x:v>212</x:v>
      </x:c>
      <x:c r="Q9" s="2" t="s">
        <x:v>213</x:v>
      </x:c>
      <x:c r="R9" s="2" t="s">
        <x:v>214</x:v>
      </x:c>
      <x:c r="S9" s="2" t="s">
        <x:v>92</x:v>
      </x:c>
      <x:c r="T9" s="2" t="s">
        <x:v>93</x:v>
      </x:c>
      <x:c r="U9" s="2" t="s">
        <x:v>215</x:v>
      </x:c>
      <x:c r="V9" s="2" t="s">
        <x:v>216</x:v>
      </x:c>
      <x:c r="W9" s="2" t="s">
        <x:v>217</x:v>
      </x:c>
      <x:c r="X9" s="2" t="s">
        <x:v>97</x:v>
      </x:c>
      <x:c r="Y9" s="2" t="s">
        <x:v>218</x:v>
      </x:c>
      <x:c r="Z9" s="2" t="s">
        <x:v>219</x:v>
      </x:c>
      <x:c r="AA9" s="2" t="s">
        <x:v>220</x:v>
      </x:c>
      <x:c r="AB9" s="2" t="s">
        <x:v>221</x:v>
      </x:c>
      <x:c r="AC9" s="2" t="str">
        <x:v>已验收通过</x:v>
      </x:c>
      <x:c r="AD9" s="2" t="str">
        <x:v>用户批量复核确认</x:v>
      </x:c>
      <x:c r="AE9" s="123" t="n">
        <x:v>46220</x:v>
      </x:c>
      <x:c r="AF9" s="6" t="s">
        <x:v>222</x:v>
      </x:c>
    </x:row>
    <x:row r="10" ht="28" customHeight="1">
      <x:c r="A10" s="12" t="s">
        <x:v>223</x:v>
      </x:c>
      <x:c r="B10" s="2" t="s">
        <x:v>223</x:v>
      </x:c>
      <x:c r="C10" s="2" t="s">
        <x:v>77</x:v>
      </x:c>
      <x:c r="D10" s="2" t="s">
        <x:v>224</x:v>
      </x:c>
      <x:c r="E10" s="2" t="s">
        <x:v>225</x:v>
      </x:c>
      <x:c r="F10" s="2" t="s">
        <x:v>226</x:v>
      </x:c>
      <x:c r="G10" s="2" t="s">
        <x:v>227</x:v>
      </x:c>
      <x:c r="H10" s="2" t="s">
        <x:v>228</x:v>
      </x:c>
      <x:c r="I10" s="2" t="s">
        <x:v>229</x:v>
      </x:c>
      <x:c r="J10" s="2" t="s">
        <x:v>230</x:v>
      </x:c>
      <x:c r="K10" s="2" t="s">
        <x:v>129</x:v>
      </x:c>
      <x:c r="L10" s="2" t="s">
        <x:v>224</x:v>
      </x:c>
      <x:c r="M10" s="2" t="s">
        <x:v>87</x:v>
      </x:c>
      <x:c r="N10" s="2" t="s">
        <x:v>231</x:v>
      </x:c>
      <x:c r="O10" s="2" t="s">
        <x:v>232</x:v>
      </x:c>
      <x:c r="P10" s="2" t="s">
        <x:v>233</x:v>
      </x:c>
      <x:c r="Q10" s="2" t="s">
        <x:v>234</x:v>
      </x:c>
      <x:c r="R10" s="2" t="s">
        <x:v>235</x:v>
      </x:c>
      <x:c r="S10" s="2" t="s">
        <x:v>92</x:v>
      </x:c>
      <x:c r="T10" s="2" t="s">
        <x:v>93</x:v>
      </x:c>
      <x:c r="U10" s="2" t="s">
        <x:v>236</x:v>
      </x:c>
      <x:c r="V10" s="2" t="s">
        <x:v>237</x:v>
      </x:c>
      <x:c r="W10" s="2" t="s">
        <x:v>238</x:v>
      </x:c>
      <x:c r="X10" s="2" t="s">
        <x:v>239</x:v>
      </x:c>
      <x:c r="Y10" s="2" t="s">
        <x:v>240</x:v>
      </x:c>
      <x:c r="Z10" s="2" t="s">
        <x:v>241</x:v>
      </x:c>
      <x:c r="AA10" s="2" t="s">
        <x:v>242</x:v>
      </x:c>
      <x:c r="AB10" s="2" t="s">
        <x:v>243</x:v>
      </x:c>
      <x:c r="AC10" s="2" t="str">
        <x:v>已验收通过</x:v>
      </x:c>
      <x:c r="AD10" s="2" t="str">
        <x:v>用户批量复核确认</x:v>
      </x:c>
      <x:c r="AE10" s="123" t="n">
        <x:v>46220</x:v>
      </x:c>
      <x:c r="AF10" s="6" t="s">
        <x:v>244</x:v>
      </x:c>
    </x:row>
    <x:row r="11" ht="28" customHeight="1">
      <x:c r="A11" s="12" t="s">
        <x:v>245</x:v>
      </x:c>
      <x:c r="B11" s="2" t="s">
        <x:v>245</x:v>
      </x:c>
      <x:c r="C11" s="2" t="s">
        <x:v>77</x:v>
      </x:c>
      <x:c r="D11" s="2" t="s">
        <x:v>246</x:v>
      </x:c>
      <x:c r="E11" s="2" t="s">
        <x:v>247</x:v>
      </x:c>
      <x:c r="F11" s="2" t="s">
        <x:v>248</x:v>
      </x:c>
      <x:c r="G11" s="2" t="s">
        <x:v>249</x:v>
      </x:c>
      <x:c r="H11" s="2" t="s">
        <x:v>250</x:v>
      </x:c>
      <x:c r="I11" s="2" t="s">
        <x:v>251</x:v>
      </x:c>
      <x:c r="J11" s="2" t="s">
        <x:v>252</x:v>
      </x:c>
      <x:c r="K11" s="2" t="s">
        <x:v>253</x:v>
      </x:c>
      <x:c r="L11" s="2" t="s">
        <x:v>246</x:v>
      </x:c>
      <x:c r="M11" s="2" t="s">
        <x:v>254</x:v>
      </x:c>
      <x:c r="N11" s="2" t="s">
        <x:v>255</x:v>
      </x:c>
      <x:c r="O11" s="2" t="s">
        <x:v>256</x:v>
      </x:c>
      <x:c r="P11" s="2" t="s">
        <x:v>257</x:v>
      </x:c>
      <x:c r="Q11" s="2" t="s">
        <x:v>258</x:v>
      </x:c>
      <x:c r="R11" s="2" t="s">
        <x:v>259</x:v>
      </x:c>
      <x:c r="S11" s="2" t="s">
        <x:v>115</x:v>
      </x:c>
      <x:c r="T11" s="2" t="s">
        <x:v>260</x:v>
      </x:c>
      <x:c r="U11" s="2" t="s">
        <x:v>261</x:v>
      </x:c>
      <x:c r="V11" s="2" t="s">
        <x:v>262</x:v>
      </x:c>
      <x:c r="W11" s="2" t="s">
        <x:v>263</x:v>
      </x:c>
      <x:c r="X11" s="2" t="s">
        <x:v>264</x:v>
      </x:c>
      <x:c r="Y11" s="2" t="s">
        <x:v>265</x:v>
      </x:c>
      <x:c r="Z11" s="2" t="s">
        <x:v>266</x:v>
      </x:c>
      <x:c r="AA11" s="2" t="s">
        <x:v>267</x:v>
      </x:c>
      <x:c r="AB11" s="2" t="s">
        <x:v>268</x:v>
      </x:c>
      <x:c r="AC11" s="2" t="str">
        <x:v>已验收通过</x:v>
      </x:c>
      <x:c r="AD11" s="2" t="str">
        <x:v>用户批量复核确认</x:v>
      </x:c>
      <x:c r="AE11" s="123" t="n">
        <x:v>46220</x:v>
      </x:c>
      <x:c r="AF11" s="6" t="s">
        <x:v>269</x:v>
      </x:c>
    </x:row>
    <x:row r="12" ht="28" customHeight="1">
      <x:c r="A12" s="12" t="s">
        <x:v>270</x:v>
      </x:c>
      <x:c r="B12" s="2" t="s">
        <x:v>270</x:v>
      </x:c>
      <x:c r="C12" s="2" t="s">
        <x:v>77</x:v>
      </x:c>
      <x:c r="D12" s="2" t="s">
        <x:v>271</x:v>
      </x:c>
      <x:c r="E12" s="2" t="s">
        <x:v>272</x:v>
      </x:c>
      <x:c r="F12" s="2" t="s">
        <x:v>273</x:v>
      </x:c>
      <x:c r="G12" s="2" t="s">
        <x:v>274</x:v>
      </x:c>
      <x:c r="H12" s="2" t="s">
        <x:v>275</x:v>
      </x:c>
      <x:c r="I12" s="2" t="s">
        <x:v>276</x:v>
      </x:c>
      <x:c r="J12" s="2" t="s">
        <x:v>277</x:v>
      </x:c>
      <x:c r="K12" s="2" t="s">
        <x:v>278</x:v>
      </x:c>
      <x:c r="L12" s="2" t="s">
        <x:v>271</x:v>
      </x:c>
      <x:c r="M12" s="2" t="s">
        <x:v>87</x:v>
      </x:c>
      <x:c r="N12" s="2" t="s">
        <x:v>279</x:v>
      </x:c>
      <x:c r="O12" s="2" t="s">
        <x:v>280</x:v>
      </x:c>
      <x:c r="P12" s="2" t="s">
        <x:v>233</x:v>
      </x:c>
      <x:c r="Q12" s="2" t="s">
        <x:v>281</x:v>
      </x:c>
      <x:c r="R12" s="2" t="s">
        <x:v>282</x:v>
      </x:c>
      <x:c r="S12" s="2" t="s">
        <x:v>92</x:v>
      </x:c>
      <x:c r="T12" s="2" t="s">
        <x:v>93</x:v>
      </x:c>
      <x:c r="U12" s="2" t="s">
        <x:v>283</x:v>
      </x:c>
      <x:c r="V12" s="2" t="s">
        <x:v>284</x:v>
      </x:c>
      <x:c r="W12" s="2" t="s">
        <x:v>285</x:v>
      </x:c>
      <x:c r="X12" s="2" t="s">
        <x:v>97</x:v>
      </x:c>
      <x:c r="Y12" s="2" t="s">
        <x:v>286</x:v>
      </x:c>
      <x:c r="Z12" s="2" t="s">
        <x:v>287</x:v>
      </x:c>
      <x:c r="AA12" s="2" t="s">
        <x:v>288</x:v>
      </x:c>
      <x:c r="AB12" s="2" t="s">
        <x:v>289</x:v>
      </x:c>
      <x:c r="AC12" s="2" t="str">
        <x:v>已验收通过</x:v>
      </x:c>
      <x:c r="AD12" s="2" t="str">
        <x:v>用户批量复核确认</x:v>
      </x:c>
      <x:c r="AE12" s="123" t="n">
        <x:v>46220</x:v>
      </x:c>
      <x:c r="AF12" s="6" t="s">
        <x:v>290</x:v>
      </x:c>
    </x:row>
    <x:row r="13" ht="28" customHeight="1">
      <x:c r="A13" s="12" t="s">
        <x:v>291</x:v>
      </x:c>
      <x:c r="B13" s="2" t="s">
        <x:v>291</x:v>
      </x:c>
      <x:c r="C13" s="2" t="s">
        <x:v>77</x:v>
      </x:c>
      <x:c r="D13" s="2" t="s">
        <x:v>292</x:v>
      </x:c>
      <x:c r="E13" s="2" t="s">
        <x:v>293</x:v>
      </x:c>
      <x:c r="F13" s="2" t="s">
        <x:v>294</x:v>
      </x:c>
      <x:c r="G13" s="2" t="s">
        <x:v>295</x:v>
      </x:c>
      <x:c r="H13" s="2" t="s">
        <x:v>296</x:v>
      </x:c>
      <x:c r="I13" s="2" t="s">
        <x:v>297</x:v>
      </x:c>
      <x:c r="J13" s="2" t="s">
        <x:v>276</x:v>
      </x:c>
      <x:c r="K13" s="2" t="s">
        <x:v>144</x:v>
      </x:c>
      <x:c r="L13" s="2" t="s">
        <x:v>292</x:v>
      </x:c>
      <x:c r="M13" s="2" t="s">
        <x:v>298</x:v>
      </x:c>
      <x:c r="N13" s="2" t="s">
        <x:v>299</x:v>
      </x:c>
      <x:c r="O13" s="2" t="s">
        <x:v>256</x:v>
      </x:c>
      <x:c r="P13" s="2" t="s">
        <x:v>300</x:v>
      </x:c>
      <x:c r="Q13" s="2" t="s">
        <x:v>301</x:v>
      </x:c>
      <x:c r="R13" s="2" t="s">
        <x:v>302</x:v>
      </x:c>
      <x:c r="S13" s="2" t="s">
        <x:v>92</x:v>
      </x:c>
      <x:c r="T13" s="2" t="s">
        <x:v>93</x:v>
      </x:c>
      <x:c r="U13" s="2" t="s">
        <x:v>303</x:v>
      </x:c>
      <x:c r="V13" s="2" t="s">
        <x:v>304</x:v>
      </x:c>
      <x:c r="W13" s="2" t="s">
        <x:v>305</x:v>
      </x:c>
      <x:c r="X13" s="2" t="s">
        <x:v>306</x:v>
      </x:c>
      <x:c r="Y13" s="2" t="s">
        <x:v>307</x:v>
      </x:c>
      <x:c r="Z13" s="2" t="s">
        <x:v>308</x:v>
      </x:c>
      <x:c r="AA13" s="2" t="s">
        <x:v>309</x:v>
      </x:c>
      <x:c r="AB13" s="2" t="s">
        <x:v>310</x:v>
      </x:c>
      <x:c r="AC13" s="2" t="str">
        <x:v>已验收通过</x:v>
      </x:c>
      <x:c r="AD13" s="2" t="str">
        <x:v>用户批量复核确认</x:v>
      </x:c>
      <x:c r="AE13" s="123" t="n">
        <x:v>46220</x:v>
      </x:c>
      <x:c r="AF13" s="6" t="s">
        <x:v>311</x:v>
      </x:c>
    </x:row>
    <x:row r="14" ht="28" customHeight="1">
      <x:c r="A14" s="12" t="s">
        <x:v>312</x:v>
      </x:c>
      <x:c r="B14" s="2" t="s">
        <x:v>312</x:v>
      </x:c>
      <x:c r="C14" s="2" t="s">
        <x:v>77</x:v>
      </x:c>
      <x:c r="D14" s="2" t="s">
        <x:v>313</x:v>
      </x:c>
      <x:c r="E14" s="2" t="s">
        <x:v>314</x:v>
      </x:c>
      <x:c r="F14" s="2" t="s">
        <x:v>315</x:v>
      </x:c>
      <x:c r="G14" s="2" t="s">
        <x:v>316</x:v>
      </x:c>
      <x:c r="H14" s="2" t="s">
        <x:v>317</x:v>
      </x:c>
      <x:c r="I14" s="2" t="s">
        <x:v>318</x:v>
      </x:c>
      <x:c r="J14" s="2" t="s">
        <x:v>319</x:v>
      </x:c>
      <x:c r="K14" s="2" t="s">
        <x:v>320</x:v>
      </x:c>
      <x:c r="L14" s="2" t="s">
        <x:v>313</x:v>
      </x:c>
      <x:c r="M14" s="2" t="s">
        <x:v>321</x:v>
      </x:c>
      <x:c r="N14" s="2" t="s">
        <x:v>322</x:v>
      </x:c>
      <x:c r="O14" s="2" t="s">
        <x:v>256</x:v>
      </x:c>
      <x:c r="P14" s="2" t="s">
        <x:v>323</x:v>
      </x:c>
      <x:c r="Q14" s="2" t="s">
        <x:v>324</x:v>
      </x:c>
      <x:c r="R14" s="2" t="s">
        <x:v>325</x:v>
      </x:c>
      <x:c r="S14" s="2" t="s">
        <x:v>115</x:v>
      </x:c>
      <x:c r="T14" s="2" t="s">
        <x:v>116</x:v>
      </x:c>
      <x:c r="U14" s="2" t="s">
        <x:v>326</x:v>
      </x:c>
      <x:c r="V14" s="2" t="s">
        <x:v>327</x:v>
      </x:c>
      <x:c r="W14" s="2" t="s">
        <x:v>328</x:v>
      </x:c>
      <x:c r="X14" s="2" t="s">
        <x:v>329</x:v>
      </x:c>
      <x:c r="Y14" s="2" t="s">
        <x:v>330</x:v>
      </x:c>
      <x:c r="Z14" s="2" t="s">
        <x:v>331</x:v>
      </x:c>
      <x:c r="AA14" s="2" t="s">
        <x:v>332</x:v>
      </x:c>
      <x:c r="AB14" s="2" t="s">
        <x:v>333</x:v>
      </x:c>
      <x:c r="AC14" s="2" t="str">
        <x:v>已验收通过</x:v>
      </x:c>
      <x:c r="AD14" s="2" t="str">
        <x:v>用户批量复核确认</x:v>
      </x:c>
      <x:c r="AE14" s="123" t="n">
        <x:v>46220</x:v>
      </x:c>
      <x:c r="AF14" s="6" t="s">
        <x:v>334</x:v>
      </x:c>
    </x:row>
    <x:row r="15" ht="28" customHeight="1">
      <x:c r="A15" s="12" t="s">
        <x:v>335</x:v>
      </x:c>
      <x:c r="B15" s="2" t="s">
        <x:v>335</x:v>
      </x:c>
      <x:c r="C15" s="2" t="s">
        <x:v>336</x:v>
      </x:c>
      <x:c r="D15" s="2" t="s">
        <x:v>337</x:v>
      </x:c>
      <x:c r="E15" s="2" t="s">
        <x:v>338</x:v>
      </x:c>
      <x:c r="F15" s="2" t="s">
        <x:v>339</x:v>
      </x:c>
      <x:c r="G15" s="2" t="s">
        <x:v>340</x:v>
      </x:c>
      <x:c r="H15" s="2" t="s">
        <x:v>341</x:v>
      </x:c>
      <x:c r="I15" s="2" t="s">
        <x:v>342</x:v>
      </x:c>
      <x:c r="J15" s="2" t="s">
        <x:v>343</x:v>
      </x:c>
      <x:c r="K15" s="2" t="s">
        <x:v>344</x:v>
      </x:c>
      <x:c r="L15" s="2" t="s">
        <x:v>345</x:v>
      </x:c>
      <x:c r="M15" s="2" t="s">
        <x:v>97</x:v>
      </x:c>
      <x:c r="N15" s="2" t="s">
        <x:v>346</x:v>
      </x:c>
      <x:c r="O15" s="2" t="s">
        <x:v>97</x:v>
      </x:c>
      <x:c r="P15" s="2" t="s">
        <x:v>97</x:v>
      </x:c>
      <x:c r="Q15" s="2" t="s">
        <x:v>347</x:v>
      </x:c>
      <x:c r="R15" s="2" t="s">
        <x:v>348</x:v>
      </x:c>
      <x:c r="S15" s="2" t="s">
        <x:v>115</x:v>
      </x:c>
      <x:c r="T15" s="2" t="s">
        <x:v>349</x:v>
      </x:c>
      <x:c r="U15" s="2" t="s">
        <x:v>350</x:v>
      </x:c>
      <x:c r="V15" s="2" t="s">
        <x:v>351</x:v>
      </x:c>
      <x:c r="W15" s="2" t="s">
        <x:v>352</x:v>
      </x:c>
      <x:c r="X15" s="2" t="s">
        <x:v>353</x:v>
      </x:c>
      <x:c r="Y15" s="2" t="s">
        <x:v>354</x:v>
      </x:c>
      <x:c r="Z15" s="2" t="s">
        <x:v>355</x:v>
      </x:c>
      <x:c r="AA15" s="2" t="s">
        <x:v>356</x:v>
      </x:c>
      <x:c r="AB15" s="2" t="s">
        <x:v>357</x:v>
      </x:c>
      <x:c r="AC15" s="2" t="str">
        <x:v>已验收通过</x:v>
      </x:c>
      <x:c r="AD15" s="2" t="str">
        <x:v>用户批量复核确认</x:v>
      </x:c>
      <x:c r="AE15" s="123" t="n">
        <x:v>46220</x:v>
      </x:c>
      <x:c r="AF15" s="6" t="s">
        <x:v>358</x:v>
      </x:c>
    </x:row>
    <x:row r="16" ht="28" customHeight="1">
      <x:c r="A16" s="12" t="s">
        <x:v>359</x:v>
      </x:c>
      <x:c r="B16" s="2" t="s">
        <x:v>335</x:v>
      </x:c>
      <x:c r="C16" s="2" t="s">
        <x:v>360</x:v>
      </x:c>
      <x:c r="D16" s="2" t="s">
        <x:v>361</x:v>
      </x:c>
      <x:c r="E16" s="2" t="s">
        <x:v>362</x:v>
      </x:c>
      <x:c r="F16" s="2" t="s">
        <x:v>363</x:v>
      </x:c>
      <x:c r="G16" s="2" t="s">
        <x:v>340</x:v>
      </x:c>
      <x:c r="H16" s="2" t="s">
        <x:v>341</x:v>
      </x:c>
      <x:c r="I16" s="2" t="s">
        <x:v>364</x:v>
      </x:c>
      <x:c r="J16" s="2" t="s">
        <x:v>365</x:v>
      </x:c>
      <x:c r="K16" s="2" t="s">
        <x:v>366</x:v>
      </x:c>
      <x:c r="L16" s="2" t="s">
        <x:v>367</x:v>
      </x:c>
      <x:c r="M16" s="2" t="s">
        <x:v>97</x:v>
      </x:c>
      <x:c r="N16" s="2" t="s">
        <x:v>368</x:v>
      </x:c>
      <x:c r="O16" s="2" t="s">
        <x:v>369</x:v>
      </x:c>
      <x:c r="P16" s="2" t="s">
        <x:v>97</x:v>
      </x:c>
      <x:c r="Q16" s="2" t="s">
        <x:v>370</x:v>
      </x:c>
      <x:c r="R16" s="2" t="s">
        <x:v>371</x:v>
      </x:c>
      <x:c r="S16" s="2" t="s">
        <x:v>92</x:v>
      </x:c>
      <x:c r="T16" s="2" t="s">
        <x:v>93</x:v>
      </x:c>
      <x:c r="U16" s="2" t="s">
        <x:v>372</x:v>
      </x:c>
      <x:c r="V16" s="2" t="s">
        <x:v>373</x:v>
      </x:c>
      <x:c r="W16" s="2" t="s">
        <x:v>374</x:v>
      </x:c>
      <x:c r="X16" s="2" t="s">
        <x:v>375</x:v>
      </x:c>
      <x:c r="Y16" s="2" t="s">
        <x:v>376</x:v>
      </x:c>
      <x:c r="Z16" s="2" t="s">
        <x:v>377</x:v>
      </x:c>
      <x:c r="AA16" s="2" t="s">
        <x:v>378</x:v>
      </x:c>
      <x:c r="AB16" s="2" t="s">
        <x:v>379</x:v>
      </x:c>
      <x:c r="AC16" s="2" t="str">
        <x:v>已验收通过</x:v>
      </x:c>
      <x:c r="AD16" s="2" t="str">
        <x:v>用户批量复核确认</x:v>
      </x:c>
      <x:c r="AE16" s="123" t="n">
        <x:v>46220</x:v>
      </x:c>
      <x:c r="AF16" s="6" t="s">
        <x:v>380</x:v>
      </x:c>
    </x:row>
    <x:row r="17" ht="28" customHeight="1">
      <x:c r="A17" s="12" t="s">
        <x:v>381</x:v>
      </x:c>
      <x:c r="B17" s="2" t="s">
        <x:v>335</x:v>
      </x:c>
      <x:c r="C17" s="2" t="s">
        <x:v>360</x:v>
      </x:c>
      <x:c r="D17" s="2" t="s">
        <x:v>361</x:v>
      </x:c>
      <x:c r="E17" s="2" t="s">
        <x:v>382</x:v>
      </x:c>
      <x:c r="F17" s="2" t="s">
        <x:v>383</x:v>
      </x:c>
      <x:c r="G17" s="2" t="s">
        <x:v>340</x:v>
      </x:c>
      <x:c r="H17" s="2" t="s">
        <x:v>341</x:v>
      </x:c>
      <x:c r="I17" s="2" t="s">
        <x:v>384</x:v>
      </x:c>
      <x:c r="J17" s="2" t="s">
        <x:v>385</x:v>
      </x:c>
      <x:c r="K17" s="2" t="s">
        <x:v>386</x:v>
      </x:c>
      <x:c r="L17" s="2" t="s">
        <x:v>367</x:v>
      </x:c>
      <x:c r="M17" s="2" t="s">
        <x:v>97</x:v>
      </x:c>
      <x:c r="N17" s="2" t="s">
        <x:v>387</x:v>
      </x:c>
      <x:c r="O17" s="2" t="s">
        <x:v>388</x:v>
      </x:c>
      <x:c r="P17" s="2" t="s">
        <x:v>97</x:v>
      </x:c>
      <x:c r="Q17" s="2" t="s">
        <x:v>389</x:v>
      </x:c>
      <x:c r="R17" s="2" t="s">
        <x:v>390</x:v>
      </x:c>
      <x:c r="S17" s="2" t="s">
        <x:v>92</x:v>
      </x:c>
      <x:c r="T17" s="2" t="s">
        <x:v>93</x:v>
      </x:c>
      <x:c r="U17" s="2" t="s">
        <x:v>391</x:v>
      </x:c>
      <x:c r="V17" s="2" t="s">
        <x:v>392</x:v>
      </x:c>
      <x:c r="W17" s="2" t="s">
        <x:v>393</x:v>
      </x:c>
      <x:c r="X17" s="2" t="s">
        <x:v>394</x:v>
      </x:c>
      <x:c r="Y17" s="2" t="s">
        <x:v>395</x:v>
      </x:c>
      <x:c r="Z17" s="2" t="s">
        <x:v>396</x:v>
      </x:c>
      <x:c r="AA17" s="2" t="s">
        <x:v>397</x:v>
      </x:c>
      <x:c r="AB17" s="2" t="s">
        <x:v>398</x:v>
      </x:c>
      <x:c r="AC17" s="2" t="str">
        <x:v>已验收通过</x:v>
      </x:c>
      <x:c r="AD17" s="2" t="str">
        <x:v>用户批量复核确认</x:v>
      </x:c>
      <x:c r="AE17" s="123" t="n">
        <x:v>46220</x:v>
      </x:c>
      <x:c r="AF17" s="6" t="s">
        <x:v>399</x:v>
      </x:c>
    </x:row>
    <x:row r="18" ht="28" customHeight="1">
      <x:c r="A18" s="12" t="s">
        <x:v>400</x:v>
      </x:c>
      <x:c r="B18" s="2" t="s">
        <x:v>335</x:v>
      </x:c>
      <x:c r="C18" s="2" t="s">
        <x:v>360</x:v>
      </x:c>
      <x:c r="D18" s="2" t="s">
        <x:v>401</x:v>
      </x:c>
      <x:c r="E18" s="2" t="s">
        <x:v>402</x:v>
      </x:c>
      <x:c r="F18" s="2" t="s">
        <x:v>403</x:v>
      </x:c>
      <x:c r="G18" s="2" t="s">
        <x:v>340</x:v>
      </x:c>
      <x:c r="H18" s="2" t="s">
        <x:v>341</x:v>
      </x:c>
      <x:c r="I18" s="2" t="s">
        <x:v>404</x:v>
      </x:c>
      <x:c r="J18" s="2" t="s">
        <x:v>405</x:v>
      </x:c>
      <x:c r="K18" s="2" t="s">
        <x:v>366</x:v>
      </x:c>
      <x:c r="L18" s="2" t="s">
        <x:v>406</x:v>
      </x:c>
      <x:c r="M18" s="2" t="s">
        <x:v>97</x:v>
      </x:c>
      <x:c r="N18" s="2" t="s">
        <x:v>407</x:v>
      </x:c>
      <x:c r="O18" s="2" t="s">
        <x:v>408</x:v>
      </x:c>
      <x:c r="P18" s="2" t="s">
        <x:v>97</x:v>
      </x:c>
      <x:c r="Q18" s="2" t="s">
        <x:v>409</x:v>
      </x:c>
      <x:c r="R18" s="2" t="s">
        <x:v>410</x:v>
      </x:c>
      <x:c r="S18" s="2" t="s">
        <x:v>92</x:v>
      </x:c>
      <x:c r="T18" s="2" t="s">
        <x:v>93</x:v>
      </x:c>
      <x:c r="U18" s="2" t="s">
        <x:v>411</x:v>
      </x:c>
      <x:c r="V18" s="2" t="s">
        <x:v>373</x:v>
      </x:c>
      <x:c r="W18" s="2" t="s">
        <x:v>412</x:v>
      </x:c>
      <x:c r="X18" s="2" t="s">
        <x:v>413</x:v>
      </x:c>
      <x:c r="Y18" s="2" t="s">
        <x:v>414</x:v>
      </x:c>
      <x:c r="Z18" s="2" t="s">
        <x:v>415</x:v>
      </x:c>
      <x:c r="AA18" s="2" t="s">
        <x:v>416</x:v>
      </x:c>
      <x:c r="AB18" s="2" t="s">
        <x:v>417</x:v>
      </x:c>
      <x:c r="AC18" s="2" t="str">
        <x:v>已验收通过</x:v>
      </x:c>
      <x:c r="AD18" s="2" t="str">
        <x:v>用户批量复核确认</x:v>
      </x:c>
      <x:c r="AE18" s="123" t="n">
        <x:v>46220</x:v>
      </x:c>
      <x:c r="AF18" s="6" t="s">
        <x:v>418</x:v>
      </x:c>
    </x:row>
    <x:row r="19" ht="28" customHeight="1">
      <x:c r="A19" s="12" t="s">
        <x:v>419</x:v>
      </x:c>
      <x:c r="B19" s="2" t="s">
        <x:v>335</x:v>
      </x:c>
      <x:c r="C19" s="2" t="s">
        <x:v>360</x:v>
      </x:c>
      <x:c r="D19" s="2" t="s">
        <x:v>420</x:v>
      </x:c>
      <x:c r="E19" s="2" t="s">
        <x:v>421</x:v>
      </x:c>
      <x:c r="F19" s="2" t="s">
        <x:v>422</x:v>
      </x:c>
      <x:c r="G19" s="2" t="s">
        <x:v>340</x:v>
      </x:c>
      <x:c r="H19" s="2" t="s">
        <x:v>341</x:v>
      </x:c>
      <x:c r="I19" s="2" t="s">
        <x:v>423</x:v>
      </x:c>
      <x:c r="J19" s="2" t="s">
        <x:v>404</x:v>
      </x:c>
      <x:c r="K19" s="2" t="s">
        <x:v>424</x:v>
      </x:c>
      <x:c r="L19" s="2" t="s">
        <x:v>292</x:v>
      </x:c>
      <x:c r="M19" s="2" t="s">
        <x:v>97</x:v>
      </x:c>
      <x:c r="N19" s="2" t="s">
        <x:v>425</x:v>
      </x:c>
      <x:c r="O19" s="2" t="s">
        <x:v>97</x:v>
      </x:c>
      <x:c r="P19" s="2" t="s">
        <x:v>97</x:v>
      </x:c>
      <x:c r="Q19" s="2" t="s">
        <x:v>426</x:v>
      </x:c>
      <x:c r="R19" s="2" t="s">
        <x:v>427</x:v>
      </x:c>
      <x:c r="S19" s="2" t="s">
        <x:v>92</x:v>
      </x:c>
      <x:c r="T19" s="2" t="s">
        <x:v>93</x:v>
      </x:c>
      <x:c r="U19" s="2" t="s">
        <x:v>428</x:v>
      </x:c>
      <x:c r="V19" s="2" t="s">
        <x:v>373</x:v>
      </x:c>
      <x:c r="W19" s="2" t="s">
        <x:v>429</x:v>
      </x:c>
      <x:c r="X19" s="2" t="s">
        <x:v>430</x:v>
      </x:c>
      <x:c r="Y19" s="2" t="s">
        <x:v>431</x:v>
      </x:c>
      <x:c r="Z19" s="2" t="s">
        <x:v>432</x:v>
      </x:c>
      <x:c r="AA19" s="2" t="s">
        <x:v>433</x:v>
      </x:c>
      <x:c r="AB19" s="2" t="s">
        <x:v>434</x:v>
      </x:c>
      <x:c r="AC19" s="2" t="str">
        <x:v>已验收通过</x:v>
      </x:c>
      <x:c r="AD19" s="2" t="str">
        <x:v>用户批量复核确认</x:v>
      </x:c>
      <x:c r="AE19" s="123" t="n">
        <x:v>46220</x:v>
      </x:c>
      <x:c r="AF19" s="6" t="s">
        <x:v>435</x:v>
      </x:c>
    </x:row>
    <x:row r="20" ht="28" customHeight="1">
      <x:c r="A20" s="13" t="s">
        <x:v>436</x:v>
      </x:c>
      <x:c r="B20" s="19" t="s">
        <x:v>335</x:v>
      </x:c>
      <x:c r="C20" s="19" t="s">
        <x:v>360</x:v>
      </x:c>
      <x:c r="D20" s="19" t="s">
        <x:v>437</x:v>
      </x:c>
      <x:c r="E20" s="19" t="s">
        <x:v>438</x:v>
      </x:c>
      <x:c r="F20" s="19" t="s">
        <x:v>439</x:v>
      </x:c>
      <x:c r="G20" s="19" t="s">
        <x:v>340</x:v>
      </x:c>
      <x:c r="H20" s="19" t="s">
        <x:v>341</x:v>
      </x:c>
      <x:c r="I20" s="19" t="s">
        <x:v>440</x:v>
      </x:c>
      <x:c r="J20" s="19" t="s">
        <x:v>441</x:v>
      </x:c>
      <x:c r="K20" s="19" t="s">
        <x:v>424</x:v>
      </x:c>
      <x:c r="L20" s="19" t="s">
        <x:v>313</x:v>
      </x:c>
      <x:c r="M20" s="19" t="s">
        <x:v>97</x:v>
      </x:c>
      <x:c r="N20" s="19" t="s">
        <x:v>442</x:v>
      </x:c>
      <x:c r="O20" s="19" t="s">
        <x:v>97</x:v>
      </x:c>
      <x:c r="P20" s="19" t="s">
        <x:v>97</x:v>
      </x:c>
      <x:c r="Q20" s="19" t="s">
        <x:v>426</x:v>
      </x:c>
      <x:c r="R20" s="19" t="s">
        <x:v>443</x:v>
      </x:c>
      <x:c r="S20" s="19" t="s">
        <x:v>92</x:v>
      </x:c>
      <x:c r="T20" s="19" t="s">
        <x:v>93</x:v>
      </x:c>
      <x:c r="U20" s="19" t="s">
        <x:v>444</x:v>
      </x:c>
      <x:c r="V20" s="19" t="s">
        <x:v>373</x:v>
      </x:c>
      <x:c r="W20" s="19" t="s">
        <x:v>429</x:v>
      </x:c>
      <x:c r="X20" s="19" t="s">
        <x:v>445</x:v>
      </x:c>
      <x:c r="Y20" s="19" t="s">
        <x:v>446</x:v>
      </x:c>
      <x:c r="Z20" s="19" t="s">
        <x:v>447</x:v>
      </x:c>
      <x:c r="AA20" s="19" t="s">
        <x:v>448</x:v>
      </x:c>
      <x:c r="AB20" s="19" t="s">
        <x:v>449</x:v>
      </x:c>
      <x:c r="AC20" s="19" t="str">
        <x:v>已验收通过</x:v>
      </x:c>
      <x:c r="AD20" s="19" t="str">
        <x:v>用户批量复核确认</x:v>
      </x:c>
      <x:c r="AE20" s="125" t="n">
        <x:v>46220</x:v>
      </x:c>
      <x:c r="AF20" s="8" t="s">
        <x:v>450</x:v>
      </x:c>
    </x:row>
    <x:row r="21">
      <x:c r="A21" s="2" t="s">
        <x:v>451</x:v>
      </x:c>
      <x:c r="B21" t="s">
        <x:v>104</x:v>
      </x:c>
      <x:c r="C21" t="s">
        <x:v>452</x:v>
      </x:c>
      <x:c r="D21" t="s">
        <x:v>105</x:v>
      </x:c>
      <x:c r="E21" t="s">
        <x:v>106</x:v>
      </x:c>
      <x:c r="F21" t="s">
        <x:v>453</x:v>
      </x:c>
      <x:c r="G21" t="s">
        <x:v>108</x:v>
      </x:c>
      <x:c r="H21" t="s">
        <x:v>109</x:v>
      </x:c>
      <x:c r="I21" t="s">
        <x:v>110</x:v>
      </x:c>
      <x:c r="J21" t="s">
        <x:v>111</x:v>
      </x:c>
      <x:c r="K21" t="s">
        <x:v>129</x:v>
      </x:c>
      <x:c r="L21" t="s">
        <x:v>105</x:v>
      </x:c>
      <x:c r="M21" t="s">
        <x:v>87</x:v>
      </x:c>
      <x:c r="N21" t="s">
        <x:v>87</x:v>
      </x:c>
      <x:c r="O21" t="s">
        <x:v>97</x:v>
      </x:c>
      <x:c r="P21" t="s">
        <x:v>87</x:v>
      </x:c>
      <x:c r="Q21" t="s">
        <x:v>454</x:v>
      </x:c>
      <x:c r="R21" t="s">
        <x:v>455</x:v>
      </x:c>
      <x:c r="S21" t="s">
        <x:v>92</x:v>
      </x:c>
      <x:c r="T21" t="s">
        <x:v>93</x:v>
      </x:c>
      <x:c r="U21" t="s">
        <x:v>456</x:v>
      </x:c>
      <x:c r="V21" t="s">
        <x:v>457</x:v>
      </x:c>
      <x:c r="W21" t="s">
        <x:v>458</x:v>
      </x:c>
      <x:c r="X21" t="s">
        <x:v>97</x:v>
      </x:c>
      <x:c r="Y21" t="s">
        <x:v>459</x:v>
      </x:c>
      <x:c r="Z21" t="s">
        <x:v>460</x:v>
      </x:c>
      <x:c r="AA21" t="s">
        <x:v>461</x:v>
      </x:c>
      <x:c r="AB21" t="s">
        <x:v>462</x:v>
      </x:c>
      <x:c r="AC21" t="s">
        <x:v>13</x:v>
      </x:c>
      <x:c r="AD21" t="s">
        <x:v>102</x:v>
      </x:c>
      <x:c r="AE21" s="32">
        <x:v>46219</x:v>
      </x:c>
      <x:c r="AF21" t="s">
        <x:v>463</x:v>
      </x:c>
    </x:row>
    <x:row r="22">
      <x:c r="A22" s="2" t="s">
        <x:v>464</x:v>
      </x:c>
      <x:c r="B22" t="s">
        <x:v>104</x:v>
      </x:c>
      <x:c r="C22" t="s">
        <x:v>452</x:v>
      </x:c>
      <x:c r="D22" t="s">
        <x:v>105</x:v>
      </x:c>
      <x:c r="E22" t="s">
        <x:v>106</x:v>
      </x:c>
      <x:c r="F22" t="s">
        <x:v>465</x:v>
      </x:c>
      <x:c r="G22" t="s">
        <x:v>108</x:v>
      </x:c>
      <x:c r="H22" t="s">
        <x:v>109</x:v>
      </x:c>
      <x:c r="I22" t="s">
        <x:v>110</x:v>
      </x:c>
      <x:c r="J22" t="s">
        <x:v>111</x:v>
      </x:c>
      <x:c r="K22" t="s">
        <x:v>144</x:v>
      </x:c>
      <x:c r="L22" t="s">
        <x:v>105</x:v>
      </x:c>
      <x:c r="M22" t="s">
        <x:v>87</x:v>
      </x:c>
      <x:c r="N22" t="s">
        <x:v>87</x:v>
      </x:c>
      <x:c r="O22" t="s">
        <x:v>87</x:v>
      </x:c>
      <x:c r="P22" t="s">
        <x:v>87</x:v>
      </x:c>
      <x:c r="Q22" t="s">
        <x:v>454</x:v>
      </x:c>
      <x:c r="R22" t="s">
        <x:v>466</x:v>
      </x:c>
      <x:c r="S22" t="s">
        <x:v>92</x:v>
      </x:c>
      <x:c r="T22" t="s">
        <x:v>93</x:v>
      </x:c>
      <x:c r="U22" t="s">
        <x:v>467</x:v>
      </x:c>
      <x:c r="V22" t="s">
        <x:v>468</x:v>
      </x:c>
      <x:c r="W22" t="s">
        <x:v>469</x:v>
      </x:c>
      <x:c r="X22" t="s">
        <x:v>97</x:v>
      </x:c>
      <x:c r="Y22" t="s">
        <x:v>470</x:v>
      </x:c>
      <x:c r="Z22" t="s">
        <x:v>471</x:v>
      </x:c>
      <x:c r="AA22" t="s">
        <x:v>472</x:v>
      </x:c>
      <x:c r="AB22" t="s">
        <x:v>473</x:v>
      </x:c>
      <x:c r="AC22" t="s">
        <x:v>13</x:v>
      </x:c>
      <x:c r="AD22" t="s">
        <x:v>102</x:v>
      </x:c>
      <x:c r="AE22" s="32">
        <x:v>46219</x:v>
      </x:c>
      <x:c r="AF22" t="s">
        <x:v>463</x:v>
      </x:c>
    </x:row>
    <x:row r="23">
      <x:c r="A23" s="2" t="s">
        <x:v>474</x:v>
      </x:c>
      <x:c r="B23" t="s">
        <x:v>245</x:v>
      </x:c>
      <x:c r="C23" t="s">
        <x:v>452</x:v>
      </x:c>
      <x:c r="D23" t="s">
        <x:v>246</x:v>
      </x:c>
      <x:c r="E23" t="s">
        <x:v>247</x:v>
      </x:c>
      <x:c r="F23" t="s">
        <x:v>475</x:v>
      </x:c>
      <x:c r="G23" t="s">
        <x:v>249</x:v>
      </x:c>
      <x:c r="H23" t="s">
        <x:v>476</x:v>
      </x:c>
      <x:c r="I23" t="s">
        <x:v>251</x:v>
      </x:c>
      <x:c r="J23" t="s">
        <x:v>252</x:v>
      </x:c>
      <x:c r="K23" t="s">
        <x:v>144</x:v>
      </x:c>
      <x:c r="L23" t="s">
        <x:v>246</x:v>
      </x:c>
      <x:c r="M23" t="s">
        <x:v>254</x:v>
      </x:c>
      <x:c r="N23" t="s">
        <x:v>255</x:v>
      </x:c>
      <x:c r="O23" t="s">
        <x:v>256</x:v>
      </x:c>
      <x:c r="P23" t="s">
        <x:v>257</x:v>
      </x:c>
      <x:c r="Q23" t="s">
        <x:v>477</x:v>
      </x:c>
      <x:c r="R23" t="s">
        <x:v>478</x:v>
      </x:c>
      <x:c r="S23" t="s">
        <x:v>92</x:v>
      </x:c>
      <x:c r="T23" t="s">
        <x:v>93</x:v>
      </x:c>
      <x:c r="U23" t="s">
        <x:v>479</x:v>
      </x:c>
      <x:c r="V23" t="s">
        <x:v>480</x:v>
      </x:c>
      <x:c r="W23" t="s">
        <x:v>481</x:v>
      </x:c>
      <x:c r="X23" t="s">
        <x:v>264</x:v>
      </x:c>
      <x:c r="Y23" t="s">
        <x:v>482</x:v>
      </x:c>
      <x:c r="Z23" t="s">
        <x:v>483</x:v>
      </x:c>
      <x:c r="AA23" t="s">
        <x:v>484</x:v>
      </x:c>
      <x:c r="AB23" t="s">
        <x:v>485</x:v>
      </x:c>
      <x:c r="AC23" t="str">
        <x:v>已验收通过</x:v>
      </x:c>
      <x:c r="AD23" t="str">
        <x:v>用户批量复核确认</x:v>
      </x:c>
      <x:c r="AE23" s="127" t="n">
        <x:v>46220</x:v>
      </x:c>
      <x:c r="AF23" t="s">
        <x:v>269</x:v>
      </x:c>
    </x:row>
    <x:row r="24">
      <x:c r="A24" s="2" t="s">
        <x:v>486</x:v>
      </x:c>
      <x:c r="B24" t="s">
        <x:v>245</x:v>
      </x:c>
      <x:c r="C24" t="s">
        <x:v>452</x:v>
      </x:c>
      <x:c r="D24" t="s">
        <x:v>406</x:v>
      </x:c>
      <x:c r="E24" t="s">
        <x:v>247</x:v>
      </x:c>
      <x:c r="F24" t="s">
        <x:v>487</x:v>
      </x:c>
      <x:c r="G24" t="s">
        <x:v>249</x:v>
      </x:c>
      <x:c r="H24" t="s">
        <x:v>476</x:v>
      </x:c>
      <x:c r="I24" t="s">
        <x:v>488</x:v>
      </x:c>
      <x:c r="J24" t="s">
        <x:v>489</x:v>
      </x:c>
      <x:c r="K24" t="s">
        <x:v>490</x:v>
      </x:c>
      <x:c r="L24" t="s">
        <x:v>406</x:v>
      </x:c>
      <x:c r="M24" t="s">
        <x:v>254</x:v>
      </x:c>
      <x:c r="N24" t="s">
        <x:v>491</x:v>
      </x:c>
      <x:c r="O24" t="s">
        <x:v>256</x:v>
      </x:c>
      <x:c r="P24" t="s">
        <x:v>492</x:v>
      </x:c>
      <x:c r="Q24" t="s">
        <x:v>493</x:v>
      </x:c>
      <x:c r="R24" t="s">
        <x:v>494</x:v>
      </x:c>
      <x:c r="S24" t="s">
        <x:v>92</x:v>
      </x:c>
      <x:c r="T24" t="s">
        <x:v>93</x:v>
      </x:c>
      <x:c r="U24" t="s">
        <x:v>495</x:v>
      </x:c>
      <x:c r="V24" t="s">
        <x:v>496</x:v>
      </x:c>
      <x:c r="W24" t="s">
        <x:v>497</x:v>
      </x:c>
      <x:c r="X24" t="s">
        <x:v>97</x:v>
      </x:c>
      <x:c r="Y24" t="s">
        <x:v>498</x:v>
      </x:c>
      <x:c r="Z24" t="s">
        <x:v>499</x:v>
      </x:c>
      <x:c r="AA24" t="s">
        <x:v>500</x:v>
      </x:c>
      <x:c r="AB24" t="s">
        <x:v>501</x:v>
      </x:c>
      <x:c r="AC24" t="str">
        <x:v>已验收通过</x:v>
      </x:c>
      <x:c r="AD24" t="str">
        <x:v>用户批量复核确认</x:v>
      </x:c>
      <x:c r="AE24" s="127" t="n">
        <x:v>46220</x:v>
      </x:c>
      <x:c r="AF24" t="s">
        <x:v>502</x:v>
      </x:c>
    </x:row>
    <x:row r="25">
      <x:c r="A25" s="2" t="s">
        <x:v>503</x:v>
      </x:c>
      <x:c r="B25" t="s">
        <x:v>245</x:v>
      </x:c>
      <x:c r="C25" t="s">
        <x:v>452</x:v>
      </x:c>
      <x:c r="D25" t="s">
        <x:v>406</x:v>
      </x:c>
      <x:c r="E25" t="s">
        <x:v>247</x:v>
      </x:c>
      <x:c r="F25" t="s">
        <x:v>504</x:v>
      </x:c>
      <x:c r="G25" t="s">
        <x:v>249</x:v>
      </x:c>
      <x:c r="H25" t="s">
        <x:v>476</x:v>
      </x:c>
      <x:c r="I25" t="s">
        <x:v>251</x:v>
      </x:c>
      <x:c r="J25" t="s">
        <x:v>252</x:v>
      </x:c>
      <x:c r="K25" t="s">
        <x:v>129</x:v>
      </x:c>
      <x:c r="L25" t="s">
        <x:v>406</x:v>
      </x:c>
      <x:c r="M25" t="s">
        <x:v>254</x:v>
      </x:c>
      <x:c r="N25" t="s">
        <x:v>255</x:v>
      </x:c>
      <x:c r="O25" t="s">
        <x:v>505</x:v>
      </x:c>
      <x:c r="P25" t="s">
        <x:v>233</x:v>
      </x:c>
      <x:c r="Q25" t="s">
        <x:v>506</x:v>
      </x:c>
      <x:c r="R25" t="s">
        <x:v>507</x:v>
      </x:c>
      <x:c r="S25" t="s">
        <x:v>92</x:v>
      </x:c>
      <x:c r="T25" t="s">
        <x:v>93</x:v>
      </x:c>
      <x:c r="U25" t="s">
        <x:v>508</x:v>
      </x:c>
      <x:c r="V25" t="s">
        <x:v>509</x:v>
      </x:c>
      <x:c r="W25" t="s">
        <x:v>510</x:v>
      </x:c>
      <x:c r="X25" t="s">
        <x:v>264</x:v>
      </x:c>
      <x:c r="Y25" t="s">
        <x:v>511</x:v>
      </x:c>
      <x:c r="Z25" t="s">
        <x:v>512</x:v>
      </x:c>
      <x:c r="AA25" t="s">
        <x:v>513</x:v>
      </x:c>
      <x:c r="AB25" t="s">
        <x:v>514</x:v>
      </x:c>
      <x:c r="AC25" t="str">
        <x:v>已验收通过</x:v>
      </x:c>
      <x:c r="AD25" t="str">
        <x:v>用户批量复核确认</x:v>
      </x:c>
      <x:c r="AE25" s="127" t="n">
        <x:v>46220</x:v>
      </x:c>
      <x:c r="AF25" t="s">
        <x:v>269</x:v>
      </x:c>
    </x:row>
    <x:row r="26">
      <x:c r="A26" s="2" t="s">
        <x:v>515</x:v>
      </x:c>
      <x:c r="B26" t="s">
        <x:v>312</x:v>
      </x:c>
      <x:c r="C26" t="s">
        <x:v>452</x:v>
      </x:c>
      <x:c r="D26" t="s">
        <x:v>313</x:v>
      </x:c>
      <x:c r="E26" t="s">
        <x:v>314</x:v>
      </x:c>
      <x:c r="F26" t="s">
        <x:v>516</x:v>
      </x:c>
      <x:c r="G26" t="s">
        <x:v>316</x:v>
      </x:c>
      <x:c r="H26" t="s">
        <x:v>517</x:v>
      </x:c>
      <x:c r="I26" t="s">
        <x:v>318</x:v>
      </x:c>
      <x:c r="J26" t="s">
        <x:v>319</x:v>
      </x:c>
      <x:c r="K26" t="s">
        <x:v>144</x:v>
      </x:c>
      <x:c r="L26" t="s">
        <x:v>313</x:v>
      </x:c>
      <x:c r="M26" t="s">
        <x:v>321</x:v>
      </x:c>
      <x:c r="N26" t="s">
        <x:v>518</x:v>
      </x:c>
      <x:c r="O26" t="s">
        <x:v>256</x:v>
      </x:c>
      <x:c r="P26" t="s">
        <x:v>323</x:v>
      </x:c>
      <x:c r="Q26" t="s">
        <x:v>519</x:v>
      </x:c>
      <x:c r="R26" t="s">
        <x:v>520</x:v>
      </x:c>
      <x:c r="S26" t="s">
        <x:v>92</x:v>
      </x:c>
      <x:c r="T26" t="s">
        <x:v>93</x:v>
      </x:c>
      <x:c r="U26" t="s">
        <x:v>521</x:v>
      </x:c>
      <x:c r="V26" t="s">
        <x:v>522</x:v>
      </x:c>
      <x:c r="W26" t="s">
        <x:v>523</x:v>
      </x:c>
      <x:c r="X26" t="s">
        <x:v>524</x:v>
      </x:c>
      <x:c r="Y26" t="s">
        <x:v>525</x:v>
      </x:c>
      <x:c r="Z26" t="s">
        <x:v>526</x:v>
      </x:c>
      <x:c r="AA26" t="s">
        <x:v>527</x:v>
      </x:c>
      <x:c r="AB26" t="s">
        <x:v>528</x:v>
      </x:c>
      <x:c r="AC26" t="str">
        <x:v>已验收通过</x:v>
      </x:c>
      <x:c r="AD26" t="str">
        <x:v>用户批量复核确认</x:v>
      </x:c>
      <x:c r="AE26" s="127" t="n">
        <x:v>46220</x:v>
      </x:c>
      <x:c r="AF26" t="s">
        <x:v>334</x:v>
      </x:c>
    </x:row>
    <x:row r="27">
      <x:c r="A27" s="2" t="s">
        <x:v>529</x:v>
      </x:c>
      <x:c r="B27" t="s">
        <x:v>312</x:v>
      </x:c>
      <x:c r="C27" t="s">
        <x:v>452</x:v>
      </x:c>
      <x:c r="D27" t="s">
        <x:v>313</x:v>
      </x:c>
      <x:c r="E27" t="s">
        <x:v>314</x:v>
      </x:c>
      <x:c r="F27" t="s">
        <x:v>530</x:v>
      </x:c>
      <x:c r="G27" t="s">
        <x:v>316</x:v>
      </x:c>
      <x:c r="H27" t="s">
        <x:v>517</x:v>
      </x:c>
      <x:c r="I27" t="s">
        <x:v>365</x:v>
      </x:c>
      <x:c r="J27" t="s">
        <x:v>531</x:v>
      </x:c>
      <x:c r="K27" t="s">
        <x:v>129</x:v>
      </x:c>
      <x:c r="L27" t="s">
        <x:v>313</x:v>
      </x:c>
      <x:c r="M27" t="s">
        <x:v>87</x:v>
      </x:c>
      <x:c r="N27" t="s">
        <x:v>532</x:v>
      </x:c>
      <x:c r="O27" t="s">
        <x:v>505</x:v>
      </x:c>
      <x:c r="P27" t="s">
        <x:v>233</x:v>
      </x:c>
      <x:c r="Q27" t="s">
        <x:v>533</x:v>
      </x:c>
      <x:c r="R27" t="s">
        <x:v>534</x:v>
      </x:c>
      <x:c r="S27" t="s">
        <x:v>92</x:v>
      </x:c>
      <x:c r="T27" t="s">
        <x:v>93</x:v>
      </x:c>
      <x:c r="U27" t="s">
        <x:v>535</x:v>
      </x:c>
      <x:c r="V27" t="s">
        <x:v>536</x:v>
      </x:c>
      <x:c r="W27" t="s">
        <x:v>537</x:v>
      </x:c>
      <x:c r="X27" t="s">
        <x:v>97</x:v>
      </x:c>
      <x:c r="Y27" t="s">
        <x:v>538</x:v>
      </x:c>
      <x:c r="Z27" t="s">
        <x:v>539</x:v>
      </x:c>
      <x:c r="AA27" t="s">
        <x:v>540</x:v>
      </x:c>
      <x:c r="AB27" t="s">
        <x:v>541</x:v>
      </x:c>
      <x:c r="AC27" t="str">
        <x:v>已验收通过</x:v>
      </x:c>
      <x:c r="AD27" t="str">
        <x:v>用户批量复核确认</x:v>
      </x:c>
      <x:c r="AE27" s="127" t="n">
        <x:v>46220</x:v>
      </x:c>
      <x:c r="AF27" t="s">
        <x:v>542</x:v>
      </x:c>
    </x:row>
    <x:row r="28">
      <x:c r="A28" s="2"/>
    </x:row>
    <x:row r="29">
      <x:c r="A29" s="2"/>
    </x:row>
    <x:row r="30">
      <x:c r="A30" s="2"/>
    </x:row>
    <x:row r="31">
      <x:c r="A31" s="2"/>
    </x:row>
    <x:row r="32">
      <x:c r="A32" s="2"/>
    </x:row>
    <x:row r="33">
      <x:c r="A33" s="2"/>
    </x:row>
    <x:row r="34">
      <x:c r="A34" s="2"/>
    </x:row>
    <x:row r="35">
      <x:c r="A35" s="2"/>
    </x:row>
    <x:row r="36">
      <x:c r="A36" s="2"/>
    </x:row>
    <x:row r="37">
      <x:c r="A37" s="2"/>
    </x:row>
    <x:row r="38">
      <x:c r="A38" s="2"/>
    </x:row>
    <x:row r="39">
      <x:c r="A39" s="2"/>
    </x:row>
    <x:row r="40">
      <x:c r="A40" s="2"/>
    </x:row>
    <x:row r="41">
      <x:c r="A41" s="2"/>
    </x:row>
    <x:row r="42">
      <x:c r="A42" s="2"/>
    </x:row>
    <x:row r="43">
      <x:c r="A43" s="2"/>
    </x:row>
    <x:row r="44">
      <x:c r="A44" s="2"/>
    </x:row>
    <x:row r="45">
      <x:c r="A45" s="2"/>
    </x:row>
    <x:row r="46">
      <x:c r="A46" s="2"/>
    </x:row>
    <x:row r="47">
      <x:c r="A47" s="2"/>
    </x:row>
    <x:row r="48">
      <x:c r="A48" s="2"/>
    </x:row>
    <x:row r="49">
      <x:c r="A49" s="2"/>
    </x:row>
    <x:row r="50">
      <x:c r="A50" s="2"/>
    </x:row>
    <x:row r="51">
      <x:c r="A51" s="2"/>
    </x:row>
    <x:row r="52">
      <x:c r="A52" s="2"/>
    </x:row>
    <x:row r="53">
      <x:c r="A53" s="2"/>
    </x:row>
    <x:row r="54">
      <x:c r="A54" s="2"/>
    </x:row>
    <x:row r="55">
      <x:c r="A55" s="2"/>
    </x:row>
    <x:row r="56">
      <x:c r="A56" s="2"/>
    </x:row>
    <x:row r="57">
      <x:c r="A57" s="2"/>
    </x:row>
    <x:row r="58">
      <x:c r="A58" s="2"/>
    </x:row>
    <x:row r="59">
      <x:c r="A59" s="2"/>
    </x:row>
    <x:row r="60">
      <x:c r="A60" s="2"/>
    </x:row>
    <x:row r="61">
      <x:c r="A61" s="2"/>
    </x:row>
    <x:row r="62">
      <x:c r="A62" s="2"/>
    </x:row>
    <x:row r="63">
      <x:c r="A63" s="2"/>
    </x:row>
    <x:row r="64">
      <x:c r="A64" s="2"/>
    </x:row>
    <x:row r="65">
      <x:c r="A65" s="2"/>
    </x:row>
    <x:row r="66">
      <x:c r="A66" s="2"/>
    </x:row>
    <x:row r="67">
      <x:c r="A67" s="2"/>
    </x:row>
    <x:row r="68">
      <x:c r="A68" s="2"/>
    </x:row>
    <x:row r="69">
      <x:c r="A69" s="2"/>
    </x:row>
    <x:row r="70">
      <x:c r="A70" s="2"/>
    </x:row>
    <x:row r="71">
      <x:c r="A71" s="2"/>
    </x:row>
    <x:row r="72">
      <x:c r="A72" s="2"/>
    </x:row>
    <x:row r="73">
      <x:c r="A73" s="2"/>
    </x:row>
    <x:row r="74">
      <x:c r="A74" s="2"/>
    </x:row>
    <x:row r="75">
      <x:c r="A75" s="2"/>
    </x:row>
    <x:row r="76">
      <x:c r="A76" s="2"/>
    </x:row>
    <x:row r="77">
      <x:c r="A77" s="2"/>
    </x:row>
    <x:row r="78">
      <x:c r="A78" s="2"/>
    </x:row>
    <x:row r="79">
      <x:c r="A79" s="2"/>
    </x:row>
    <x:row r="80">
      <x:c r="A80" s="2"/>
    </x:row>
  </x:sheetData>
  <x:conditionalFormatting sqref="AC2:AC100">
    <x:cfRule type="expression" dxfId="14" priority="1">
      <x:formula>AC2="已验收通过"</x:formula>
    </x:cfRule>
    <x:cfRule type="expression" dxfId="13" priority="2">
      <x:formula>AC2="待人工复核"</x:formula>
    </x:cfRule>
    <x:cfRule type="expression" dxfId="12" priority="3">
      <x:formula>AC2="不通过"</x:formula>
    </x:cfRule>
  </x:conditionalFormatting>
  <x:pageMargins left="0.7" right="0.7" top="0.75" bottom="0.75" header="0.3" footer="0.3"/>
  <x:tableParts count="1">
    <x:tablePart xmlns:r="http://schemas.openxmlformats.org/officeDocument/2006/relationships" r:id="R15ed244af6c64888"/>
  </x:tableParts>
</x:worksheet>
</file>

<file path=xl/worksheets/sheet3.xml><?xml version="1.0" encoding="utf-8"?>
<x:worksheet xmlns:x="http://schemas.openxmlformats.org/spreadsheetml/2006/main">
  <x:sheetFormatPr defaultRowHeight="14"/>
  <x:cols>
    <x:col min="1" max="1" width="15" customWidth="1"/>
    <x:col min="2" max="2" width="13" customWidth="1"/>
    <x:col min="3" max="4" width="30" customWidth="1"/>
    <x:col min="5" max="5" width="18" customWidth="1"/>
    <x:col min="6" max="6" width="30" customWidth="1"/>
    <x:col min="7" max="7" width="24" customWidth="1"/>
    <x:col min="8" max="8" width="30" customWidth="1"/>
    <x:col min="9" max="9" width="18" customWidth="1"/>
    <x:col min="10" max="10" width="24" customWidth="1"/>
    <x:col min="11" max="11" width="20" customWidth="1"/>
    <x:col min="12" max="12" width="45" customWidth="1"/>
    <x:col min="13" max="13" width="26" customWidth="1"/>
    <x:col min="14" max="14" width="32" customWidth="1"/>
    <x:col min="15" max="15" width="16" customWidth="1"/>
  </x:cols>
  <x:sheetData>
    <x:row r="1" ht="22.649999618530273" customHeight="1">
      <x:c r="A1" s="9" t="s">
        <x:v>543</x:v>
      </x:c>
      <x:c r="B1" s="17" t="s">
        <x:v>44</x:v>
      </x:c>
      <x:c r="C1" s="17" t="s">
        <x:v>544</x:v>
      </x:c>
      <x:c r="D1" s="17" t="s">
        <x:v>545</x:v>
      </x:c>
      <x:c r="E1" s="17" t="s">
        <x:v>546</x:v>
      </x:c>
      <x:c r="F1" s="17" t="s">
        <x:v>547</x:v>
      </x:c>
      <x:c r="G1" s="17" t="s">
        <x:v>548</x:v>
      </x:c>
      <x:c r="H1" s="17" t="s">
        <x:v>549</x:v>
      </x:c>
      <x:c r="I1" s="17" t="s">
        <x:v>550</x:v>
      </x:c>
      <x:c r="J1" s="17" t="s">
        <x:v>551</x:v>
      </x:c>
      <x:c r="K1" s="17" t="s">
        <x:v>552</x:v>
      </x:c>
      <x:c r="L1" s="17" t="s">
        <x:v>553</x:v>
      </x:c>
      <x:c r="M1" s="17" t="s">
        <x:v>554</x:v>
      </x:c>
      <x:c r="N1" s="17" t="s">
        <x:v>555</x:v>
      </x:c>
      <x:c r="O1" s="10" t="s">
        <x:v>72</x:v>
      </x:c>
    </x:row>
    <x:row r="2">
      <x:c r="A2" s="11" t="s">
        <x:v>556</x:v>
      </x:c>
      <x:c r="B2" s="18" t="s">
        <x:v>76</x:v>
      </x:c>
      <x:c r="C2" s="18" t="s">
        <x:v>557</x:v>
      </x:c>
      <x:c r="D2" s="18" t="s">
        <x:v>557</x:v>
      </x:c>
      <x:c r="E2" s="18" t="s">
        <x:v>558</x:v>
      </x:c>
      <x:c r="F2" s="18" t="s">
        <x:v>559</x:v>
      </x:c>
      <x:c r="G2" s="18" t="s">
        <x:v>560</x:v>
      </x:c>
      <x:c r="H2" s="18" t="s">
        <x:v>561</x:v>
      </x:c>
      <x:c r="I2" s="18" t="s">
        <x:v>97</x:v>
      </x:c>
      <x:c r="J2" s="18" t="s">
        <x:v>562</x:v>
      </x:c>
      <x:c r="K2" s="18" t="s">
        <x:v>563</x:v>
      </x:c>
      <x:c r="L2" s="18" t="s">
        <x:v>564</x:v>
      </x:c>
      <x:c r="M2" s="18" t="s">
        <x:v>565</x:v>
      </x:c>
      <x:c r="N2" s="18"/>
      <x:c r="O2" s="4" t="s">
        <x:v>13</x:v>
      </x:c>
    </x:row>
    <x:row r="3">
      <x:c r="A3" s="12" t="s">
        <x:v>566</x:v>
      </x:c>
      <x:c r="B3" s="2" t="s">
        <x:v>76</x:v>
      </x:c>
      <x:c r="C3" s="2" t="s">
        <x:v>567</x:v>
      </x:c>
      <x:c r="D3" s="2" t="s">
        <x:v>557</x:v>
      </x:c>
      <x:c r="E3" s="2" t="s">
        <x:v>568</x:v>
      </x:c>
      <x:c r="F3" s="2" t="s">
        <x:v>569</x:v>
      </x:c>
      <x:c r="G3" s="2" t="s">
        <x:v>570</x:v>
      </x:c>
      <x:c r="H3" s="2" t="s">
        <x:v>571</x:v>
      </x:c>
      <x:c r="I3" s="2" t="s">
        <x:v>97</x:v>
      </x:c>
      <x:c r="J3" s="2" t="s">
        <x:v>572</x:v>
      </x:c>
      <x:c r="K3" s="2" t="s">
        <x:v>563</x:v>
      </x:c>
      <x:c r="L3" s="2" t="s">
        <x:v>573</x:v>
      </x:c>
      <x:c r="M3" s="2" t="s">
        <x:v>574</x:v>
      </x:c>
      <x:c r="N3" s="2"/>
      <x:c r="O3" s="6" t="s">
        <x:v>13</x:v>
      </x:c>
    </x:row>
    <x:row r="4" ht="28">
      <x:c r="A4" s="12" t="s">
        <x:v>575</x:v>
      </x:c>
      <x:c r="B4" s="2" t="s">
        <x:v>76</x:v>
      </x:c>
      <x:c r="C4" s="2" t="s">
        <x:v>576</x:v>
      </x:c>
      <x:c r="D4" s="2" t="s">
        <x:v>577</x:v>
      </x:c>
      <x:c r="E4" s="2" t="s">
        <x:v>558</x:v>
      </x:c>
      <x:c r="F4" s="2" t="s">
        <x:v>578</x:v>
      </x:c>
      <x:c r="G4" s="2" t="s">
        <x:v>560</x:v>
      </x:c>
      <x:c r="H4" s="2" t="s">
        <x:v>579</x:v>
      </x:c>
      <x:c r="I4" s="2" t="s">
        <x:v>580</x:v>
      </x:c>
      <x:c r="J4" s="2" t="s">
        <x:v>581</x:v>
      </x:c>
      <x:c r="K4" s="2" t="s">
        <x:v>563</x:v>
      </x:c>
      <x:c r="L4" s="2" t="s">
        <x:v>582</x:v>
      </x:c>
      <x:c r="M4" s="2" t="s">
        <x:v>583</x:v>
      </x:c>
      <x:c r="N4" s="2"/>
      <x:c r="O4" s="6" t="s">
        <x:v>13</x:v>
      </x:c>
    </x:row>
    <x:row r="5">
      <x:c r="A5" s="12" t="s">
        <x:v>584</x:v>
      </x:c>
      <x:c r="B5" s="2" t="s">
        <x:v>76</x:v>
      </x:c>
      <x:c r="C5" s="2" t="s">
        <x:v>585</x:v>
      </x:c>
      <x:c r="D5" s="2" t="s">
        <x:v>585</x:v>
      </x:c>
      <x:c r="E5" s="2" t="s">
        <x:v>586</x:v>
      </x:c>
      <x:c r="F5" s="2" t="s">
        <x:v>578</x:v>
      </x:c>
      <x:c r="G5" s="2" t="s">
        <x:v>560</x:v>
      </x:c>
      <x:c r="H5" s="2" t="s">
        <x:v>579</x:v>
      </x:c>
      <x:c r="I5" s="2" t="s">
        <x:v>580</x:v>
      </x:c>
      <x:c r="J5" s="2" t="s">
        <x:v>581</x:v>
      </x:c>
      <x:c r="K5" s="2" t="s">
        <x:v>563</x:v>
      </x:c>
      <x:c r="L5" s="2" t="s">
        <x:v>582</x:v>
      </x:c>
      <x:c r="M5" s="2" t="s">
        <x:v>583</x:v>
      </x:c>
      <x:c r="N5" s="2"/>
      <x:c r="O5" s="6" t="s">
        <x:v>13</x:v>
      </x:c>
    </x:row>
    <x:row r="6">
      <x:c r="A6" s="12" t="s">
        <x:v>587</x:v>
      </x:c>
      <x:c r="B6" s="2" t="s">
        <x:v>76</x:v>
      </x:c>
      <x:c r="C6" s="2" t="s">
        <x:v>588</x:v>
      </x:c>
      <x:c r="D6" s="2" t="s">
        <x:v>588</x:v>
      </x:c>
      <x:c r="E6" s="2" t="s">
        <x:v>589</x:v>
      </x:c>
      <x:c r="F6" s="2" t="s">
        <x:v>590</x:v>
      </x:c>
      <x:c r="G6" s="2" t="s">
        <x:v>97</x:v>
      </x:c>
      <x:c r="H6" s="2" t="s">
        <x:v>591</x:v>
      </x:c>
      <x:c r="I6" s="2" t="s">
        <x:v>97</x:v>
      </x:c>
      <x:c r="J6" s="2" t="s">
        <x:v>97</x:v>
      </x:c>
      <x:c r="K6" s="2" t="s">
        <x:v>563</x:v>
      </x:c>
      <x:c r="L6" s="2" t="s">
        <x:v>592</x:v>
      </x:c>
      <x:c r="M6" s="2" t="s">
        <x:v>574</x:v>
      </x:c>
      <x:c r="N6" s="2"/>
      <x:c r="O6" s="6" t="s">
        <x:v>13</x:v>
      </x:c>
    </x:row>
    <x:row r="7">
      <x:c r="A7" s="12" t="s">
        <x:v>593</x:v>
      </x:c>
      <x:c r="B7" s="2" t="s">
        <x:v>76</x:v>
      </x:c>
      <x:c r="C7" s="2" t="s">
        <x:v>594</x:v>
      </x:c>
      <x:c r="D7" s="2" t="s">
        <x:v>595</x:v>
      </x:c>
      <x:c r="E7" s="2" t="s">
        <x:v>589</x:v>
      </x:c>
      <x:c r="F7" s="2" t="s">
        <x:v>596</x:v>
      </x:c>
      <x:c r="G7" s="2" t="s">
        <x:v>97</x:v>
      </x:c>
      <x:c r="H7" s="2" t="s">
        <x:v>597</x:v>
      </x:c>
      <x:c r="I7" s="2" t="s">
        <x:v>97</x:v>
      </x:c>
      <x:c r="J7" s="2" t="s">
        <x:v>97</x:v>
      </x:c>
      <x:c r="K7" s="2" t="s">
        <x:v>563</x:v>
      </x:c>
      <x:c r="L7" s="2" t="s">
        <x:v>598</x:v>
      </x:c>
      <x:c r="M7" s="2" t="s">
        <x:v>599</x:v>
      </x:c>
      <x:c r="N7" s="2" t="s">
        <x:v>600</x:v>
      </x:c>
      <x:c r="O7" s="6" t="s">
        <x:v>13</x:v>
      </x:c>
    </x:row>
    <x:row r="8">
      <x:c r="A8" s="13" t="s">
        <x:v>601</x:v>
      </x:c>
      <x:c r="B8" s="19" t="s">
        <x:v>76</x:v>
      </x:c>
      <x:c r="C8" s="19" t="s">
        <x:v>602</x:v>
      </x:c>
      <x:c r="D8" s="19" t="s">
        <x:v>602</x:v>
      </x:c>
      <x:c r="E8" s="19" t="s">
        <x:v>603</x:v>
      </x:c>
      <x:c r="F8" s="19" t="s">
        <x:v>603</x:v>
      </x:c>
      <x:c r="G8" s="19" t="s">
        <x:v>97</x:v>
      </x:c>
      <x:c r="H8" s="19" t="s">
        <x:v>604</x:v>
      </x:c>
      <x:c r="I8" s="19" t="s">
        <x:v>97</x:v>
      </x:c>
      <x:c r="J8" s="19" t="s">
        <x:v>97</x:v>
      </x:c>
      <x:c r="K8" s="19" t="s">
        <x:v>563</x:v>
      </x:c>
      <x:c r="L8" s="19" t="s">
        <x:v>605</x:v>
      </x:c>
      <x:c r="M8" s="19" t="s">
        <x:v>606</x:v>
      </x:c>
      <x:c r="N8" s="19"/>
      <x:c r="O8" s="8" t="s">
        <x:v>13</x:v>
      </x:c>
    </x:row>
    <x:row r="9">
      <x:c r="A9" s="2" t="s">
        <x:v>607</x:v>
      </x:c>
      <x:c r="B9" t="s">
        <x:v>104</x:v>
      </x:c>
      <x:c r="C9" t="s">
        <x:v>608</x:v>
      </x:c>
      <x:c r="D9" t="s">
        <x:v>557</x:v>
      </x:c>
      <x:c r="E9" t="s">
        <x:v>558</x:v>
      </x:c>
      <x:c r="F9" t="s">
        <x:v>609</x:v>
      </x:c>
      <x:c r="G9" t="s">
        <x:v>610</x:v>
      </x:c>
      <x:c r="H9" t="s">
        <x:v>611</x:v>
      </x:c>
      <x:c r="I9" t="s">
        <x:v>97</x:v>
      </x:c>
      <x:c r="J9" t="s">
        <x:v>612</x:v>
      </x:c>
      <x:c r="K9" t="s">
        <x:v>613</x:v>
      </x:c>
      <x:c r="L9" t="s">
        <x:v>614</x:v>
      </x:c>
      <x:c r="M9" t="s">
        <x:v>615</x:v>
      </x:c>
      <x:c r="N9" t="s">
        <x:v>616</x:v>
      </x:c>
      <x:c r="O9" t="s">
        <x:v>13</x:v>
      </x:c>
    </x:row>
    <x:row r="10">
      <x:c r="A10" s="2" t="s">
        <x:v>617</x:v>
      </x:c>
      <x:c r="B10" t="s">
        <x:v>451</x:v>
      </x:c>
      <x:c r="C10" t="s">
        <x:v>576</x:v>
      </x:c>
      <x:c r="D10" t="s">
        <x:v>577</x:v>
      </x:c>
      <x:c r="E10" t="s">
        <x:v>558</x:v>
      </x:c>
      <x:c r="F10" t="s">
        <x:v>618</x:v>
      </x:c>
      <x:c r="G10" t="s">
        <x:v>619</x:v>
      </x:c>
      <x:c r="H10" t="s">
        <x:v>620</x:v>
      </x:c>
      <x:c r="I10" t="s">
        <x:v>621</x:v>
      </x:c>
      <x:c r="J10" t="s">
        <x:v>622</x:v>
      </x:c>
      <x:c r="K10" t="s">
        <x:v>623</x:v>
      </x:c>
      <x:c r="L10" t="s">
        <x:v>624</x:v>
      </x:c>
      <x:c r="M10" t="s">
        <x:v>625</x:v>
      </x:c>
      <x:c r="N10" t="s">
        <x:v>626</x:v>
      </x:c>
      <x:c r="O10" t="s">
        <x:v>13</x:v>
      </x:c>
    </x:row>
    <x:row r="11">
      <x:c r="A11" s="2" t="s">
        <x:v>627</x:v>
      </x:c>
      <x:c r="B11" t="s">
        <x:v>104</x:v>
      </x:c>
      <x:c r="C11" t="s">
        <x:v>628</x:v>
      </x:c>
      <x:c r="D11" t="s">
        <x:v>628</x:v>
      </x:c>
      <x:c r="E11" t="s">
        <x:v>586</x:v>
      </x:c>
      <x:c r="F11" t="s">
        <x:v>629</x:v>
      </x:c>
      <x:c r="G11" t="s">
        <x:v>630</x:v>
      </x:c>
      <x:c r="H11" t="s">
        <x:v>631</x:v>
      </x:c>
      <x:c r="I11" t="s">
        <x:v>632</x:v>
      </x:c>
      <x:c r="J11" t="s">
        <x:v>633</x:v>
      </x:c>
      <x:c r="K11" t="s">
        <x:v>634</x:v>
      </x:c>
      <x:c r="L11" t="s">
        <x:v>635</x:v>
      </x:c>
      <x:c r="M11" t="s">
        <x:v>625</x:v>
      </x:c>
      <x:c r="N11" t="s">
        <x:v>636</x:v>
      </x:c>
      <x:c r="O11" t="s">
        <x:v>13</x:v>
      </x:c>
    </x:row>
    <x:row r="12">
      <x:c r="A12" s="2" t="s">
        <x:v>637</x:v>
      </x:c>
      <x:c r="B12" t="s">
        <x:v>104</x:v>
      </x:c>
      <x:c r="C12" t="s">
        <x:v>585</x:v>
      </x:c>
      <x:c r="D12" t="s">
        <x:v>585</x:v>
      </x:c>
      <x:c r="E12" t="s">
        <x:v>586</x:v>
      </x:c>
      <x:c r="F12" t="s">
        <x:v>638</x:v>
      </x:c>
      <x:c r="G12" t="s">
        <x:v>639</x:v>
      </x:c>
      <x:c r="H12" t="s">
        <x:v>640</x:v>
      </x:c>
      <x:c r="I12" t="s">
        <x:v>641</x:v>
      </x:c>
      <x:c r="J12" t="s">
        <x:v>642</x:v>
      </x:c>
      <x:c r="K12" t="s">
        <x:v>643</x:v>
      </x:c>
      <x:c r="L12" t="s">
        <x:v>644</x:v>
      </x:c>
      <x:c r="M12" t="s">
        <x:v>625</x:v>
      </x:c>
      <x:c r="N12" t="s">
        <x:v>636</x:v>
      </x:c>
      <x:c r="O12" t="s">
        <x:v>13</x:v>
      </x:c>
    </x:row>
    <x:row r="13">
      <x:c r="A13" s="2" t="s">
        <x:v>645</x:v>
      </x:c>
      <x:c r="B13" t="s">
        <x:v>125</x:v>
      </x:c>
      <x:c r="C13" t="s">
        <x:v>608</x:v>
      </x:c>
      <x:c r="D13" t="s">
        <x:v>557</x:v>
      </x:c>
      <x:c r="E13" t="s">
        <x:v>558</x:v>
      </x:c>
      <x:c r="F13" t="s">
        <x:v>609</x:v>
      </x:c>
      <x:c r="G13" t="s">
        <x:v>646</x:v>
      </x:c>
      <x:c r="H13" t="s">
        <x:v>647</x:v>
      </x:c>
      <x:c r="I13" t="s">
        <x:v>97</x:v>
      </x:c>
      <x:c r="J13" t="s">
        <x:v>648</x:v>
      </x:c>
      <x:c r="K13" t="s">
        <x:v>563</x:v>
      </x:c>
      <x:c r="L13" t="s">
        <x:v>649</x:v>
      </x:c>
      <x:c r="M13" t="s">
        <x:v>650</x:v>
      </x:c>
      <x:c r="N13" t="s">
        <x:v>651</x:v>
      </x:c>
      <x:c r="O13" t="s">
        <x:v>15</x:v>
      </x:c>
    </x:row>
    <x:row r="14">
      <x:c r="A14" s="2" t="s">
        <x:v>652</x:v>
      </x:c>
      <x:c r="B14" t="s">
        <x:v>125</x:v>
      </x:c>
      <x:c r="C14" t="s">
        <x:v>585</x:v>
      </x:c>
      <x:c r="D14" t="s">
        <x:v>585</x:v>
      </x:c>
      <x:c r="E14" t="s">
        <x:v>586</x:v>
      </x:c>
      <x:c r="F14" t="s">
        <x:v>618</x:v>
      </x:c>
      <x:c r="G14" t="s">
        <x:v>653</x:v>
      </x:c>
      <x:c r="H14" t="s">
        <x:v>654</x:v>
      </x:c>
      <x:c r="I14" t="s">
        <x:v>655</x:v>
      </x:c>
      <x:c r="J14" t="s">
        <x:v>656</x:v>
      </x:c>
      <x:c r="K14" t="s">
        <x:v>657</x:v>
      </x:c>
      <x:c r="L14" t="s">
        <x:v>658</x:v>
      </x:c>
      <x:c r="M14" t="s">
        <x:v>659</x:v>
      </x:c>
      <x:c r="N14" t="s">
        <x:v>660</x:v>
      </x:c>
      <x:c r="O14" t="s">
        <x:v>15</x:v>
      </x:c>
    </x:row>
    <x:row r="15">
      <x:c r="A15" s="2" t="s">
        <x:v>661</x:v>
      </x:c>
      <x:c r="B15" t="s">
        <x:v>125</x:v>
      </x:c>
      <x:c r="C15" t="s">
        <x:v>628</x:v>
      </x:c>
      <x:c r="D15" t="s">
        <x:v>628</x:v>
      </x:c>
      <x:c r="E15" t="s">
        <x:v>586</x:v>
      </x:c>
      <x:c r="F15" t="s">
        <x:v>662</x:v>
      </x:c>
      <x:c r="G15" t="s">
        <x:v>663</x:v>
      </x:c>
      <x:c r="H15" t="s">
        <x:v>664</x:v>
      </x:c>
      <x:c r="I15" t="s">
        <x:v>665</x:v>
      </x:c>
      <x:c r="J15" t="s">
        <x:v>642</x:v>
      </x:c>
      <x:c r="K15" t="s">
        <x:v>666</x:v>
      </x:c>
      <x:c r="L15" t="s">
        <x:v>667</x:v>
      </x:c>
      <x:c r="M15" t="s">
        <x:v>659</x:v>
      </x:c>
      <x:c r="N15" t="s">
        <x:v>668</x:v>
      </x:c>
      <x:c r="O15" t="s">
        <x:v>15</x:v>
      </x:c>
    </x:row>
    <x:row r="16">
      <x:c r="A16" s="2" t="s">
        <x:v>669</x:v>
      </x:c>
      <x:c r="B16" t="s">
        <x:v>125</x:v>
      </x:c>
      <x:c r="C16" t="s">
        <x:v>670</x:v>
      </x:c>
      <x:c r="D16" t="s">
        <x:v>670</x:v>
      </x:c>
      <x:c r="E16" t="s">
        <x:v>671</x:v>
      </x:c>
      <x:c r="F16" t="s">
        <x:v>672</x:v>
      </x:c>
      <x:c r="G16" t="s">
        <x:v>673</x:v>
      </x:c>
      <x:c r="H16" t="s">
        <x:v>664</x:v>
      </x:c>
      <x:c r="I16" t="s">
        <x:v>674</x:v>
      </x:c>
      <x:c r="J16" t="s">
        <x:v>675</x:v>
      </x:c>
      <x:c r="K16" t="s">
        <x:v>676</x:v>
      </x:c>
      <x:c r="L16" t="s">
        <x:v>677</x:v>
      </x:c>
      <x:c r="M16" t="s">
        <x:v>678</x:v>
      </x:c>
      <x:c r="N16" t="s">
        <x:v>679</x:v>
      </x:c>
      <x:c r="O16" t="s">
        <x:v>15</x:v>
      </x:c>
    </x:row>
    <x:row r="17">
      <x:c r="A17" s="2" t="s">
        <x:v>680</x:v>
      </x:c>
      <x:c r="B17" t="s">
        <x:v>140</x:v>
      </x:c>
      <x:c r="C17" t="s">
        <x:v>681</x:v>
      </x:c>
      <x:c r="D17" t="s">
        <x:v>682</x:v>
      </x:c>
      <x:c r="E17" t="s">
        <x:v>558</x:v>
      </x:c>
      <x:c r="F17" t="s">
        <x:v>683</x:v>
      </x:c>
      <x:c r="G17" t="s">
        <x:v>684</x:v>
      </x:c>
      <x:c r="H17" t="s">
        <x:v>685</x:v>
      </x:c>
      <x:c r="I17" t="s">
        <x:v>674</x:v>
      </x:c>
      <x:c r="J17" t="s">
        <x:v>686</x:v>
      </x:c>
      <x:c r="K17" t="s">
        <x:v>687</x:v>
      </x:c>
      <x:c r="L17" t="s">
        <x:v>688</x:v>
      </x:c>
      <x:c r="M17" t="s">
        <x:v>689</x:v>
      </x:c>
      <x:c r="O17" t="str">
        <x:v>已验收通过</x:v>
      </x:c>
    </x:row>
    <x:row r="18">
      <x:c r="A18" s="2" t="s">
        <x:v>690</x:v>
      </x:c>
      <x:c r="B18" t="s">
        <x:v>140</x:v>
      </x:c>
      <x:c r="C18" t="s">
        <x:v>691</x:v>
      </x:c>
      <x:c r="D18" t="s">
        <x:v>692</x:v>
      </x:c>
      <x:c r="E18" t="s">
        <x:v>693</x:v>
      </x:c>
      <x:c r="F18" t="s">
        <x:v>683</x:v>
      </x:c>
      <x:c r="G18" t="s">
        <x:v>684</x:v>
      </x:c>
      <x:c r="H18" t="s">
        <x:v>685</x:v>
      </x:c>
      <x:c r="I18" t="s">
        <x:v>674</x:v>
      </x:c>
      <x:c r="J18" t="s">
        <x:v>686</x:v>
      </x:c>
      <x:c r="K18" t="s">
        <x:v>687</x:v>
      </x:c>
      <x:c r="L18" t="s">
        <x:v>688</x:v>
      </x:c>
      <x:c r="M18" t="s">
        <x:v>689</x:v>
      </x:c>
      <x:c r="O18" t="str">
        <x:v>已验收通过</x:v>
      </x:c>
    </x:row>
    <x:row r="19">
      <x:c r="A19" s="2" t="s">
        <x:v>694</x:v>
      </x:c>
      <x:c r="B19" t="s">
        <x:v>140</x:v>
      </x:c>
      <x:c r="C19" t="s">
        <x:v>695</x:v>
      </x:c>
      <x:c r="D19" t="s">
        <x:v>696</x:v>
      </x:c>
      <x:c r="E19" t="s">
        <x:v>693</x:v>
      </x:c>
      <x:c r="F19" t="s">
        <x:v>683</x:v>
      </x:c>
      <x:c r="G19" t="s">
        <x:v>684</x:v>
      </x:c>
      <x:c r="H19" t="s">
        <x:v>685</x:v>
      </x:c>
      <x:c r="I19" t="s">
        <x:v>674</x:v>
      </x:c>
      <x:c r="J19" t="s">
        <x:v>686</x:v>
      </x:c>
      <x:c r="K19" t="s">
        <x:v>687</x:v>
      </x:c>
      <x:c r="L19" t="s">
        <x:v>688</x:v>
      </x:c>
      <x:c r="M19" t="s">
        <x:v>689</x:v>
      </x:c>
      <x:c r="O19" t="str">
        <x:v>已验收通过</x:v>
      </x:c>
    </x:row>
    <x:row r="20">
      <x:c r="A20" s="2" t="s">
        <x:v>697</x:v>
      </x:c>
      <x:c r="B20" t="s">
        <x:v>156</x:v>
      </x:c>
      <x:c r="C20" t="s">
        <x:v>681</x:v>
      </x:c>
      <x:c r="D20" t="s">
        <x:v>682</x:v>
      </x:c>
      <x:c r="E20" t="s">
        <x:v>558</x:v>
      </x:c>
      <x:c r="F20" t="s">
        <x:v>698</x:v>
      </x:c>
      <x:c r="G20" t="s">
        <x:v>699</x:v>
      </x:c>
      <x:c r="H20" t="s">
        <x:v>700</x:v>
      </x:c>
      <x:c r="I20" t="s">
        <x:v>665</x:v>
      </x:c>
      <x:c r="J20" t="s">
        <x:v>701</x:v>
      </x:c>
      <x:c r="K20" t="s">
        <x:v>687</x:v>
      </x:c>
      <x:c r="L20" t="s">
        <x:v>702</x:v>
      </x:c>
      <x:c r="M20" t="s">
        <x:v>703</x:v>
      </x:c>
      <x:c r="N20" t="s">
        <x:v>704</x:v>
      </x:c>
      <x:c r="O20" t="str">
        <x:v>已验收通过</x:v>
      </x:c>
    </x:row>
    <x:row r="21">
      <x:c r="A21" s="2" t="s">
        <x:v>705</x:v>
      </x:c>
      <x:c r="B21" t="s">
        <x:v>156</x:v>
      </x:c>
      <x:c r="C21" t="s">
        <x:v>691</x:v>
      </x:c>
      <x:c r="D21" t="s">
        <x:v>692</x:v>
      </x:c>
      <x:c r="E21" t="s">
        <x:v>693</x:v>
      </x:c>
      <x:c r="F21" t="s">
        <x:v>698</x:v>
      </x:c>
      <x:c r="G21" t="s">
        <x:v>699</x:v>
      </x:c>
      <x:c r="H21" t="s">
        <x:v>700</x:v>
      </x:c>
      <x:c r="I21" t="s">
        <x:v>665</x:v>
      </x:c>
      <x:c r="J21" t="s">
        <x:v>701</x:v>
      </x:c>
      <x:c r="K21" t="s">
        <x:v>687</x:v>
      </x:c>
      <x:c r="L21" t="s">
        <x:v>702</x:v>
      </x:c>
      <x:c r="M21" t="s">
        <x:v>703</x:v>
      </x:c>
      <x:c r="N21" t="s">
        <x:v>704</x:v>
      </x:c>
      <x:c r="O21" t="str">
        <x:v>已验收通过</x:v>
      </x:c>
    </x:row>
    <x:row r="22">
      <x:c r="A22" s="2" t="s">
        <x:v>706</x:v>
      </x:c>
      <x:c r="B22" t="s">
        <x:v>156</x:v>
      </x:c>
      <x:c r="C22" t="s">
        <x:v>695</x:v>
      </x:c>
      <x:c r="D22" t="s">
        <x:v>696</x:v>
      </x:c>
      <x:c r="E22" t="s">
        <x:v>693</x:v>
      </x:c>
      <x:c r="F22" t="s">
        <x:v>698</x:v>
      </x:c>
      <x:c r="G22" t="s">
        <x:v>699</x:v>
      </x:c>
      <x:c r="H22" t="s">
        <x:v>700</x:v>
      </x:c>
      <x:c r="I22" t="s">
        <x:v>665</x:v>
      </x:c>
      <x:c r="J22" t="s">
        <x:v>701</x:v>
      </x:c>
      <x:c r="K22" t="s">
        <x:v>687</x:v>
      </x:c>
      <x:c r="L22" t="s">
        <x:v>702</x:v>
      </x:c>
      <x:c r="M22" t="s">
        <x:v>703</x:v>
      </x:c>
      <x:c r="N22" t="s">
        <x:v>704</x:v>
      </x:c>
      <x:c r="O22" t="str">
        <x:v>已验收通过</x:v>
      </x:c>
    </x:row>
    <x:row r="23">
      <x:c r="A23" s="2" t="s">
        <x:v>707</x:v>
      </x:c>
      <x:c r="B23" t="s">
        <x:v>169</x:v>
      </x:c>
      <x:c r="C23" t="s">
        <x:v>708</x:v>
      </x:c>
      <x:c r="D23" t="s">
        <x:v>709</x:v>
      </x:c>
      <x:c r="E23" t="s">
        <x:v>710</x:v>
      </x:c>
      <x:c r="F23" t="s">
        <x:v>711</x:v>
      </x:c>
      <x:c r="G23" t="s">
        <x:v>712</x:v>
      </x:c>
      <x:c r="H23" t="s">
        <x:v>713</x:v>
      </x:c>
      <x:c r="I23" t="s">
        <x:v>665</x:v>
      </x:c>
      <x:c r="J23" t="s">
        <x:v>701</x:v>
      </x:c>
      <x:c r="K23" t="s">
        <x:v>563</x:v>
      </x:c>
      <x:c r="L23" t="s">
        <x:v>714</x:v>
      </x:c>
      <x:c r="M23" t="s">
        <x:v>715</x:v>
      </x:c>
      <x:c r="N23" t="s">
        <x:v>716</x:v>
      </x:c>
      <x:c r="O23" t="str">
        <x:v>已验收通过</x:v>
      </x:c>
    </x:row>
    <x:row r="24">
      <x:c r="A24" s="2" t="s">
        <x:v>717</x:v>
      </x:c>
      <x:c r="B24" t="s">
        <x:v>184</x:v>
      </x:c>
      <x:c r="C24" t="s">
        <x:v>718</x:v>
      </x:c>
      <x:c r="D24" t="s">
        <x:v>719</x:v>
      </x:c>
      <x:c r="E24" t="s">
        <x:v>558</x:v>
      </x:c>
      <x:c r="F24" t="s">
        <x:v>720</x:v>
      </x:c>
      <x:c r="G24" t="s">
        <x:v>684</x:v>
      </x:c>
      <x:c r="H24" t="s">
        <x:v>685</x:v>
      </x:c>
      <x:c r="I24" t="s">
        <x:v>674</x:v>
      </x:c>
      <x:c r="J24" t="s">
        <x:v>721</x:v>
      </x:c>
      <x:c r="K24" t="s">
        <x:v>687</x:v>
      </x:c>
      <x:c r="L24" t="s">
        <x:v>688</x:v>
      </x:c>
      <x:c r="M24" t="s">
        <x:v>722</x:v>
      </x:c>
      <x:c r="N24" t="s">
        <x:v>723</x:v>
      </x:c>
      <x:c r="O24" t="str">
        <x:v>已验收通过</x:v>
      </x:c>
    </x:row>
    <x:row r="25">
      <x:c r="A25" s="2" t="s">
        <x:v>724</x:v>
      </x:c>
      <x:c r="B25" t="s">
        <x:v>184</x:v>
      </x:c>
      <x:c r="C25" t="s">
        <x:v>725</x:v>
      </x:c>
      <x:c r="D25" t="s">
        <x:v>726</x:v>
      </x:c>
      <x:c r="E25" t="s">
        <x:v>558</x:v>
      </x:c>
      <x:c r="F25" t="s">
        <x:v>720</x:v>
      </x:c>
      <x:c r="G25" t="s">
        <x:v>684</x:v>
      </x:c>
      <x:c r="H25" t="s">
        <x:v>685</x:v>
      </x:c>
      <x:c r="I25" t="s">
        <x:v>674</x:v>
      </x:c>
      <x:c r="J25" t="s">
        <x:v>721</x:v>
      </x:c>
      <x:c r="K25" t="s">
        <x:v>687</x:v>
      </x:c>
      <x:c r="L25" t="s">
        <x:v>688</x:v>
      </x:c>
      <x:c r="M25" t="s">
        <x:v>722</x:v>
      </x:c>
      <x:c r="N25" t="s">
        <x:v>723</x:v>
      </x:c>
      <x:c r="O25" t="str">
        <x:v>已验收通过</x:v>
      </x:c>
    </x:row>
    <x:row r="26">
      <x:c r="A26" s="2" t="s">
        <x:v>727</x:v>
      </x:c>
      <x:c r="B26" t="s">
        <x:v>184</x:v>
      </x:c>
      <x:c r="C26" t="s">
        <x:v>728</x:v>
      </x:c>
      <x:c r="D26" t="s">
        <x:v>729</x:v>
      </x:c>
      <x:c r="E26" t="s">
        <x:v>558</x:v>
      </x:c>
      <x:c r="F26" t="s">
        <x:v>720</x:v>
      </x:c>
      <x:c r="G26" t="s">
        <x:v>684</x:v>
      </x:c>
      <x:c r="H26" t="s">
        <x:v>685</x:v>
      </x:c>
      <x:c r="I26" t="s">
        <x:v>674</x:v>
      </x:c>
      <x:c r="J26" t="s">
        <x:v>721</x:v>
      </x:c>
      <x:c r="K26" t="s">
        <x:v>687</x:v>
      </x:c>
      <x:c r="L26" t="s">
        <x:v>688</x:v>
      </x:c>
      <x:c r="M26" t="s">
        <x:v>722</x:v>
      </x:c>
      <x:c r="N26" t="s">
        <x:v>723</x:v>
      </x:c>
      <x:c r="O26" t="str">
        <x:v>已验收通过</x:v>
      </x:c>
    </x:row>
    <x:row r="27">
      <x:c r="A27" s="2" t="s">
        <x:v>730</x:v>
      </x:c>
      <x:c r="B27" t="s">
        <x:v>184</x:v>
      </x:c>
      <x:c r="C27" t="s">
        <x:v>731</x:v>
      </x:c>
      <x:c r="D27" t="s">
        <x:v>732</x:v>
      </x:c>
      <x:c r="E27" t="s">
        <x:v>558</x:v>
      </x:c>
      <x:c r="F27" t="s">
        <x:v>720</x:v>
      </x:c>
      <x:c r="G27" t="s">
        <x:v>684</x:v>
      </x:c>
      <x:c r="H27" t="s">
        <x:v>685</x:v>
      </x:c>
      <x:c r="I27" t="s">
        <x:v>674</x:v>
      </x:c>
      <x:c r="J27" t="s">
        <x:v>721</x:v>
      </x:c>
      <x:c r="K27" t="s">
        <x:v>687</x:v>
      </x:c>
      <x:c r="L27" t="s">
        <x:v>688</x:v>
      </x:c>
      <x:c r="M27" t="s">
        <x:v>722</x:v>
      </x:c>
      <x:c r="N27" t="s">
        <x:v>723</x:v>
      </x:c>
      <x:c r="O27" t="str">
        <x:v>已验收通过</x:v>
      </x:c>
    </x:row>
    <x:row r="28">
      <x:c r="A28" s="2" t="s">
        <x:v>733</x:v>
      </x:c>
      <x:c r="B28" t="s">
        <x:v>184</x:v>
      </x:c>
      <x:c r="C28" t="s">
        <x:v>734</x:v>
      </x:c>
      <x:c r="D28" t="s">
        <x:v>735</x:v>
      </x:c>
      <x:c r="E28" t="s">
        <x:v>693</x:v>
      </x:c>
      <x:c r="F28" t="s">
        <x:v>720</x:v>
      </x:c>
      <x:c r="G28" t="s">
        <x:v>684</x:v>
      </x:c>
      <x:c r="H28" t="s">
        <x:v>685</x:v>
      </x:c>
      <x:c r="I28" t="s">
        <x:v>674</x:v>
      </x:c>
      <x:c r="J28" t="s">
        <x:v>721</x:v>
      </x:c>
      <x:c r="K28" t="s">
        <x:v>687</x:v>
      </x:c>
      <x:c r="L28" t="s">
        <x:v>688</x:v>
      </x:c>
      <x:c r="M28" t="s">
        <x:v>722</x:v>
      </x:c>
      <x:c r="N28" t="s">
        <x:v>723</x:v>
      </x:c>
      <x:c r="O28" t="str">
        <x:v>已验收通过</x:v>
      </x:c>
    </x:row>
    <x:row r="29">
      <x:c r="A29" s="2" t="s">
        <x:v>736</x:v>
      </x:c>
      <x:c r="B29" t="s">
        <x:v>184</x:v>
      </x:c>
      <x:c r="C29" t="s">
        <x:v>695</x:v>
      </x:c>
      <x:c r="D29" t="s">
        <x:v>696</x:v>
      </x:c>
      <x:c r="E29" t="s">
        <x:v>693</x:v>
      </x:c>
      <x:c r="F29" t="s">
        <x:v>720</x:v>
      </x:c>
      <x:c r="G29" t="s">
        <x:v>699</x:v>
      </x:c>
      <x:c r="H29" t="s">
        <x:v>685</x:v>
      </x:c>
      <x:c r="I29" t="s">
        <x:v>665</x:v>
      </x:c>
      <x:c r="J29" t="s">
        <x:v>721</x:v>
      </x:c>
      <x:c r="K29" t="s">
        <x:v>687</x:v>
      </x:c>
      <x:c r="L29" t="s">
        <x:v>688</x:v>
      </x:c>
      <x:c r="M29" t="s">
        <x:v>722</x:v>
      </x:c>
      <x:c r="N29" t="s">
        <x:v>723</x:v>
      </x:c>
      <x:c r="O29" t="str">
        <x:v>已验收通过</x:v>
      </x:c>
    </x:row>
    <x:row r="30">
      <x:c r="A30" s="2" t="s">
        <x:v>737</x:v>
      </x:c>
      <x:c r="B30" t="s">
        <x:v>200</x:v>
      </x:c>
      <x:c r="C30" t="s">
        <x:v>628</x:v>
      </x:c>
      <x:c r="D30" t="s">
        <x:v>628</x:v>
      </x:c>
      <x:c r="E30" t="s">
        <x:v>586</x:v>
      </x:c>
      <x:c r="F30" t="s">
        <x:v>738</x:v>
      </x:c>
      <x:c r="G30" t="s">
        <x:v>739</x:v>
      </x:c>
      <x:c r="H30" t="s">
        <x:v>740</x:v>
      </x:c>
      <x:c r="I30" t="s">
        <x:v>741</x:v>
      </x:c>
      <x:c r="J30" t="s">
        <x:v>742</x:v>
      </x:c>
      <x:c r="K30" t="s">
        <x:v>563</x:v>
      </x:c>
      <x:c r="L30" t="s">
        <x:v>743</x:v>
      </x:c>
      <x:c r="M30" t="s">
        <x:v>744</x:v>
      </x:c>
      <x:c r="N30" t="s">
        <x:v>745</x:v>
      </x:c>
      <x:c r="O30" t="str">
        <x:v>已验收通过</x:v>
      </x:c>
    </x:row>
    <x:row r="31">
      <x:c r="A31" s="2" t="s">
        <x:v>746</x:v>
      </x:c>
      <x:c r="B31" t="s">
        <x:v>200</x:v>
      </x:c>
      <x:c r="C31" t="s">
        <x:v>585</x:v>
      </x:c>
      <x:c r="D31" t="s">
        <x:v>585</x:v>
      </x:c>
      <x:c r="E31" t="s">
        <x:v>586</x:v>
      </x:c>
      <x:c r="F31" t="s">
        <x:v>738</x:v>
      </x:c>
      <x:c r="G31" t="s">
        <x:v>739</x:v>
      </x:c>
      <x:c r="H31" t="s">
        <x:v>740</x:v>
      </x:c>
      <x:c r="I31" t="s">
        <x:v>741</x:v>
      </x:c>
      <x:c r="J31" t="s">
        <x:v>742</x:v>
      </x:c>
      <x:c r="K31" t="s">
        <x:v>563</x:v>
      </x:c>
      <x:c r="L31" t="s">
        <x:v>743</x:v>
      </x:c>
      <x:c r="M31" t="s">
        <x:v>744</x:v>
      </x:c>
      <x:c r="N31" t="s">
        <x:v>747</x:v>
      </x:c>
      <x:c r="O31" t="str">
        <x:v>已验收通过</x:v>
      </x:c>
    </x:row>
    <x:row r="32">
      <x:c r="A32" s="2" t="s">
        <x:v>748</x:v>
      </x:c>
      <x:c r="B32" t="s">
        <x:v>200</x:v>
      </x:c>
      <x:c r="C32" t="s">
        <x:v>681</x:v>
      </x:c>
      <x:c r="D32" t="s">
        <x:v>682</x:v>
      </x:c>
      <x:c r="E32" t="s">
        <x:v>558</x:v>
      </x:c>
      <x:c r="F32" t="s">
        <x:v>738</x:v>
      </x:c>
      <x:c r="G32" t="s">
        <x:v>739</x:v>
      </x:c>
      <x:c r="H32" t="s">
        <x:v>740</x:v>
      </x:c>
      <x:c r="I32" t="s">
        <x:v>741</x:v>
      </x:c>
      <x:c r="J32" t="s">
        <x:v>742</x:v>
      </x:c>
      <x:c r="K32" t="s">
        <x:v>563</x:v>
      </x:c>
      <x:c r="L32" t="s">
        <x:v>743</x:v>
      </x:c>
      <x:c r="M32" t="s">
        <x:v>744</x:v>
      </x:c>
      <x:c r="N32" t="s">
        <x:v>749</x:v>
      </x:c>
      <x:c r="O32" t="str">
        <x:v>已验收通过</x:v>
      </x:c>
    </x:row>
    <x:row r="33">
      <x:c r="A33" s="2" t="s">
        <x:v>750</x:v>
      </x:c>
      <x:c r="B33" t="s">
        <x:v>200</x:v>
      </x:c>
      <x:c r="C33" t="s">
        <x:v>695</x:v>
      </x:c>
      <x:c r="D33" t="s">
        <x:v>696</x:v>
      </x:c>
      <x:c r="E33" t="s">
        <x:v>693</x:v>
      </x:c>
      <x:c r="F33" t="s">
        <x:v>738</x:v>
      </x:c>
      <x:c r="G33" t="s">
        <x:v>739</x:v>
      </x:c>
      <x:c r="H33" t="s">
        <x:v>740</x:v>
      </x:c>
      <x:c r="I33" t="s">
        <x:v>741</x:v>
      </x:c>
      <x:c r="J33" t="s">
        <x:v>742</x:v>
      </x:c>
      <x:c r="K33" t="s">
        <x:v>563</x:v>
      </x:c>
      <x:c r="L33" t="s">
        <x:v>743</x:v>
      </x:c>
      <x:c r="M33" t="s">
        <x:v>744</x:v>
      </x:c>
      <x:c r="N33" t="s">
        <x:v>751</x:v>
      </x:c>
      <x:c r="O33" t="str">
        <x:v>已验收通过</x:v>
      </x:c>
    </x:row>
    <x:row r="34">
      <x:c r="A34" s="2" t="s">
        <x:v>752</x:v>
      </x:c>
      <x:c r="B34" t="s">
        <x:v>200</x:v>
      </x:c>
      <x:c r="C34" t="s">
        <x:v>691</x:v>
      </x:c>
      <x:c r="D34" t="s">
        <x:v>692</x:v>
      </x:c>
      <x:c r="E34" t="s">
        <x:v>693</x:v>
      </x:c>
      <x:c r="F34" t="s">
        <x:v>738</x:v>
      </x:c>
      <x:c r="G34" t="s">
        <x:v>739</x:v>
      </x:c>
      <x:c r="H34" t="s">
        <x:v>740</x:v>
      </x:c>
      <x:c r="I34" t="s">
        <x:v>741</x:v>
      </x:c>
      <x:c r="J34" t="s">
        <x:v>742</x:v>
      </x:c>
      <x:c r="K34" t="s">
        <x:v>563</x:v>
      </x:c>
      <x:c r="L34" t="s">
        <x:v>743</x:v>
      </x:c>
      <x:c r="M34" t="s">
        <x:v>744</x:v>
      </x:c>
      <x:c r="N34" t="s">
        <x:v>753</x:v>
      </x:c>
      <x:c r="O34" t="str">
        <x:v>已验收通过</x:v>
      </x:c>
    </x:row>
    <x:row r="35">
      <x:c r="A35" s="2" t="s">
        <x:v>754</x:v>
      </x:c>
      <x:c r="B35" t="s">
        <x:v>200</x:v>
      </x:c>
      <x:c r="C35" t="s">
        <x:v>670</x:v>
      </x:c>
      <x:c r="D35" t="s">
        <x:v>755</x:v>
      </x:c>
      <x:c r="E35" t="s">
        <x:v>693</x:v>
      </x:c>
      <x:c r="F35" t="s">
        <x:v>738</x:v>
      </x:c>
      <x:c r="G35" t="s">
        <x:v>739</x:v>
      </x:c>
      <x:c r="H35" t="s">
        <x:v>740</x:v>
      </x:c>
      <x:c r="I35" t="s">
        <x:v>741</x:v>
      </x:c>
      <x:c r="J35" t="s">
        <x:v>742</x:v>
      </x:c>
      <x:c r="K35" t="s">
        <x:v>563</x:v>
      </x:c>
      <x:c r="L35" t="s">
        <x:v>743</x:v>
      </x:c>
      <x:c r="M35" t="s">
        <x:v>744</x:v>
      </x:c>
      <x:c r="N35" t="s">
        <x:v>756</x:v>
      </x:c>
      <x:c r="O35" t="str">
        <x:v>已验收通过</x:v>
      </x:c>
    </x:row>
    <x:row r="36">
      <x:c r="A36" s="2" t="s">
        <x:v>757</x:v>
      </x:c>
      <x:c r="B36" t="s">
        <x:v>200</x:v>
      </x:c>
      <x:c r="C36" t="s">
        <x:v>718</x:v>
      </x:c>
      <x:c r="D36" t="s">
        <x:v>719</x:v>
      </x:c>
      <x:c r="E36" t="s">
        <x:v>558</x:v>
      </x:c>
      <x:c r="F36" t="s">
        <x:v>738</x:v>
      </x:c>
      <x:c r="G36" t="s">
        <x:v>739</x:v>
      </x:c>
      <x:c r="H36" t="s">
        <x:v>740</x:v>
      </x:c>
      <x:c r="I36" t="s">
        <x:v>741</x:v>
      </x:c>
      <x:c r="J36" t="s">
        <x:v>742</x:v>
      </x:c>
      <x:c r="K36" t="s">
        <x:v>563</x:v>
      </x:c>
      <x:c r="L36" t="s">
        <x:v>743</x:v>
      </x:c>
      <x:c r="M36" t="s">
        <x:v>744</x:v>
      </x:c>
      <x:c r="N36" t="s">
        <x:v>758</x:v>
      </x:c>
      <x:c r="O36" t="str">
        <x:v>已验收通过</x:v>
      </x:c>
    </x:row>
    <x:row r="37">
      <x:c r="A37" s="2" t="s">
        <x:v>759</x:v>
      </x:c>
      <x:c r="B37" t="s">
        <x:v>200</x:v>
      </x:c>
      <x:c r="C37" t="s">
        <x:v>725</x:v>
      </x:c>
      <x:c r="D37" t="s">
        <x:v>726</x:v>
      </x:c>
      <x:c r="E37" t="s">
        <x:v>558</x:v>
      </x:c>
      <x:c r="F37" t="s">
        <x:v>738</x:v>
      </x:c>
      <x:c r="G37" t="s">
        <x:v>739</x:v>
      </x:c>
      <x:c r="H37" t="s">
        <x:v>740</x:v>
      </x:c>
      <x:c r="I37" t="s">
        <x:v>741</x:v>
      </x:c>
      <x:c r="J37" t="s">
        <x:v>742</x:v>
      </x:c>
      <x:c r="K37" t="s">
        <x:v>563</x:v>
      </x:c>
      <x:c r="L37" t="s">
        <x:v>743</x:v>
      </x:c>
      <x:c r="M37" t="s">
        <x:v>744</x:v>
      </x:c>
      <x:c r="N37" t="s">
        <x:v>760</x:v>
      </x:c>
      <x:c r="O37" t="str">
        <x:v>已验收通过</x:v>
      </x:c>
    </x:row>
    <x:row r="38">
      <x:c r="A38" s="2" t="s">
        <x:v>761</x:v>
      </x:c>
      <x:c r="B38" t="s">
        <x:v>200</x:v>
      </x:c>
      <x:c r="C38" t="s">
        <x:v>728</x:v>
      </x:c>
      <x:c r="D38" t="s">
        <x:v>729</x:v>
      </x:c>
      <x:c r="E38" t="s">
        <x:v>558</x:v>
      </x:c>
      <x:c r="F38" t="s">
        <x:v>738</x:v>
      </x:c>
      <x:c r="G38" t="s">
        <x:v>739</x:v>
      </x:c>
      <x:c r="H38" t="s">
        <x:v>740</x:v>
      </x:c>
      <x:c r="I38" t="s">
        <x:v>741</x:v>
      </x:c>
      <x:c r="J38" t="s">
        <x:v>742</x:v>
      </x:c>
      <x:c r="K38" t="s">
        <x:v>563</x:v>
      </x:c>
      <x:c r="L38" t="s">
        <x:v>743</x:v>
      </x:c>
      <x:c r="M38" t="s">
        <x:v>744</x:v>
      </x:c>
      <x:c r="N38" t="s">
        <x:v>762</x:v>
      </x:c>
      <x:c r="O38" t="str">
        <x:v>已验收通过</x:v>
      </x:c>
    </x:row>
    <x:row r="39">
      <x:c r="A39" s="2" t="s">
        <x:v>763</x:v>
      </x:c>
      <x:c r="B39" t="s">
        <x:v>200</x:v>
      </x:c>
      <x:c r="C39" t="s">
        <x:v>731</x:v>
      </x:c>
      <x:c r="D39" t="s">
        <x:v>732</x:v>
      </x:c>
      <x:c r="E39" t="s">
        <x:v>558</x:v>
      </x:c>
      <x:c r="F39" t="s">
        <x:v>738</x:v>
      </x:c>
      <x:c r="G39" t="s">
        <x:v>739</x:v>
      </x:c>
      <x:c r="H39" t="s">
        <x:v>740</x:v>
      </x:c>
      <x:c r="I39" t="s">
        <x:v>741</x:v>
      </x:c>
      <x:c r="J39" t="s">
        <x:v>742</x:v>
      </x:c>
      <x:c r="K39" t="s">
        <x:v>563</x:v>
      </x:c>
      <x:c r="L39" t="s">
        <x:v>743</x:v>
      </x:c>
      <x:c r="M39" t="s">
        <x:v>744</x:v>
      </x:c>
      <x:c r="N39" t="s">
        <x:v>762</x:v>
      </x:c>
      <x:c r="O39" t="str">
        <x:v>已验收通过</x:v>
      </x:c>
    </x:row>
    <x:row r="40">
      <x:c r="A40" s="2" t="s">
        <x:v>764</x:v>
      </x:c>
      <x:c r="B40" t="s">
        <x:v>200</x:v>
      </x:c>
      <x:c r="C40" t="s">
        <x:v>734</x:v>
      </x:c>
      <x:c r="D40" t="s">
        <x:v>735</x:v>
      </x:c>
      <x:c r="E40" t="s">
        <x:v>693</x:v>
      </x:c>
      <x:c r="F40" t="s">
        <x:v>738</x:v>
      </x:c>
      <x:c r="G40" t="s">
        <x:v>739</x:v>
      </x:c>
      <x:c r="H40" t="s">
        <x:v>740</x:v>
      </x:c>
      <x:c r="I40" t="s">
        <x:v>741</x:v>
      </x:c>
      <x:c r="J40" t="s">
        <x:v>742</x:v>
      </x:c>
      <x:c r="K40" t="s">
        <x:v>563</x:v>
      </x:c>
      <x:c r="L40" t="s">
        <x:v>743</x:v>
      </x:c>
      <x:c r="M40" t="s">
        <x:v>744</x:v>
      </x:c>
      <x:c r="N40" t="s">
        <x:v>762</x:v>
      </x:c>
      <x:c r="O40" t="str">
        <x:v>已验收通过</x:v>
      </x:c>
    </x:row>
    <x:row r="41">
      <x:c r="A41" s="2" t="s">
        <x:v>765</x:v>
      </x:c>
      <x:c r="B41" t="s">
        <x:v>200</x:v>
      </x:c>
      <x:c r="C41" t="s">
        <x:v>557</x:v>
      </x:c>
      <x:c r="D41" t="s">
        <x:v>766</x:v>
      </x:c>
      <x:c r="E41" t="s">
        <x:v>558</x:v>
      </x:c>
      <x:c r="F41" t="s">
        <x:v>767</x:v>
      </x:c>
      <x:c r="G41" t="s">
        <x:v>768</x:v>
      </x:c>
      <x:c r="H41" t="s">
        <x:v>769</x:v>
      </x:c>
      <x:c r="I41" t="s">
        <x:v>97</x:v>
      </x:c>
      <x:c r="J41" t="s">
        <x:v>770</x:v>
      </x:c>
      <x:c r="K41" t="s">
        <x:v>563</x:v>
      </x:c>
      <x:c r="L41" t="s">
        <x:v>771</x:v>
      </x:c>
      <x:c r="M41" t="s">
        <x:v>772</x:v>
      </x:c>
      <x:c r="O41" t="str">
        <x:v>已验收通过</x:v>
      </x:c>
    </x:row>
    <x:row r="42">
      <x:c r="A42" s="2" t="s">
        <x:v>773</x:v>
      </x:c>
      <x:c r="B42" t="s">
        <x:v>223</x:v>
      </x:c>
      <x:c r="C42" t="s">
        <x:v>725</x:v>
      </x:c>
      <x:c r="D42" t="s">
        <x:v>726</x:v>
      </x:c>
      <x:c r="E42" t="s">
        <x:v>558</x:v>
      </x:c>
      <x:c r="F42" t="s">
        <x:v>618</x:v>
      </x:c>
      <x:c r="G42" t="s">
        <x:v>774</x:v>
      </x:c>
      <x:c r="H42" t="s">
        <x:v>775</x:v>
      </x:c>
      <x:c r="I42" t="s">
        <x:v>621</x:v>
      </x:c>
      <x:c r="J42" t="s">
        <x:v>776</x:v>
      </x:c>
      <x:c r="K42" t="s">
        <x:v>563</x:v>
      </x:c>
      <x:c r="L42" t="s">
        <x:v>777</x:v>
      </x:c>
      <x:c r="M42" t="s">
        <x:v>778</x:v>
      </x:c>
      <x:c r="O42" t="str">
        <x:v>已验收通过</x:v>
      </x:c>
    </x:row>
    <x:row r="43">
      <x:c r="A43" s="2" t="s">
        <x:v>779</x:v>
      </x:c>
      <x:c r="B43" t="s">
        <x:v>223</x:v>
      </x:c>
      <x:c r="C43" t="s">
        <x:v>780</x:v>
      </x:c>
      <x:c r="D43" t="s">
        <x:v>781</x:v>
      </x:c>
      <x:c r="E43" t="s">
        <x:v>693</x:v>
      </x:c>
      <x:c r="F43" t="s">
        <x:v>672</x:v>
      </x:c>
      <x:c r="G43" t="s">
        <x:v>684</x:v>
      </x:c>
      <x:c r="H43" t="s">
        <x:v>782</x:v>
      </x:c>
      <x:c r="I43" t="s">
        <x:v>674</x:v>
      </x:c>
      <x:c r="J43" t="s">
        <x:v>686</x:v>
      </x:c>
      <x:c r="K43" t="s">
        <x:v>563</x:v>
      </x:c>
      <x:c r="L43" t="s">
        <x:v>783</x:v>
      </x:c>
      <x:c r="M43" t="s">
        <x:v>778</x:v>
      </x:c>
      <x:c r="O43" t="str">
        <x:v>已验收通过</x:v>
      </x:c>
    </x:row>
    <x:row r="44">
      <x:c r="A44" s="2" t="s">
        <x:v>784</x:v>
      </x:c>
      <x:c r="B44" t="s">
        <x:v>474</x:v>
      </x:c>
      <x:c r="C44" t="s">
        <x:v>785</x:v>
      </x:c>
      <x:c r="D44" t="s">
        <x:v>786</x:v>
      </x:c>
      <x:c r="E44" t="s">
        <x:v>693</x:v>
      </x:c>
      <x:c r="F44" t="s">
        <x:v>787</x:v>
      </x:c>
      <x:c r="G44" t="s">
        <x:v>684</x:v>
      </x:c>
      <x:c r="H44" t="s">
        <x:v>788</x:v>
      </x:c>
      <x:c r="I44" t="s">
        <x:v>674</x:v>
      </x:c>
      <x:c r="J44" t="s">
        <x:v>686</x:v>
      </x:c>
      <x:c r="K44" t="s">
        <x:v>563</x:v>
      </x:c>
      <x:c r="L44" t="s">
        <x:v>789</x:v>
      </x:c>
      <x:c r="M44" t="s">
        <x:v>790</x:v>
      </x:c>
      <x:c r="O44" t="str">
        <x:v>已验收通过</x:v>
      </x:c>
    </x:row>
    <x:row r="45">
      <x:c r="A45" s="2" t="s">
        <x:v>791</x:v>
      </x:c>
      <x:c r="B45" t="s">
        <x:v>474</x:v>
      </x:c>
      <x:c r="C45" t="s">
        <x:v>792</x:v>
      </x:c>
      <x:c r="D45" t="s">
        <x:v>793</x:v>
      </x:c>
      <x:c r="E45" t="s">
        <x:v>693</x:v>
      </x:c>
      <x:c r="F45" t="s">
        <x:v>787</x:v>
      </x:c>
      <x:c r="G45" t="s">
        <x:v>684</x:v>
      </x:c>
      <x:c r="H45" t="s">
        <x:v>788</x:v>
      </x:c>
      <x:c r="I45" t="s">
        <x:v>674</x:v>
      </x:c>
      <x:c r="J45" t="s">
        <x:v>686</x:v>
      </x:c>
      <x:c r="K45" t="s">
        <x:v>563</x:v>
      </x:c>
      <x:c r="L45" t="s">
        <x:v>789</x:v>
      </x:c>
      <x:c r="M45" t="s">
        <x:v>790</x:v>
      </x:c>
      <x:c r="O45" t="str">
        <x:v>已验收通过</x:v>
      </x:c>
    </x:row>
    <x:row r="46">
      <x:c r="A46" s="2" t="s">
        <x:v>794</x:v>
      </x:c>
      <x:c r="B46" t="s">
        <x:v>474</x:v>
      </x:c>
      <x:c r="C46" t="s">
        <x:v>795</x:v>
      </x:c>
      <x:c r="D46" t="s">
        <x:v>796</x:v>
      </x:c>
      <x:c r="E46" t="s">
        <x:v>693</x:v>
      </x:c>
      <x:c r="F46" t="s">
        <x:v>787</x:v>
      </x:c>
      <x:c r="G46" t="s">
        <x:v>684</x:v>
      </x:c>
      <x:c r="H46" t="s">
        <x:v>788</x:v>
      </x:c>
      <x:c r="I46" t="s">
        <x:v>674</x:v>
      </x:c>
      <x:c r="J46" t="s">
        <x:v>686</x:v>
      </x:c>
      <x:c r="K46" t="s">
        <x:v>563</x:v>
      </x:c>
      <x:c r="L46" t="s">
        <x:v>789</x:v>
      </x:c>
      <x:c r="M46" t="s">
        <x:v>790</x:v>
      </x:c>
      <x:c r="O46" t="str">
        <x:v>已验收通过</x:v>
      </x:c>
    </x:row>
    <x:row r="47">
      <x:c r="A47" s="2" t="s">
        <x:v>797</x:v>
      </x:c>
      <x:c r="B47" t="s">
        <x:v>474</x:v>
      </x:c>
      <x:c r="C47" t="s">
        <x:v>798</x:v>
      </x:c>
      <x:c r="D47" t="s">
        <x:v>798</x:v>
      </x:c>
      <x:c r="E47" t="s">
        <x:v>586</x:v>
      </x:c>
      <x:c r="F47" t="s">
        <x:v>787</x:v>
      </x:c>
      <x:c r="G47" t="s">
        <x:v>684</x:v>
      </x:c>
      <x:c r="H47" t="s">
        <x:v>788</x:v>
      </x:c>
      <x:c r="I47" t="s">
        <x:v>674</x:v>
      </x:c>
      <x:c r="J47" t="s">
        <x:v>686</x:v>
      </x:c>
      <x:c r="K47" t="s">
        <x:v>563</x:v>
      </x:c>
      <x:c r="L47" t="s">
        <x:v>789</x:v>
      </x:c>
      <x:c r="M47" t="s">
        <x:v>790</x:v>
      </x:c>
      <x:c r="O47" t="str">
        <x:v>已验收通过</x:v>
      </x:c>
    </x:row>
    <x:row r="48">
      <x:c r="A48" s="2" t="s">
        <x:v>799</x:v>
      </x:c>
      <x:c r="B48" t="s">
        <x:v>474</x:v>
      </x:c>
      <x:c r="C48" t="s">
        <x:v>800</x:v>
      </x:c>
      <x:c r="D48" t="s">
        <x:v>801</x:v>
      </x:c>
      <x:c r="E48" t="s">
        <x:v>693</x:v>
      </x:c>
      <x:c r="F48" t="s">
        <x:v>787</x:v>
      </x:c>
      <x:c r="G48" t="s">
        <x:v>684</x:v>
      </x:c>
      <x:c r="H48" t="s">
        <x:v>788</x:v>
      </x:c>
      <x:c r="I48" t="s">
        <x:v>674</x:v>
      </x:c>
      <x:c r="J48" t="s">
        <x:v>686</x:v>
      </x:c>
      <x:c r="K48" t="s">
        <x:v>563</x:v>
      </x:c>
      <x:c r="L48" t="s">
        <x:v>789</x:v>
      </x:c>
      <x:c r="M48" t="s">
        <x:v>790</x:v>
      </x:c>
      <x:c r="O48" t="str">
        <x:v>已验收通过</x:v>
      </x:c>
    </x:row>
    <x:row r="49">
      <x:c r="A49" s="2" t="s">
        <x:v>802</x:v>
      </x:c>
      <x:c r="B49" t="s">
        <x:v>474</x:v>
      </x:c>
      <x:c r="C49" t="s">
        <x:v>803</x:v>
      </x:c>
      <x:c r="D49" t="s">
        <x:v>804</x:v>
      </x:c>
      <x:c r="E49" t="s">
        <x:v>693</x:v>
      </x:c>
      <x:c r="F49" t="s">
        <x:v>787</x:v>
      </x:c>
      <x:c r="G49" t="s">
        <x:v>684</x:v>
      </x:c>
      <x:c r="H49" t="s">
        <x:v>788</x:v>
      </x:c>
      <x:c r="I49" t="s">
        <x:v>674</x:v>
      </x:c>
      <x:c r="J49" t="s">
        <x:v>686</x:v>
      </x:c>
      <x:c r="K49" t="s">
        <x:v>563</x:v>
      </x:c>
      <x:c r="L49" t="s">
        <x:v>789</x:v>
      </x:c>
      <x:c r="M49" t="s">
        <x:v>790</x:v>
      </x:c>
      <x:c r="O49" t="str">
        <x:v>已验收通过</x:v>
      </x:c>
    </x:row>
    <x:row r="50">
      <x:c r="A50" s="2" t="s">
        <x:v>805</x:v>
      </x:c>
      <x:c r="B50" t="s">
        <x:v>486</x:v>
      </x:c>
      <x:c r="C50" t="s">
        <x:v>806</x:v>
      </x:c>
      <x:c r="D50" t="s">
        <x:v>806</x:v>
      </x:c>
      <x:c r="E50" t="s">
        <x:v>586</x:v>
      </x:c>
      <x:c r="F50" t="s">
        <x:v>807</x:v>
      </x:c>
      <x:c r="G50" t="s">
        <x:v>808</x:v>
      </x:c>
      <x:c r="H50" t="s">
        <x:v>788</x:v>
      </x:c>
      <x:c r="I50" t="s">
        <x:v>674</x:v>
      </x:c>
      <x:c r="J50" t="s">
        <x:v>809</x:v>
      </x:c>
      <x:c r="K50" t="s">
        <x:v>563</x:v>
      </x:c>
      <x:c r="L50" t="s">
        <x:v>810</x:v>
      </x:c>
      <x:c r="M50" t="s">
        <x:v>811</x:v>
      </x:c>
      <x:c r="O50" t="str">
        <x:v>已验收通过</x:v>
      </x:c>
    </x:row>
    <x:row r="51">
      <x:c r="A51" s="2" t="s">
        <x:v>812</x:v>
      </x:c>
      <x:c r="B51" t="s">
        <x:v>486</x:v>
      </x:c>
      <x:c r="C51" t="s">
        <x:v>813</x:v>
      </x:c>
      <x:c r="D51" t="s">
        <x:v>813</x:v>
      </x:c>
      <x:c r="E51" t="s">
        <x:v>586</x:v>
      </x:c>
      <x:c r="F51" t="s">
        <x:v>807</x:v>
      </x:c>
      <x:c r="G51" t="s">
        <x:v>808</x:v>
      </x:c>
      <x:c r="H51" t="s">
        <x:v>788</x:v>
      </x:c>
      <x:c r="I51" t="s">
        <x:v>674</x:v>
      </x:c>
      <x:c r="J51" t="s">
        <x:v>809</x:v>
      </x:c>
      <x:c r="K51" t="s">
        <x:v>563</x:v>
      </x:c>
      <x:c r="L51" t="s">
        <x:v>810</x:v>
      </x:c>
      <x:c r="M51" t="s">
        <x:v>811</x:v>
      </x:c>
      <x:c r="O51" t="str">
        <x:v>已验收通过</x:v>
      </x:c>
    </x:row>
    <x:row r="52">
      <x:c r="A52" s="2" t="s">
        <x:v>814</x:v>
      </x:c>
      <x:c r="B52" t="s">
        <x:v>486</x:v>
      </x:c>
      <x:c r="C52" t="s">
        <x:v>815</x:v>
      </x:c>
      <x:c r="D52" t="s">
        <x:v>815</x:v>
      </x:c>
      <x:c r="E52" t="s">
        <x:v>586</x:v>
      </x:c>
      <x:c r="F52" t="s">
        <x:v>807</x:v>
      </x:c>
      <x:c r="G52" t="s">
        <x:v>808</x:v>
      </x:c>
      <x:c r="H52" t="s">
        <x:v>788</x:v>
      </x:c>
      <x:c r="I52" t="s">
        <x:v>674</x:v>
      </x:c>
      <x:c r="J52" t="s">
        <x:v>809</x:v>
      </x:c>
      <x:c r="K52" t="s">
        <x:v>563</x:v>
      </x:c>
      <x:c r="L52" t="s">
        <x:v>810</x:v>
      </x:c>
      <x:c r="M52" t="s">
        <x:v>811</x:v>
      </x:c>
      <x:c r="O52" t="str">
        <x:v>已验收通过</x:v>
      </x:c>
    </x:row>
    <x:row r="53">
      <x:c r="A53" s="2" t="s">
        <x:v>816</x:v>
      </x:c>
      <x:c r="B53" t="s">
        <x:v>486</x:v>
      </x:c>
      <x:c r="C53" t="s">
        <x:v>817</x:v>
      </x:c>
      <x:c r="D53" t="s">
        <x:v>817</x:v>
      </x:c>
      <x:c r="E53" t="s">
        <x:v>586</x:v>
      </x:c>
      <x:c r="F53" t="s">
        <x:v>807</x:v>
      </x:c>
      <x:c r="G53" t="s">
        <x:v>808</x:v>
      </x:c>
      <x:c r="H53" t="s">
        <x:v>788</x:v>
      </x:c>
      <x:c r="I53" t="s">
        <x:v>674</x:v>
      </x:c>
      <x:c r="J53" t="s">
        <x:v>809</x:v>
      </x:c>
      <x:c r="K53" t="s">
        <x:v>563</x:v>
      </x:c>
      <x:c r="L53" t="s">
        <x:v>810</x:v>
      </x:c>
      <x:c r="M53" t="s">
        <x:v>811</x:v>
      </x:c>
      <x:c r="O53" t="str">
        <x:v>已验收通过</x:v>
      </x:c>
    </x:row>
    <x:row r="54">
      <x:c r="A54" s="2" t="s">
        <x:v>818</x:v>
      </x:c>
      <x:c r="B54" t="s">
        <x:v>503</x:v>
      </x:c>
      <x:c r="C54" t="s">
        <x:v>628</x:v>
      </x:c>
      <x:c r="D54" t="s">
        <x:v>628</x:v>
      </x:c>
      <x:c r="E54" t="s">
        <x:v>586</x:v>
      </x:c>
      <x:c r="F54" t="s">
        <x:v>618</x:v>
      </x:c>
      <x:c r="G54" t="s">
        <x:v>819</x:v>
      </x:c>
      <x:c r="H54" t="s">
        <x:v>820</x:v>
      </x:c>
      <x:c r="I54" t="s">
        <x:v>655</x:v>
      </x:c>
      <x:c r="J54" t="s">
        <x:v>701</x:v>
      </x:c>
      <x:c r="K54" t="s">
        <x:v>563</x:v>
      </x:c>
      <x:c r="L54" t="s">
        <x:v>821</x:v>
      </x:c>
      <x:c r="M54" t="s">
        <x:v>790</x:v>
      </x:c>
      <x:c r="O54" t="str">
        <x:v>已验收通过</x:v>
      </x:c>
    </x:row>
    <x:row r="55">
      <x:c r="A55" s="2" t="s">
        <x:v>822</x:v>
      </x:c>
      <x:c r="B55" t="s">
        <x:v>503</x:v>
      </x:c>
      <x:c r="C55" t="s">
        <x:v>585</x:v>
      </x:c>
      <x:c r="D55" t="s">
        <x:v>585</x:v>
      </x:c>
      <x:c r="E55" t="s">
        <x:v>586</x:v>
      </x:c>
      <x:c r="F55" t="s">
        <x:v>618</x:v>
      </x:c>
      <x:c r="G55" t="s">
        <x:v>819</x:v>
      </x:c>
      <x:c r="H55" t="s">
        <x:v>820</x:v>
      </x:c>
      <x:c r="I55" t="s">
        <x:v>655</x:v>
      </x:c>
      <x:c r="J55" t="s">
        <x:v>701</x:v>
      </x:c>
      <x:c r="K55" t="s">
        <x:v>563</x:v>
      </x:c>
      <x:c r="L55" t="s">
        <x:v>821</x:v>
      </x:c>
      <x:c r="M55" t="s">
        <x:v>790</x:v>
      </x:c>
      <x:c r="O55" t="str">
        <x:v>已验收通过</x:v>
      </x:c>
    </x:row>
    <x:row r="56">
      <x:c r="A56" s="2" t="s">
        <x:v>823</x:v>
      </x:c>
      <x:c r="B56" t="s">
        <x:v>503</x:v>
      </x:c>
      <x:c r="C56" t="s">
        <x:v>824</x:v>
      </x:c>
      <x:c r="D56" t="s">
        <x:v>825</x:v>
      </x:c>
      <x:c r="E56" t="s">
        <x:v>826</x:v>
      </x:c>
      <x:c r="F56" t="s">
        <x:v>672</x:v>
      </x:c>
      <x:c r="G56" t="s">
        <x:v>684</x:v>
      </x:c>
      <x:c r="H56" t="s">
        <x:v>827</x:v>
      </x:c>
      <x:c r="I56" t="s">
        <x:v>674</x:v>
      </x:c>
      <x:c r="J56" t="s">
        <x:v>686</x:v>
      </x:c>
      <x:c r="K56" t="s">
        <x:v>563</x:v>
      </x:c>
      <x:c r="L56" t="s">
        <x:v>828</x:v>
      </x:c>
      <x:c r="M56" t="s">
        <x:v>790</x:v>
      </x:c>
      <x:c r="O56" t="str">
        <x:v>已验收通过</x:v>
      </x:c>
    </x:row>
    <x:row r="57">
      <x:c r="A57" s="2" t="s">
        <x:v>829</x:v>
      </x:c>
      <x:c r="B57" t="s">
        <x:v>503</x:v>
      </x:c>
      <x:c r="C57" t="s">
        <x:v>830</x:v>
      </x:c>
      <x:c r="D57" t="s">
        <x:v>831</x:v>
      </x:c>
      <x:c r="E57" t="s">
        <x:v>826</x:v>
      </x:c>
      <x:c r="F57" t="s">
        <x:v>672</x:v>
      </x:c>
      <x:c r="G57" t="s">
        <x:v>684</x:v>
      </x:c>
      <x:c r="H57" t="s">
        <x:v>827</x:v>
      </x:c>
      <x:c r="I57" t="s">
        <x:v>674</x:v>
      </x:c>
      <x:c r="J57" t="s">
        <x:v>686</x:v>
      </x:c>
      <x:c r="K57" t="s">
        <x:v>563</x:v>
      </x:c>
      <x:c r="L57" t="s">
        <x:v>828</x:v>
      </x:c>
      <x:c r="M57" t="s">
        <x:v>790</x:v>
      </x:c>
      <x:c r="O57" t="str">
        <x:v>已验收通过</x:v>
      </x:c>
    </x:row>
    <x:row r="58">
      <x:c r="A58" s="2" t="s">
        <x:v>832</x:v>
      </x:c>
      <x:c r="B58" t="s">
        <x:v>503</x:v>
      </x:c>
      <x:c r="C58" t="s">
        <x:v>833</x:v>
      </x:c>
      <x:c r="D58" t="s">
        <x:v>834</x:v>
      </x:c>
      <x:c r="E58" t="s">
        <x:v>826</x:v>
      </x:c>
      <x:c r="F58" t="s">
        <x:v>672</x:v>
      </x:c>
      <x:c r="G58" t="s">
        <x:v>684</x:v>
      </x:c>
      <x:c r="H58" t="s">
        <x:v>827</x:v>
      </x:c>
      <x:c r="I58" t="s">
        <x:v>674</x:v>
      </x:c>
      <x:c r="J58" t="s">
        <x:v>686</x:v>
      </x:c>
      <x:c r="K58" t="s">
        <x:v>563</x:v>
      </x:c>
      <x:c r="L58" t="s">
        <x:v>828</x:v>
      </x:c>
      <x:c r="M58" t="s">
        <x:v>790</x:v>
      </x:c>
      <x:c r="O58" t="str">
        <x:v>已验收通过</x:v>
      </x:c>
    </x:row>
    <x:row r="59">
      <x:c r="A59" s="2" t="s">
        <x:v>835</x:v>
      </x:c>
      <x:c r="B59" t="s">
        <x:v>270</x:v>
      </x:c>
      <x:c r="C59" t="s">
        <x:v>670</x:v>
      </x:c>
      <x:c r="D59" t="s">
        <x:v>755</x:v>
      </x:c>
      <x:c r="E59" t="s">
        <x:v>693</x:v>
      </x:c>
      <x:c r="F59" t="s">
        <x:v>836</x:v>
      </x:c>
      <x:c r="G59" t="s">
        <x:v>837</x:v>
      </x:c>
      <x:c r="H59" t="s">
        <x:v>838</x:v>
      </x:c>
      <x:c r="I59" t="s">
        <x:v>655</x:v>
      </x:c>
      <x:c r="J59" t="s">
        <x:v>839</x:v>
      </x:c>
      <x:c r="K59" t="s">
        <x:v>563</x:v>
      </x:c>
      <x:c r="L59" t="s">
        <x:v>840</x:v>
      </x:c>
      <x:c r="M59" t="s">
        <x:v>841</x:v>
      </x:c>
      <x:c r="O59" t="str">
        <x:v>已验收通过</x:v>
      </x:c>
    </x:row>
    <x:row r="60">
      <x:c r="A60" s="2" t="s">
        <x:v>842</x:v>
      </x:c>
      <x:c r="B60" t="s">
        <x:v>270</x:v>
      </x:c>
      <x:c r="C60" t="s">
        <x:v>806</x:v>
      </x:c>
      <x:c r="D60" t="s">
        <x:v>806</x:v>
      </x:c>
      <x:c r="E60" t="s">
        <x:v>586</x:v>
      </x:c>
      <x:c r="F60" t="s">
        <x:v>843</x:v>
      </x:c>
      <x:c r="G60" t="s">
        <x:v>844</x:v>
      </x:c>
      <x:c r="H60" t="s">
        <x:v>845</x:v>
      </x:c>
      <x:c r="I60" t="s">
        <x:v>665</x:v>
      </x:c>
      <x:c r="J60" t="s">
        <x:v>846</x:v>
      </x:c>
      <x:c r="K60" t="s">
        <x:v>563</x:v>
      </x:c>
      <x:c r="L60" t="s">
        <x:v>847</x:v>
      </x:c>
      <x:c r="M60" t="s">
        <x:v>848</x:v>
      </x:c>
      <x:c r="N60" t="s">
        <x:v>849</x:v>
      </x:c>
      <x:c r="O60" t="str">
        <x:v>已验收通过</x:v>
      </x:c>
    </x:row>
    <x:row r="61">
      <x:c r="A61" s="2" t="s">
        <x:v>850</x:v>
      </x:c>
      <x:c r="B61" t="s">
        <x:v>270</x:v>
      </x:c>
      <x:c r="C61" t="s">
        <x:v>813</x:v>
      </x:c>
      <x:c r="D61" t="s">
        <x:v>813</x:v>
      </x:c>
      <x:c r="E61" t="s">
        <x:v>586</x:v>
      </x:c>
      <x:c r="F61" t="s">
        <x:v>843</x:v>
      </x:c>
      <x:c r="G61" t="s">
        <x:v>844</x:v>
      </x:c>
      <x:c r="H61" t="s">
        <x:v>845</x:v>
      </x:c>
      <x:c r="I61" t="s">
        <x:v>665</x:v>
      </x:c>
      <x:c r="J61" t="s">
        <x:v>846</x:v>
      </x:c>
      <x:c r="K61" t="s">
        <x:v>563</x:v>
      </x:c>
      <x:c r="L61" t="s">
        <x:v>847</x:v>
      </x:c>
      <x:c r="M61" t="s">
        <x:v>848</x:v>
      </x:c>
      <x:c r="N61" t="s">
        <x:v>849</x:v>
      </x:c>
      <x:c r="O61" t="str">
        <x:v>已验收通过</x:v>
      </x:c>
    </x:row>
    <x:row r="62">
      <x:c r="A62" s="2" t="s">
        <x:v>851</x:v>
      </x:c>
      <x:c r="B62" t="s">
        <x:v>291</x:v>
      </x:c>
      <x:c r="C62" t="s">
        <x:v>852</x:v>
      </x:c>
      <x:c r="D62" t="s">
        <x:v>853</x:v>
      </x:c>
      <x:c r="E62" t="s">
        <x:v>558</x:v>
      </x:c>
      <x:c r="F62" t="s">
        <x:v>683</x:v>
      </x:c>
      <x:c r="G62" t="s">
        <x:v>684</x:v>
      </x:c>
      <x:c r="H62" t="s">
        <x:v>854</x:v>
      </x:c>
      <x:c r="I62" t="s">
        <x:v>674</x:v>
      </x:c>
      <x:c r="J62" t="s">
        <x:v>686</x:v>
      </x:c>
      <x:c r="K62" t="s">
        <x:v>563</x:v>
      </x:c>
      <x:c r="L62" t="s">
        <x:v>855</x:v>
      </x:c>
      <x:c r="M62" t="s">
        <x:v>856</x:v>
      </x:c>
      <x:c r="O62" t="str">
        <x:v>已验收通过</x:v>
      </x:c>
    </x:row>
    <x:row r="63">
      <x:c r="A63" s="2" t="s">
        <x:v>857</x:v>
      </x:c>
      <x:c r="B63" t="s">
        <x:v>515</x:v>
      </x:c>
      <x:c r="C63" t="s">
        <x:v>858</x:v>
      </x:c>
      <x:c r="D63" t="s">
        <x:v>859</x:v>
      </x:c>
      <x:c r="E63" t="s">
        <x:v>693</x:v>
      </x:c>
      <x:c r="F63" t="s">
        <x:v>683</x:v>
      </x:c>
      <x:c r="G63" t="s">
        <x:v>684</x:v>
      </x:c>
      <x:c r="H63" t="s">
        <x:v>854</x:v>
      </x:c>
      <x:c r="I63" t="s">
        <x:v>674</x:v>
      </x:c>
      <x:c r="J63" t="s">
        <x:v>686</x:v>
      </x:c>
      <x:c r="K63" t="s">
        <x:v>563</x:v>
      </x:c>
      <x:c r="L63" t="s">
        <x:v>860</x:v>
      </x:c>
      <x:c r="M63" t="s">
        <x:v>861</x:v>
      </x:c>
      <x:c r="O63" t="str">
        <x:v>已验收通过</x:v>
      </x:c>
    </x:row>
    <x:row r="64">
      <x:c r="A64" s="2" t="s">
        <x:v>862</x:v>
      </x:c>
      <x:c r="B64" t="s">
        <x:v>515</x:v>
      </x:c>
      <x:c r="C64" t="s">
        <x:v>863</x:v>
      </x:c>
      <x:c r="D64" t="s">
        <x:v>864</x:v>
      </x:c>
      <x:c r="E64" t="s">
        <x:v>693</x:v>
      </x:c>
      <x:c r="F64" t="s">
        <x:v>683</x:v>
      </x:c>
      <x:c r="G64" t="s">
        <x:v>684</x:v>
      </x:c>
      <x:c r="H64" t="s">
        <x:v>854</x:v>
      </x:c>
      <x:c r="I64" t="s">
        <x:v>674</x:v>
      </x:c>
      <x:c r="J64" t="s">
        <x:v>686</x:v>
      </x:c>
      <x:c r="K64" t="s">
        <x:v>563</x:v>
      </x:c>
      <x:c r="L64" t="s">
        <x:v>860</x:v>
      </x:c>
      <x:c r="M64" t="s">
        <x:v>861</x:v>
      </x:c>
      <x:c r="O64" t="str">
        <x:v>已验收通过</x:v>
      </x:c>
    </x:row>
    <x:row r="65">
      <x:c r="A65" s="2" t="s">
        <x:v>865</x:v>
      </x:c>
      <x:c r="B65" t="s">
        <x:v>529</x:v>
      </x:c>
      <x:c r="C65" t="s">
        <x:v>628</x:v>
      </x:c>
      <x:c r="D65" t="s">
        <x:v>628</x:v>
      </x:c>
      <x:c r="E65" t="s">
        <x:v>586</x:v>
      </x:c>
      <x:c r="F65" t="s">
        <x:v>836</x:v>
      </x:c>
      <x:c r="G65" t="s">
        <x:v>819</x:v>
      </x:c>
      <x:c r="H65" t="s">
        <x:v>866</x:v>
      </x:c>
      <x:c r="I65" t="s">
        <x:v>655</x:v>
      </x:c>
      <x:c r="J65" t="s">
        <x:v>867</x:v>
      </x:c>
      <x:c r="K65" t="s">
        <x:v>563</x:v>
      </x:c>
      <x:c r="L65" t="s">
        <x:v>868</x:v>
      </x:c>
      <x:c r="M65" t="s">
        <x:v>869</x:v>
      </x:c>
      <x:c r="O65" t="str">
        <x:v>已验收通过</x:v>
      </x:c>
    </x:row>
    <x:row r="66">
      <x:c r="A66" s="2" t="s">
        <x:v>870</x:v>
      </x:c>
      <x:c r="B66" t="s">
        <x:v>529</x:v>
      </x:c>
      <x:c r="C66" t="s">
        <x:v>585</x:v>
      </x:c>
      <x:c r="D66" t="s">
        <x:v>585</x:v>
      </x:c>
      <x:c r="E66" t="s">
        <x:v>586</x:v>
      </x:c>
      <x:c r="F66" t="s">
        <x:v>836</x:v>
      </x:c>
      <x:c r="G66" t="s">
        <x:v>819</x:v>
      </x:c>
      <x:c r="H66" t="s">
        <x:v>866</x:v>
      </x:c>
      <x:c r="I66" t="s">
        <x:v>655</x:v>
      </x:c>
      <x:c r="J66" t="s">
        <x:v>867</x:v>
      </x:c>
      <x:c r="K66" t="s">
        <x:v>563</x:v>
      </x:c>
      <x:c r="L66" t="s">
        <x:v>868</x:v>
      </x:c>
      <x:c r="M66" t="s">
        <x:v>869</x:v>
      </x:c>
      <x:c r="O66" t="str">
        <x:v>已验收通过</x:v>
      </x:c>
    </x:row>
    <x:row r="67">
      <x:c r="A67" s="2" t="s">
        <x:v>871</x:v>
      </x:c>
      <x:c r="B67" t="s">
        <x:v>529</x:v>
      </x:c>
      <x:c r="C67" t="s">
        <x:v>806</x:v>
      </x:c>
      <x:c r="D67" t="s">
        <x:v>806</x:v>
      </x:c>
      <x:c r="E67" t="s">
        <x:v>586</x:v>
      </x:c>
      <x:c r="F67" t="s">
        <x:v>836</x:v>
      </x:c>
      <x:c r="G67" t="s">
        <x:v>819</x:v>
      </x:c>
      <x:c r="H67" t="s">
        <x:v>866</x:v>
      </x:c>
      <x:c r="I67" t="s">
        <x:v>655</x:v>
      </x:c>
      <x:c r="J67" t="s">
        <x:v>867</x:v>
      </x:c>
      <x:c r="K67" t="s">
        <x:v>563</x:v>
      </x:c>
      <x:c r="L67" t="s">
        <x:v>868</x:v>
      </x:c>
      <x:c r="M67" t="s">
        <x:v>869</x:v>
      </x:c>
      <x:c r="O67" t="str">
        <x:v>已验收通过</x:v>
      </x:c>
    </x:row>
    <x:row r="68">
      <x:c r="A68" s="2" t="s">
        <x:v>872</x:v>
      </x:c>
      <x:c r="B68" t="s">
        <x:v>529</x:v>
      </x:c>
      <x:c r="C68" t="s">
        <x:v>813</x:v>
      </x:c>
      <x:c r="D68" t="s">
        <x:v>813</x:v>
      </x:c>
      <x:c r="E68" t="s">
        <x:v>586</x:v>
      </x:c>
      <x:c r="F68" t="s">
        <x:v>836</x:v>
      </x:c>
      <x:c r="G68" t="s">
        <x:v>819</x:v>
      </x:c>
      <x:c r="H68" t="s">
        <x:v>866</x:v>
      </x:c>
      <x:c r="I68" t="s">
        <x:v>655</x:v>
      </x:c>
      <x:c r="J68" t="s">
        <x:v>867</x:v>
      </x:c>
      <x:c r="K68" t="s">
        <x:v>563</x:v>
      </x:c>
      <x:c r="L68" t="s">
        <x:v>868</x:v>
      </x:c>
      <x:c r="M68" t="s">
        <x:v>869</x:v>
      </x:c>
      <x:c r="O68" t="str">
        <x:v>已验收通过</x:v>
      </x:c>
    </x:row>
    <x:row r="69">
      <x:c r="A69" s="2" t="s">
        <x:v>873</x:v>
      </x:c>
      <x:c r="B69" t="s">
        <x:v>529</x:v>
      </x:c>
      <x:c r="C69" t="s">
        <x:v>833</x:v>
      </x:c>
      <x:c r="D69" t="s">
        <x:v>834</x:v>
      </x:c>
      <x:c r="E69" t="s">
        <x:v>826</x:v>
      </x:c>
      <x:c r="F69" t="s">
        <x:v>874</x:v>
      </x:c>
      <x:c r="G69" t="s">
        <x:v>875</x:v>
      </x:c>
      <x:c r="H69" t="s">
        <x:v>827</x:v>
      </x:c>
      <x:c r="I69" t="s">
        <x:v>665</x:v>
      </x:c>
      <x:c r="J69" t="s">
        <x:v>721</x:v>
      </x:c>
      <x:c r="K69" t="s">
        <x:v>563</x:v>
      </x:c>
      <x:c r="L69" t="s">
        <x:v>868</x:v>
      </x:c>
      <x:c r="M69" t="s">
        <x:v>869</x:v>
      </x:c>
      <x:c r="O69" t="str">
        <x:v>已验收通过</x:v>
      </x:c>
    </x:row>
    <x:row r="70">
      <x:c r="A70" s="2" t="s">
        <x:v>876</x:v>
      </x:c>
      <x:c r="B70" t="s">
        <x:v>529</x:v>
      </x:c>
      <x:c r="C70" t="s">
        <x:v>877</x:v>
      </x:c>
      <x:c r="D70" t="s">
        <x:v>877</x:v>
      </x:c>
      <x:c r="E70" t="s">
        <x:v>826</x:v>
      </x:c>
      <x:c r="F70" t="s">
        <x:v>874</x:v>
      </x:c>
      <x:c r="G70" t="s">
        <x:v>684</x:v>
      </x:c>
      <x:c r="H70" t="s">
        <x:v>827</x:v>
      </x:c>
      <x:c r="I70" t="s">
        <x:v>674</x:v>
      </x:c>
      <x:c r="J70" t="s">
        <x:v>721</x:v>
      </x:c>
      <x:c r="K70" t="s">
        <x:v>563</x:v>
      </x:c>
      <x:c r="L70" t="s">
        <x:v>868</x:v>
      </x:c>
      <x:c r="M70" t="s">
        <x:v>869</x:v>
      </x:c>
      <x:c r="O70" t="str">
        <x:v>已验收通过</x:v>
      </x:c>
    </x:row>
    <x:row r="71">
      <x:c r="A71" s="2" t="s">
        <x:v>878</x:v>
      </x:c>
      <x:c r="B71" t="s">
        <x:v>529</x:v>
      </x:c>
      <x:c r="C71" t="s">
        <x:v>879</x:v>
      </x:c>
      <x:c r="D71" t="s">
        <x:v>880</x:v>
      </x:c>
      <x:c r="E71" t="s">
        <x:v>826</x:v>
      </x:c>
      <x:c r="F71" t="s">
        <x:v>874</x:v>
      </x:c>
      <x:c r="G71" t="s">
        <x:v>684</x:v>
      </x:c>
      <x:c r="H71" t="s">
        <x:v>827</x:v>
      </x:c>
      <x:c r="I71" t="s">
        <x:v>674</x:v>
      </x:c>
      <x:c r="J71" t="s">
        <x:v>721</x:v>
      </x:c>
      <x:c r="K71" t="s">
        <x:v>563</x:v>
      </x:c>
      <x:c r="L71" t="s">
        <x:v>868</x:v>
      </x:c>
      <x:c r="M71" t="s">
        <x:v>869</x:v>
      </x:c>
      <x:c r="O71" t="str">
        <x:v>已验收通过</x:v>
      </x:c>
    </x:row>
    <x:row r="72">
      <x:c r="A72" s="2" t="s">
        <x:v>881</x:v>
      </x:c>
      <x:c r="B72" t="s">
        <x:v>529</x:v>
      </x:c>
      <x:c r="C72" t="s">
        <x:v>882</x:v>
      </x:c>
      <x:c r="D72" t="s">
        <x:v>882</x:v>
      </x:c>
      <x:c r="E72" t="s">
        <x:v>826</x:v>
      </x:c>
      <x:c r="F72" t="s">
        <x:v>874</x:v>
      </x:c>
      <x:c r="G72" t="s">
        <x:v>684</x:v>
      </x:c>
      <x:c r="H72" t="s">
        <x:v>827</x:v>
      </x:c>
      <x:c r="I72" t="s">
        <x:v>674</x:v>
      </x:c>
      <x:c r="J72" t="s">
        <x:v>721</x:v>
      </x:c>
      <x:c r="K72" t="s">
        <x:v>563</x:v>
      </x:c>
      <x:c r="L72" t="s">
        <x:v>868</x:v>
      </x:c>
      <x:c r="M72" t="s">
        <x:v>869</x:v>
      </x:c>
      <x:c r="O72" t="str">
        <x:v>已验收通过</x:v>
      </x:c>
    </x:row>
    <x:row r="73">
      <x:c r="A73" s="2" t="s">
        <x:v>883</x:v>
      </x:c>
      <x:c r="B73" t="s">
        <x:v>529</x:v>
      </x:c>
      <x:c r="C73" t="s">
        <x:v>884</x:v>
      </x:c>
      <x:c r="D73" t="s">
        <x:v>884</x:v>
      </x:c>
      <x:c r="E73" t="s">
        <x:v>826</x:v>
      </x:c>
      <x:c r="F73" t="s">
        <x:v>874</x:v>
      </x:c>
      <x:c r="G73" t="s">
        <x:v>684</x:v>
      </x:c>
      <x:c r="H73" t="s">
        <x:v>827</x:v>
      </x:c>
      <x:c r="I73" t="s">
        <x:v>674</x:v>
      </x:c>
      <x:c r="J73" t="s">
        <x:v>721</x:v>
      </x:c>
      <x:c r="K73" t="s">
        <x:v>563</x:v>
      </x:c>
      <x:c r="L73" t="s">
        <x:v>868</x:v>
      </x:c>
      <x:c r="M73" t="s">
        <x:v>869</x:v>
      </x:c>
      <x:c r="O73" t="str">
        <x:v>已验收通过</x:v>
      </x:c>
    </x:row>
    <x:row r="74">
      <x:c r="A74" s="2" t="s">
        <x:v>885</x:v>
      </x:c>
      <x:c r="B74" t="s">
        <x:v>529</x:v>
      </x:c>
      <x:c r="C74" t="s">
        <x:v>886</x:v>
      </x:c>
      <x:c r="D74" t="s">
        <x:v>886</x:v>
      </x:c>
      <x:c r="E74" t="s">
        <x:v>826</x:v>
      </x:c>
      <x:c r="F74" t="s">
        <x:v>874</x:v>
      </x:c>
      <x:c r="G74" t="s">
        <x:v>684</x:v>
      </x:c>
      <x:c r="H74" t="s">
        <x:v>827</x:v>
      </x:c>
      <x:c r="I74" t="s">
        <x:v>674</x:v>
      </x:c>
      <x:c r="J74" t="s">
        <x:v>721</x:v>
      </x:c>
      <x:c r="K74" t="s">
        <x:v>563</x:v>
      </x:c>
      <x:c r="L74" t="s">
        <x:v>868</x:v>
      </x:c>
      <x:c r="M74" t="s">
        <x:v>869</x:v>
      </x:c>
      <x:c r="O74" t="str">
        <x:v>已验收通过</x:v>
      </x:c>
    </x:row>
    <x:row r="75">
      <x:c r="A75" s="2" t="s">
        <x:v>887</x:v>
      </x:c>
      <x:c r="B75" t="s">
        <x:v>529</x:v>
      </x:c>
      <x:c r="C75" t="s">
        <x:v>888</x:v>
      </x:c>
      <x:c r="D75" t="s">
        <x:v>888</x:v>
      </x:c>
      <x:c r="E75" t="s">
        <x:v>826</x:v>
      </x:c>
      <x:c r="F75" t="s">
        <x:v>874</x:v>
      </x:c>
      <x:c r="G75" t="s">
        <x:v>684</x:v>
      </x:c>
      <x:c r="H75" t="s">
        <x:v>827</x:v>
      </x:c>
      <x:c r="I75" t="s">
        <x:v>674</x:v>
      </x:c>
      <x:c r="J75" t="s">
        <x:v>721</x:v>
      </x:c>
      <x:c r="K75" t="s">
        <x:v>563</x:v>
      </x:c>
      <x:c r="L75" t="s">
        <x:v>868</x:v>
      </x:c>
      <x:c r="M75" t="s">
        <x:v>869</x:v>
      </x:c>
      <x:c r="O75" t="str">
        <x:v>已验收通过</x:v>
      </x:c>
    </x:row>
    <x:row r="76">
      <x:c r="A76" s="2" t="s">
        <x:v>889</x:v>
      </x:c>
      <x:c r="B76" t="s">
        <x:v>529</x:v>
      </x:c>
      <x:c r="C76" t="s">
        <x:v>890</x:v>
      </x:c>
      <x:c r="D76" t="s">
        <x:v>891</x:v>
      </x:c>
      <x:c r="E76" t="s">
        <x:v>826</x:v>
      </x:c>
      <x:c r="F76" t="s">
        <x:v>874</x:v>
      </x:c>
      <x:c r="G76" t="s">
        <x:v>684</x:v>
      </x:c>
      <x:c r="H76" t="s">
        <x:v>827</x:v>
      </x:c>
      <x:c r="I76" t="s">
        <x:v>674</x:v>
      </x:c>
      <x:c r="J76" t="s">
        <x:v>721</x:v>
      </x:c>
      <x:c r="K76" t="s">
        <x:v>563</x:v>
      </x:c>
      <x:c r="L76" t="s">
        <x:v>868</x:v>
      </x:c>
      <x:c r="M76" t="s">
        <x:v>869</x:v>
      </x:c>
      <x:c r="O76" t="str">
        <x:v>已验收通过</x:v>
      </x:c>
    </x:row>
    <x:row r="77">
      <x:c r="A77" s="2" t="s">
        <x:v>892</x:v>
      </x:c>
      <x:c r="B77" t="s">
        <x:v>335</x:v>
      </x:c>
      <x:c r="C77" t="s">
        <x:v>893</x:v>
      </x:c>
      <x:c r="D77" t="s">
        <x:v>766</x:v>
      </x:c>
      <x:c r="E77" t="s">
        <x:v>558</x:v>
      </x:c>
      <x:c r="F77" t="s">
        <x:v>894</x:v>
      </x:c>
      <x:c r="G77" t="s">
        <x:v>97</x:v>
      </x:c>
      <x:c r="H77" t="s">
        <x:v>895</x:v>
      </x:c>
      <x:c r="I77" t="s">
        <x:v>896</x:v>
      </x:c>
      <x:c r="J77" t="s">
        <x:v>897</x:v>
      </x:c>
      <x:c r="K77" t="s">
        <x:v>563</x:v>
      </x:c>
      <x:c r="L77" t="s">
        <x:v>898</x:v>
      </x:c>
      <x:c r="M77" t="s">
        <x:v>899</x:v>
      </x:c>
      <x:c r="O77" t="str">
        <x:v>已验收通过</x:v>
      </x:c>
    </x:row>
    <x:row r="78">
      <x:c r="A78" s="2" t="s">
        <x:v>900</x:v>
      </x:c>
      <x:c r="B78" t="s">
        <x:v>335</x:v>
      </x:c>
      <x:c r="C78" t="s">
        <x:v>628</x:v>
      </x:c>
      <x:c r="D78" t="s">
        <x:v>628</x:v>
      </x:c>
      <x:c r="E78" t="s">
        <x:v>826</x:v>
      </x:c>
      <x:c r="F78" t="s">
        <x:v>901</x:v>
      </x:c>
      <x:c r="G78" t="s">
        <x:v>97</x:v>
      </x:c>
      <x:c r="H78" t="s">
        <x:v>902</x:v>
      </x:c>
      <x:c r="I78" t="s">
        <x:v>896</x:v>
      </x:c>
      <x:c r="J78" t="s">
        <x:v>903</x:v>
      </x:c>
      <x:c r="K78" t="s">
        <x:v>563</x:v>
      </x:c>
      <x:c r="L78" t="s">
        <x:v>904</x:v>
      </x:c>
      <x:c r="M78" t="s">
        <x:v>905</x:v>
      </x:c>
      <x:c r="O78" t="str">
        <x:v>已验收通过</x:v>
      </x:c>
    </x:row>
    <x:row r="79">
      <x:c r="A79" s="2" t="s">
        <x:v>906</x:v>
      </x:c>
      <x:c r="B79" t="s">
        <x:v>335</x:v>
      </x:c>
      <x:c r="C79" t="s">
        <x:v>585</x:v>
      </x:c>
      <x:c r="D79" t="s">
        <x:v>585</x:v>
      </x:c>
      <x:c r="E79" t="s">
        <x:v>826</x:v>
      </x:c>
      <x:c r="F79" t="s">
        <x:v>901</x:v>
      </x:c>
      <x:c r="G79" t="s">
        <x:v>97</x:v>
      </x:c>
      <x:c r="H79" t="s">
        <x:v>902</x:v>
      </x:c>
      <x:c r="I79" t="s">
        <x:v>896</x:v>
      </x:c>
      <x:c r="J79" t="s">
        <x:v>903</x:v>
      </x:c>
      <x:c r="K79" t="s">
        <x:v>563</x:v>
      </x:c>
      <x:c r="L79" t="s">
        <x:v>904</x:v>
      </x:c>
      <x:c r="M79" t="s">
        <x:v>905</x:v>
      </x:c>
      <x:c r="O79" t="str">
        <x:v>已验收通过</x:v>
      </x:c>
    </x:row>
    <x:row r="80">
      <x:c r="A80" s="2" t="s">
        <x:v>907</x:v>
      </x:c>
      <x:c r="B80" t="s">
        <x:v>335</x:v>
      </x:c>
      <x:c r="C80" t="s">
        <x:v>670</x:v>
      </x:c>
      <x:c r="D80" t="s">
        <x:v>670</x:v>
      </x:c>
      <x:c r="E80" t="s">
        <x:v>826</x:v>
      </x:c>
      <x:c r="F80" t="s">
        <x:v>901</x:v>
      </x:c>
      <x:c r="G80" t="s">
        <x:v>97</x:v>
      </x:c>
      <x:c r="H80" t="s">
        <x:v>902</x:v>
      </x:c>
      <x:c r="I80" t="s">
        <x:v>896</x:v>
      </x:c>
      <x:c r="J80" t="s">
        <x:v>903</x:v>
      </x:c>
      <x:c r="K80" t="s">
        <x:v>563</x:v>
      </x:c>
      <x:c r="L80" t="s">
        <x:v>904</x:v>
      </x:c>
      <x:c r="M80" t="s">
        <x:v>905</x:v>
      </x:c>
      <x:c r="O80" t="str">
        <x:v>已验收通过</x:v>
      </x:c>
    </x:row>
    <x:row r="81">
      <x:c r="A81" s="2" t="s">
        <x:v>908</x:v>
      </x:c>
      <x:c r="B81" t="s">
        <x:v>359</x:v>
      </x:c>
      <x:c r="C81" t="s">
        <x:v>681</x:v>
      </x:c>
      <x:c r="D81" t="s">
        <x:v>681</x:v>
      </x:c>
      <x:c r="E81" t="s">
        <x:v>826</x:v>
      </x:c>
      <x:c r="F81" t="s">
        <x:v>909</x:v>
      </x:c>
      <x:c r="G81" t="s">
        <x:v>97</x:v>
      </x:c>
      <x:c r="H81" t="s">
        <x:v>910</x:v>
      </x:c>
      <x:c r="I81" t="s">
        <x:v>896</x:v>
      </x:c>
      <x:c r="J81" t="s">
        <x:v>911</x:v>
      </x:c>
      <x:c r="K81" t="s">
        <x:v>563</x:v>
      </x:c>
      <x:c r="L81" t="s">
        <x:v>912</x:v>
      </x:c>
      <x:c r="M81" t="s">
        <x:v>913</x:v>
      </x:c>
      <x:c r="O81" t="str">
        <x:v>已验收通过</x:v>
      </x:c>
    </x:row>
    <x:row r="82">
      <x:c r="A82" s="2" t="s">
        <x:v>914</x:v>
      </x:c>
      <x:c r="B82" t="s">
        <x:v>359</x:v>
      </x:c>
      <x:c r="C82" t="s">
        <x:v>691</x:v>
      </x:c>
      <x:c r="D82" t="s">
        <x:v>691</x:v>
      </x:c>
      <x:c r="E82" t="s">
        <x:v>826</x:v>
      </x:c>
      <x:c r="F82" t="s">
        <x:v>909</x:v>
      </x:c>
      <x:c r="G82" t="s">
        <x:v>97</x:v>
      </x:c>
      <x:c r="H82" t="s">
        <x:v>910</x:v>
      </x:c>
      <x:c r="I82" t="s">
        <x:v>896</x:v>
      </x:c>
      <x:c r="J82" t="s">
        <x:v>911</x:v>
      </x:c>
      <x:c r="K82" t="s">
        <x:v>563</x:v>
      </x:c>
      <x:c r="L82" t="s">
        <x:v>912</x:v>
      </x:c>
      <x:c r="M82" t="s">
        <x:v>913</x:v>
      </x:c>
      <x:c r="O82" t="str">
        <x:v>已验收通过</x:v>
      </x:c>
    </x:row>
    <x:row r="83">
      <x:c r="A83" s="2" t="s">
        <x:v>915</x:v>
      </x:c>
      <x:c r="B83" t="s">
        <x:v>359</x:v>
      </x:c>
      <x:c r="C83" t="s">
        <x:v>695</x:v>
      </x:c>
      <x:c r="D83" t="s">
        <x:v>695</x:v>
      </x:c>
      <x:c r="E83" t="s">
        <x:v>826</x:v>
      </x:c>
      <x:c r="F83" t="s">
        <x:v>909</x:v>
      </x:c>
      <x:c r="G83" t="s">
        <x:v>97</x:v>
      </x:c>
      <x:c r="H83" t="s">
        <x:v>910</x:v>
      </x:c>
      <x:c r="I83" t="s">
        <x:v>896</x:v>
      </x:c>
      <x:c r="J83" t="s">
        <x:v>911</x:v>
      </x:c>
      <x:c r="K83" t="s">
        <x:v>563</x:v>
      </x:c>
      <x:c r="L83" t="s">
        <x:v>912</x:v>
      </x:c>
      <x:c r="M83" t="s">
        <x:v>913</x:v>
      </x:c>
      <x:c r="O83" t="str">
        <x:v>已验收通过</x:v>
      </x:c>
    </x:row>
    <x:row r="84">
      <x:c r="A84" s="2" t="s">
        <x:v>916</x:v>
      </x:c>
      <x:c r="B84" t="s">
        <x:v>381</x:v>
      </x:c>
      <x:c r="C84" t="s">
        <x:v>718</x:v>
      </x:c>
      <x:c r="D84" t="s">
        <x:v>718</x:v>
      </x:c>
      <x:c r="E84" t="s">
        <x:v>826</x:v>
      </x:c>
      <x:c r="F84" t="s">
        <x:v>909</x:v>
      </x:c>
      <x:c r="G84" t="s">
        <x:v>97</x:v>
      </x:c>
      <x:c r="H84" t="s">
        <x:v>910</x:v>
      </x:c>
      <x:c r="I84" t="s">
        <x:v>896</x:v>
      </x:c>
      <x:c r="J84" t="s">
        <x:v>911</x:v>
      </x:c>
      <x:c r="K84" t="s">
        <x:v>563</x:v>
      </x:c>
      <x:c r="L84" t="s">
        <x:v>912</x:v>
      </x:c>
      <x:c r="M84" t="s">
        <x:v>917</x:v>
      </x:c>
      <x:c r="O84" t="str">
        <x:v>已验收通过</x:v>
      </x:c>
    </x:row>
    <x:row r="85">
      <x:c r="A85" s="2" t="s">
        <x:v>918</x:v>
      </x:c>
      <x:c r="B85" t="s">
        <x:v>381</x:v>
      </x:c>
      <x:c r="C85" t="s">
        <x:v>728</x:v>
      </x:c>
      <x:c r="D85" t="s">
        <x:v>728</x:v>
      </x:c>
      <x:c r="E85" t="s">
        <x:v>826</x:v>
      </x:c>
      <x:c r="F85" t="s">
        <x:v>909</x:v>
      </x:c>
      <x:c r="G85" t="s">
        <x:v>97</x:v>
      </x:c>
      <x:c r="H85" t="s">
        <x:v>910</x:v>
      </x:c>
      <x:c r="I85" t="s">
        <x:v>896</x:v>
      </x:c>
      <x:c r="J85" t="s">
        <x:v>911</x:v>
      </x:c>
      <x:c r="K85" t="s">
        <x:v>563</x:v>
      </x:c>
      <x:c r="L85" t="s">
        <x:v>912</x:v>
      </x:c>
      <x:c r="M85" t="s">
        <x:v>917</x:v>
      </x:c>
      <x:c r="O85" t="str">
        <x:v>已验收通过</x:v>
      </x:c>
    </x:row>
    <x:row r="86">
      <x:c r="A86" s="2" t="s">
        <x:v>919</x:v>
      </x:c>
      <x:c r="B86" t="s">
        <x:v>381</x:v>
      </x:c>
      <x:c r="C86" t="s">
        <x:v>731</x:v>
      </x:c>
      <x:c r="D86" t="s">
        <x:v>731</x:v>
      </x:c>
      <x:c r="E86" t="s">
        <x:v>826</x:v>
      </x:c>
      <x:c r="F86" t="s">
        <x:v>909</x:v>
      </x:c>
      <x:c r="G86" t="s">
        <x:v>97</x:v>
      </x:c>
      <x:c r="H86" t="s">
        <x:v>910</x:v>
      </x:c>
      <x:c r="I86" t="s">
        <x:v>896</x:v>
      </x:c>
      <x:c r="J86" t="s">
        <x:v>911</x:v>
      </x:c>
      <x:c r="K86" t="s">
        <x:v>563</x:v>
      </x:c>
      <x:c r="L86" t="s">
        <x:v>912</x:v>
      </x:c>
      <x:c r="M86" t="s">
        <x:v>917</x:v>
      </x:c>
      <x:c r="O86" t="str">
        <x:v>已验收通过</x:v>
      </x:c>
    </x:row>
    <x:row r="87">
      <x:c r="A87" s="2" t="s">
        <x:v>920</x:v>
      </x:c>
      <x:c r="B87" t="s">
        <x:v>381</x:v>
      </x:c>
      <x:c r="C87" t="s">
        <x:v>734</x:v>
      </x:c>
      <x:c r="D87" t="s">
        <x:v>734</x:v>
      </x:c>
      <x:c r="E87" t="s">
        <x:v>826</x:v>
      </x:c>
      <x:c r="F87" t="s">
        <x:v>909</x:v>
      </x:c>
      <x:c r="G87" t="s">
        <x:v>97</x:v>
      </x:c>
      <x:c r="H87" t="s">
        <x:v>910</x:v>
      </x:c>
      <x:c r="I87" t="s">
        <x:v>896</x:v>
      </x:c>
      <x:c r="J87" t="s">
        <x:v>911</x:v>
      </x:c>
      <x:c r="K87" t="s">
        <x:v>563</x:v>
      </x:c>
      <x:c r="L87" t="s">
        <x:v>912</x:v>
      </x:c>
      <x:c r="M87" t="s">
        <x:v>917</x:v>
      </x:c>
      <x:c r="O87" t="str">
        <x:v>已验收通过</x:v>
      </x:c>
    </x:row>
    <x:row r="88">
      <x:c r="A88" s="2" t="s">
        <x:v>921</x:v>
      </x:c>
      <x:c r="B88" t="s">
        <x:v>381</x:v>
      </x:c>
      <x:c r="C88" t="s">
        <x:v>695</x:v>
      </x:c>
      <x:c r="D88" t="s">
        <x:v>695</x:v>
      </x:c>
      <x:c r="E88" t="s">
        <x:v>826</x:v>
      </x:c>
      <x:c r="F88" t="s">
        <x:v>909</x:v>
      </x:c>
      <x:c r="G88" t="s">
        <x:v>97</x:v>
      </x:c>
      <x:c r="H88" t="s">
        <x:v>910</x:v>
      </x:c>
      <x:c r="I88" t="s">
        <x:v>896</x:v>
      </x:c>
      <x:c r="J88" t="s">
        <x:v>911</x:v>
      </x:c>
      <x:c r="K88" t="s">
        <x:v>563</x:v>
      </x:c>
      <x:c r="L88" t="s">
        <x:v>912</x:v>
      </x:c>
      <x:c r="M88" t="s">
        <x:v>917</x:v>
      </x:c>
      <x:c r="O88" t="str">
        <x:v>已验收通过</x:v>
      </x:c>
    </x:row>
    <x:row r="89">
      <x:c r="A89" s="2" t="s">
        <x:v>922</x:v>
      </x:c>
      <x:c r="B89" t="s">
        <x:v>381</x:v>
      </x:c>
      <x:c r="C89" t="s">
        <x:v>725</x:v>
      </x:c>
      <x:c r="D89" t="s">
        <x:v>725</x:v>
      </x:c>
      <x:c r="E89" t="s">
        <x:v>826</x:v>
      </x:c>
      <x:c r="F89" t="s">
        <x:v>909</x:v>
      </x:c>
      <x:c r="G89" t="s">
        <x:v>97</x:v>
      </x:c>
      <x:c r="H89" t="s">
        <x:v>910</x:v>
      </x:c>
      <x:c r="I89" t="s">
        <x:v>896</x:v>
      </x:c>
      <x:c r="J89" t="s">
        <x:v>911</x:v>
      </x:c>
      <x:c r="K89" t="s">
        <x:v>563</x:v>
      </x:c>
      <x:c r="L89" t="s">
        <x:v>912</x:v>
      </x:c>
      <x:c r="M89" t="s">
        <x:v>917</x:v>
      </x:c>
      <x:c r="O89" t="str">
        <x:v>已验收通过</x:v>
      </x:c>
    </x:row>
    <x:row r="90">
      <x:c r="A90" s="2" t="s">
        <x:v>923</x:v>
      </x:c>
      <x:c r="B90" t="s">
        <x:v>381</x:v>
      </x:c>
      <x:c r="C90" t="s">
        <x:v>924</x:v>
      </x:c>
      <x:c r="D90" t="s">
        <x:v>924</x:v>
      </x:c>
      <x:c r="E90" t="s">
        <x:v>826</x:v>
      </x:c>
      <x:c r="F90" t="s">
        <x:v>909</x:v>
      </x:c>
      <x:c r="G90" t="s">
        <x:v>97</x:v>
      </x:c>
      <x:c r="H90" t="s">
        <x:v>910</x:v>
      </x:c>
      <x:c r="I90" t="s">
        <x:v>896</x:v>
      </x:c>
      <x:c r="J90" t="s">
        <x:v>911</x:v>
      </x:c>
      <x:c r="K90" t="s">
        <x:v>563</x:v>
      </x:c>
      <x:c r="L90" t="s">
        <x:v>912</x:v>
      </x:c>
      <x:c r="M90" t="s">
        <x:v>917</x:v>
      </x:c>
      <x:c r="O90" t="str">
        <x:v>已验收通过</x:v>
      </x:c>
    </x:row>
    <x:row r="91">
      <x:c r="A91" s="2" t="s">
        <x:v>925</x:v>
      </x:c>
      <x:c r="B91" t="s">
        <x:v>400</x:v>
      </x:c>
      <x:c r="C91" t="s">
        <x:v>785</x:v>
      </x:c>
      <x:c r="D91" t="s">
        <x:v>785</x:v>
      </x:c>
      <x:c r="E91" t="s">
        <x:v>826</x:v>
      </x:c>
      <x:c r="F91" t="s">
        <x:v>909</x:v>
      </x:c>
      <x:c r="G91" t="s">
        <x:v>97</x:v>
      </x:c>
      <x:c r="H91" t="s">
        <x:v>910</x:v>
      </x:c>
      <x:c r="I91" t="s">
        <x:v>896</x:v>
      </x:c>
      <x:c r="J91" t="s">
        <x:v>911</x:v>
      </x:c>
      <x:c r="K91" t="s">
        <x:v>563</x:v>
      </x:c>
      <x:c r="L91" t="s">
        <x:v>912</x:v>
      </x:c>
      <x:c r="M91" t="s">
        <x:v>926</x:v>
      </x:c>
      <x:c r="O91" t="str">
        <x:v>已验收通过</x:v>
      </x:c>
    </x:row>
    <x:row r="92">
      <x:c r="A92" s="2" t="s">
        <x:v>927</x:v>
      </x:c>
      <x:c r="B92" t="s">
        <x:v>400</x:v>
      </x:c>
      <x:c r="C92" t="s">
        <x:v>792</x:v>
      </x:c>
      <x:c r="D92" t="s">
        <x:v>792</x:v>
      </x:c>
      <x:c r="E92" t="s">
        <x:v>826</x:v>
      </x:c>
      <x:c r="F92" t="s">
        <x:v>909</x:v>
      </x:c>
      <x:c r="G92" t="s">
        <x:v>97</x:v>
      </x:c>
      <x:c r="H92" t="s">
        <x:v>910</x:v>
      </x:c>
      <x:c r="I92" t="s">
        <x:v>896</x:v>
      </x:c>
      <x:c r="J92" t="s">
        <x:v>911</x:v>
      </x:c>
      <x:c r="K92" t="s">
        <x:v>563</x:v>
      </x:c>
      <x:c r="L92" t="s">
        <x:v>912</x:v>
      </x:c>
      <x:c r="M92" t="s">
        <x:v>926</x:v>
      </x:c>
      <x:c r="O92" t="str">
        <x:v>已验收通过</x:v>
      </x:c>
    </x:row>
    <x:row r="93">
      <x:c r="A93" s="2" t="s">
        <x:v>928</x:v>
      </x:c>
      <x:c r="B93" t="s">
        <x:v>400</x:v>
      </x:c>
      <x:c r="C93" t="s">
        <x:v>795</x:v>
      </x:c>
      <x:c r="D93" t="s">
        <x:v>795</x:v>
      </x:c>
      <x:c r="E93" t="s">
        <x:v>826</x:v>
      </x:c>
      <x:c r="F93" t="s">
        <x:v>909</x:v>
      </x:c>
      <x:c r="G93" t="s">
        <x:v>97</x:v>
      </x:c>
      <x:c r="H93" t="s">
        <x:v>910</x:v>
      </x:c>
      <x:c r="I93" t="s">
        <x:v>896</x:v>
      </x:c>
      <x:c r="J93" t="s">
        <x:v>911</x:v>
      </x:c>
      <x:c r="K93" t="s">
        <x:v>563</x:v>
      </x:c>
      <x:c r="L93" t="s">
        <x:v>912</x:v>
      </x:c>
      <x:c r="M93" t="s">
        <x:v>926</x:v>
      </x:c>
      <x:c r="O93" t="str">
        <x:v>已验收通过</x:v>
      </x:c>
    </x:row>
    <x:row r="94">
      <x:c r="A94" s="2" t="s">
        <x:v>929</x:v>
      </x:c>
      <x:c r="B94" t="s">
        <x:v>400</x:v>
      </x:c>
      <x:c r="C94" t="s">
        <x:v>798</x:v>
      </x:c>
      <x:c r="D94" t="s">
        <x:v>798</x:v>
      </x:c>
      <x:c r="E94" t="s">
        <x:v>826</x:v>
      </x:c>
      <x:c r="F94" t="s">
        <x:v>909</x:v>
      </x:c>
      <x:c r="G94" t="s">
        <x:v>97</x:v>
      </x:c>
      <x:c r="H94" t="s">
        <x:v>910</x:v>
      </x:c>
      <x:c r="I94" t="s">
        <x:v>896</x:v>
      </x:c>
      <x:c r="J94" t="s">
        <x:v>911</x:v>
      </x:c>
      <x:c r="K94" t="s">
        <x:v>563</x:v>
      </x:c>
      <x:c r="L94" t="s">
        <x:v>912</x:v>
      </x:c>
      <x:c r="M94" t="s">
        <x:v>926</x:v>
      </x:c>
      <x:c r="O94" t="str">
        <x:v>已验收通过</x:v>
      </x:c>
    </x:row>
    <x:row r="95">
      <x:c r="A95" s="2" t="s">
        <x:v>930</x:v>
      </x:c>
      <x:c r="B95" t="s">
        <x:v>400</x:v>
      </x:c>
      <x:c r="C95" t="s">
        <x:v>800</x:v>
      </x:c>
      <x:c r="D95" t="s">
        <x:v>800</x:v>
      </x:c>
      <x:c r="E95" t="s">
        <x:v>826</x:v>
      </x:c>
      <x:c r="F95" t="s">
        <x:v>909</x:v>
      </x:c>
      <x:c r="G95" t="s">
        <x:v>97</x:v>
      </x:c>
      <x:c r="H95" t="s">
        <x:v>910</x:v>
      </x:c>
      <x:c r="I95" t="s">
        <x:v>896</x:v>
      </x:c>
      <x:c r="J95" t="s">
        <x:v>911</x:v>
      </x:c>
      <x:c r="K95" t="s">
        <x:v>563</x:v>
      </x:c>
      <x:c r="L95" t="s">
        <x:v>912</x:v>
      </x:c>
      <x:c r="M95" t="s">
        <x:v>926</x:v>
      </x:c>
      <x:c r="O95" t="str">
        <x:v>已验收通过</x:v>
      </x:c>
    </x:row>
    <x:row r="96">
      <x:c r="A96" s="2" t="s">
        <x:v>931</x:v>
      </x:c>
      <x:c r="B96" t="s">
        <x:v>400</x:v>
      </x:c>
      <x:c r="C96" t="s">
        <x:v>803</x:v>
      </x:c>
      <x:c r="D96" t="s">
        <x:v>803</x:v>
      </x:c>
      <x:c r="E96" t="s">
        <x:v>826</x:v>
      </x:c>
      <x:c r="F96" t="s">
        <x:v>909</x:v>
      </x:c>
      <x:c r="G96" t="s">
        <x:v>97</x:v>
      </x:c>
      <x:c r="H96" t="s">
        <x:v>910</x:v>
      </x:c>
      <x:c r="I96" t="s">
        <x:v>896</x:v>
      </x:c>
      <x:c r="J96" t="s">
        <x:v>911</x:v>
      </x:c>
      <x:c r="K96" t="s">
        <x:v>563</x:v>
      </x:c>
      <x:c r="L96" t="s">
        <x:v>912</x:v>
      </x:c>
      <x:c r="M96" t="s">
        <x:v>926</x:v>
      </x:c>
      <x:c r="O96" t="str">
        <x:v>已验收通过</x:v>
      </x:c>
    </x:row>
    <x:row r="97">
      <x:c r="A97" s="2" t="s">
        <x:v>932</x:v>
      </x:c>
      <x:c r="B97" t="s">
        <x:v>400</x:v>
      </x:c>
      <x:c r="C97" t="s">
        <x:v>824</x:v>
      </x:c>
      <x:c r="D97" t="s">
        <x:v>824</x:v>
      </x:c>
      <x:c r="E97" t="s">
        <x:v>826</x:v>
      </x:c>
      <x:c r="F97" t="s">
        <x:v>909</x:v>
      </x:c>
      <x:c r="G97" t="s">
        <x:v>97</x:v>
      </x:c>
      <x:c r="H97" t="s">
        <x:v>910</x:v>
      </x:c>
      <x:c r="I97" t="s">
        <x:v>896</x:v>
      </x:c>
      <x:c r="J97" t="s">
        <x:v>911</x:v>
      </x:c>
      <x:c r="K97" t="s">
        <x:v>563</x:v>
      </x:c>
      <x:c r="L97" t="s">
        <x:v>912</x:v>
      </x:c>
      <x:c r="M97" t="s">
        <x:v>926</x:v>
      </x:c>
      <x:c r="O97" t="str">
        <x:v>已验收通过</x:v>
      </x:c>
    </x:row>
    <x:row r="98">
      <x:c r="A98" s="2" t="s">
        <x:v>933</x:v>
      </x:c>
      <x:c r="B98" t="s">
        <x:v>400</x:v>
      </x:c>
      <x:c r="C98" t="s">
        <x:v>830</x:v>
      </x:c>
      <x:c r="D98" t="s">
        <x:v>830</x:v>
      </x:c>
      <x:c r="E98" t="s">
        <x:v>826</x:v>
      </x:c>
      <x:c r="F98" t="s">
        <x:v>909</x:v>
      </x:c>
      <x:c r="G98" t="s">
        <x:v>97</x:v>
      </x:c>
      <x:c r="H98" t="s">
        <x:v>910</x:v>
      </x:c>
      <x:c r="I98" t="s">
        <x:v>896</x:v>
      </x:c>
      <x:c r="J98" t="s">
        <x:v>911</x:v>
      </x:c>
      <x:c r="K98" t="s">
        <x:v>563</x:v>
      </x:c>
      <x:c r="L98" t="s">
        <x:v>912</x:v>
      </x:c>
      <x:c r="M98" t="s">
        <x:v>926</x:v>
      </x:c>
      <x:c r="O98" t="str">
        <x:v>已验收通过</x:v>
      </x:c>
    </x:row>
    <x:row r="99">
      <x:c r="A99" s="2" t="s">
        <x:v>934</x:v>
      </x:c>
      <x:c r="B99" t="s">
        <x:v>400</x:v>
      </x:c>
      <x:c r="C99" t="s">
        <x:v>833</x:v>
      </x:c>
      <x:c r="D99" t="s">
        <x:v>833</x:v>
      </x:c>
      <x:c r="E99" t="s">
        <x:v>826</x:v>
      </x:c>
      <x:c r="F99" t="s">
        <x:v>909</x:v>
      </x:c>
      <x:c r="G99" t="s">
        <x:v>97</x:v>
      </x:c>
      <x:c r="H99" t="s">
        <x:v>910</x:v>
      </x:c>
      <x:c r="I99" t="s">
        <x:v>896</x:v>
      </x:c>
      <x:c r="J99" t="s">
        <x:v>911</x:v>
      </x:c>
      <x:c r="K99" t="s">
        <x:v>563</x:v>
      </x:c>
      <x:c r="L99" t="s">
        <x:v>912</x:v>
      </x:c>
      <x:c r="M99" t="s">
        <x:v>926</x:v>
      </x:c>
      <x:c r="O99" t="str">
        <x:v>已验收通过</x:v>
      </x:c>
    </x:row>
    <x:row r="100">
      <x:c r="A100" s="2" t="s">
        <x:v>935</x:v>
      </x:c>
      <x:c r="B100" t="s">
        <x:v>419</x:v>
      </x:c>
      <x:c r="C100" t="s">
        <x:v>852</x:v>
      </x:c>
      <x:c r="D100" t="s">
        <x:v>852</x:v>
      </x:c>
      <x:c r="E100" t="s">
        <x:v>826</x:v>
      </x:c>
      <x:c r="F100" t="s">
        <x:v>909</x:v>
      </x:c>
      <x:c r="G100" t="s">
        <x:v>97</x:v>
      </x:c>
      <x:c r="H100" t="s">
        <x:v>910</x:v>
      </x:c>
      <x:c r="I100" t="s">
        <x:v>896</x:v>
      </x:c>
      <x:c r="J100" t="s">
        <x:v>911</x:v>
      </x:c>
      <x:c r="K100" t="s">
        <x:v>563</x:v>
      </x:c>
      <x:c r="L100" t="s">
        <x:v>912</x:v>
      </x:c>
      <x:c r="M100" t="s">
        <x:v>936</x:v>
      </x:c>
      <x:c r="O100" t="str">
        <x:v>已验收通过</x:v>
      </x:c>
    </x:row>
    <x:row r="101" ht="28">
      <x:c r="A101" s="2" t="s">
        <x:v>937</x:v>
      </x:c>
      <x:c r="B101" t="s">
        <x:v>436</x:v>
      </x:c>
      <x:c r="C101" t="s">
        <x:v>858</x:v>
      </x:c>
      <x:c r="D101" t="s">
        <x:v>858</x:v>
      </x:c>
      <x:c r="E101" t="s">
        <x:v>826</x:v>
      </x:c>
      <x:c r="F101" t="s">
        <x:v>909</x:v>
      </x:c>
      <x:c r="G101" t="s">
        <x:v>97</x:v>
      </x:c>
      <x:c r="H101" t="s">
        <x:v>910</x:v>
      </x:c>
      <x:c r="I101" t="s">
        <x:v>896</x:v>
      </x:c>
      <x:c r="J101" t="s">
        <x:v>911</x:v>
      </x:c>
      <x:c r="K101" t="s">
        <x:v>563</x:v>
      </x:c>
      <x:c r="L101" t="s">
        <x:v>912</x:v>
      </x:c>
      <x:c r="M101" t="s">
        <x:v>938</x:v>
      </x:c>
      <x:c r="O101" t="str">
        <x:v>已验收通过</x:v>
      </x:c>
    </x:row>
    <x:row r="102" ht="28">
      <x:c r="A102" s="2" t="s">
        <x:v>939</x:v>
      </x:c>
      <x:c r="B102" t="s">
        <x:v>436</x:v>
      </x:c>
      <x:c r="C102" t="s">
        <x:v>863</x:v>
      </x:c>
      <x:c r="D102" t="s">
        <x:v>863</x:v>
      </x:c>
      <x:c r="E102" t="s">
        <x:v>826</x:v>
      </x:c>
      <x:c r="F102" t="s">
        <x:v>909</x:v>
      </x:c>
      <x:c r="G102" t="s">
        <x:v>97</x:v>
      </x:c>
      <x:c r="H102" t="s">
        <x:v>910</x:v>
      </x:c>
      <x:c r="I102" t="s">
        <x:v>896</x:v>
      </x:c>
      <x:c r="J102" t="s">
        <x:v>911</x:v>
      </x:c>
      <x:c r="K102" t="s">
        <x:v>563</x:v>
      </x:c>
      <x:c r="L102" t="s">
        <x:v>912</x:v>
      </x:c>
      <x:c r="M102" t="s">
        <x:v>938</x:v>
      </x:c>
      <x:c r="O102" t="str">
        <x:v>已验收通过</x:v>
      </x:c>
    </x:row>
    <x:row r="103">
      <x:c r="A103" s="2"/>
    </x:row>
    <x:row r="104">
      <x:c r="A104" s="2"/>
    </x:row>
    <x:row r="105">
      <x:c r="A105" s="2"/>
    </x:row>
    <x:row r="106">
      <x:c r="A106" s="2"/>
    </x:row>
    <x:row r="107">
      <x:c r="A107" s="2"/>
    </x:row>
    <x:row r="108">
      <x:c r="A108" s="2"/>
    </x:row>
    <x:row r="109">
      <x:c r="A109" s="2"/>
    </x:row>
    <x:row r="110">
      <x:c r="A110" s="2"/>
    </x:row>
    <x:row r="111">
      <x:c r="A111" s="2"/>
    </x:row>
    <x:row r="112">
      <x:c r="A112" s="2"/>
    </x:row>
    <x:row r="113">
      <x:c r="A113" s="2"/>
    </x:row>
    <x:row r="114">
      <x:c r="A114" s="2"/>
    </x:row>
    <x:row r="115">
      <x:c r="A115" s="2"/>
    </x:row>
    <x:row r="116">
      <x:c r="A116" s="2"/>
    </x:row>
    <x:row r="117">
      <x:c r="A117" s="2"/>
    </x:row>
    <x:row r="118">
      <x:c r="A118" s="2"/>
    </x:row>
    <x:row r="119">
      <x:c r="A119" s="2"/>
    </x:row>
    <x:row r="120">
      <x:c r="A120" s="2"/>
    </x:row>
    <x:row r="121">
      <x:c r="A121" s="2"/>
    </x:row>
    <x:row r="122">
      <x:c r="A122" s="2"/>
    </x:row>
    <x:row r="123">
      <x:c r="A123" s="2"/>
    </x:row>
    <x:row r="124">
      <x:c r="A124" s="2"/>
    </x:row>
    <x:row r="125">
      <x:c r="A125" s="2"/>
    </x:row>
    <x:row r="126">
      <x:c r="A126" s="2"/>
    </x:row>
    <x:row r="127">
      <x:c r="A127" s="2"/>
    </x:row>
    <x:row r="128">
      <x:c r="A128" s="2"/>
    </x:row>
    <x:row r="129">
      <x:c r="A129" s="2"/>
    </x:row>
    <x:row r="130">
      <x:c r="A130" s="2"/>
    </x:row>
    <x:row r="131">
      <x:c r="A131" s="2"/>
    </x:row>
    <x:row r="132">
      <x:c r="A132" s="2"/>
    </x:row>
    <x:row r="133">
      <x:c r="A133" s="2"/>
    </x:row>
    <x:row r="134">
      <x:c r="A134" s="2"/>
    </x:row>
    <x:row r="135">
      <x:c r="A135" s="2"/>
    </x:row>
    <x:row r="136">
      <x:c r="A136" s="2"/>
    </x:row>
    <x:row r="137">
      <x:c r="A137" s="2"/>
    </x:row>
    <x:row r="138">
      <x:c r="A138" s="2"/>
    </x:row>
    <x:row r="139">
      <x:c r="A139" s="2"/>
    </x:row>
    <x:row r="140">
      <x:c r="A140" s="2"/>
    </x:row>
  </x:sheetData>
  <x:pageMargins left="0.7" right="0.7" top="0.75" bottom="0.75" header="0.3" footer="0.3"/>
  <x:tableParts count="1">
    <x:tablePart xmlns:r="http://schemas.openxmlformats.org/officeDocument/2006/relationships" r:id="Rad09e554c500491c"/>
  </x:tableParts>
</x:worksheet>
</file>

<file path=xl/worksheets/sheet4.xml><?xml version="1.0" encoding="utf-8"?>
<x:worksheet xmlns:x="http://schemas.openxmlformats.org/spreadsheetml/2006/main">
  <x:sheetFormatPr defaultRowHeight="14"/>
  <x:cols>
    <x:col min="1" max="1" width="16" customWidth="1"/>
    <x:col min="2" max="2" width="13" customWidth="1"/>
    <x:col min="3" max="3" width="12" customWidth="1"/>
    <x:col min="4" max="4" width="32" customWidth="1"/>
    <x:col min="5" max="6" width="12" customWidth="1"/>
    <x:col min="7" max="7" width="16" customWidth="1"/>
    <x:col min="8" max="8" width="12" customWidth="1"/>
    <x:col min="9" max="9" width="90" customWidth="1"/>
    <x:col min="10" max="10" width="48" customWidth="1"/>
    <x:col min="11" max="11" width="26" customWidth="1"/>
    <x:col min="12" max="12" width="46" customWidth="1"/>
    <x:col min="13" max="13" width="14" customWidth="1"/>
    <x:col min="14" max="14" width="16" customWidth="1"/>
  </x:cols>
  <x:sheetData>
    <x:row r="1" ht="22.649999618530273" customHeight="1">
      <x:c r="A1" s="9" t="s">
        <x:v>940</x:v>
      </x:c>
      <x:c r="B1" s="17" t="s">
        <x:v>44</x:v>
      </x:c>
      <x:c r="C1" s="17" t="s">
        <x:v>50</x:v>
      </x:c>
      <x:c r="D1" s="17" t="s">
        <x:v>51</x:v>
      </x:c>
      <x:c r="E1" s="17" t="s">
        <x:v>941</x:v>
      </x:c>
      <x:c r="F1" s="17" t="s">
        <x:v>942</x:v>
      </x:c>
      <x:c r="G1" s="17" t="s">
        <x:v>943</x:v>
      </x:c>
      <x:c r="H1" s="17" t="s">
        <x:v>944</x:v>
      </x:c>
      <x:c r="I1" s="17" t="s">
        <x:v>945</x:v>
      </x:c>
      <x:c r="J1" s="17" t="s">
        <x:v>946</x:v>
      </x:c>
      <x:c r="K1" s="17" t="s">
        <x:v>947</x:v>
      </x:c>
      <x:c r="L1" s="17" t="s">
        <x:v>948</x:v>
      </x:c>
      <x:c r="M1" s="17" t="s">
        <x:v>949</x:v>
      </x:c>
      <x:c r="N1" s="10" t="s">
        <x:v>72</x:v>
      </x:c>
    </x:row>
    <x:row r="2" ht="28">
      <x:c r="A2" s="11" t="s">
        <x:v>950</x:v>
      </x:c>
      <x:c r="B2" s="18" t="s">
        <x:v>76</x:v>
      </x:c>
      <x:c r="C2" s="18" t="s">
        <x:v>81</x:v>
      </x:c>
      <x:c r="D2" s="18" t="s">
        <x:v>951</x:v>
      </x:c>
      <x:c r="E2" s="18" t="s">
        <x:v>111</x:v>
      </x:c>
      <x:c r="F2" s="18" t="s">
        <x:v>952</x:v>
      </x:c>
      <x:c r="G2" s="18" t="s">
        <x:v>953</x:v>
      </x:c>
      <x:c r="H2" s="18" t="s">
        <x:v>92</x:v>
      </x:c>
      <x:c r="I2" s="18" t="s">
        <x:v>954</x:v>
      </x:c>
      <x:c r="J2" s="18" t="s">
        <x:v>955</x:v>
      </x:c>
      <x:c r="K2" s="18" t="s">
        <x:v>956</x:v>
      </x:c>
      <x:c r="L2" s="18" t="s">
        <x:v>957</x:v>
      </x:c>
      <x:c r="M2" s="18" t="s">
        <x:v>92</x:v>
      </x:c>
      <x:c r="N2" s="4" t="s">
        <x:v>13</x:v>
      </x:c>
    </x:row>
    <x:row r="3" ht="28">
      <x:c r="A3" s="12" t="s">
        <x:v>574</x:v>
      </x:c>
      <x:c r="B3" s="2" t="s">
        <x:v>76</x:v>
      </x:c>
      <x:c r="C3" s="2" t="s">
        <x:v>81</x:v>
      </x:c>
      <x:c r="D3" s="2" t="s">
        <x:v>951</x:v>
      </x:c>
      <x:c r="E3" s="2" t="s">
        <x:v>111</x:v>
      </x:c>
      <x:c r="F3" s="2" t="s">
        <x:v>952</x:v>
      </x:c>
      <x:c r="G3" s="2" t="s">
        <x:v>953</x:v>
      </x:c>
      <x:c r="H3" s="2" t="s">
        <x:v>92</x:v>
      </x:c>
      <x:c r="I3" s="2" t="s">
        <x:v>958</x:v>
      </x:c>
      <x:c r="J3" s="2" t="s">
        <x:v>959</x:v>
      </x:c>
      <x:c r="K3" s="2"/>
      <x:c r="L3" s="2" t="s">
        <x:v>960</x:v>
      </x:c>
      <x:c r="M3" s="2" t="s">
        <x:v>92</x:v>
      </x:c>
      <x:c r="N3" s="6" t="s">
        <x:v>13</x:v>
      </x:c>
    </x:row>
    <x:row r="4" ht="28">
      <x:c r="A4" s="12" t="s">
        <x:v>599</x:v>
      </x:c>
      <x:c r="B4" s="2" t="s">
        <x:v>76</x:v>
      </x:c>
      <x:c r="C4" s="2" t="s">
        <x:v>81</x:v>
      </x:c>
      <x:c r="D4" s="2" t="s">
        <x:v>951</x:v>
      </x:c>
      <x:c r="E4" s="2" t="s">
        <x:v>111</x:v>
      </x:c>
      <x:c r="F4" s="2" t="s">
        <x:v>952</x:v>
      </x:c>
      <x:c r="G4" s="2" t="s">
        <x:v>953</x:v>
      </x:c>
      <x:c r="H4" s="2" t="s">
        <x:v>92</x:v>
      </x:c>
      <x:c r="I4" s="2" t="s">
        <x:v>961</x:v>
      </x:c>
      <x:c r="J4" s="2" t="s">
        <x:v>962</x:v>
      </x:c>
      <x:c r="K4" s="2" t="s">
        <x:v>574</x:v>
      </x:c>
      <x:c r="L4" s="2" t="s">
        <x:v>963</x:v>
      </x:c>
      <x:c r="M4" s="2" t="s">
        <x:v>92</x:v>
      </x:c>
      <x:c r="N4" s="6" t="s">
        <x:v>13</x:v>
      </x:c>
    </x:row>
    <x:row r="5" ht="28">
      <x:c r="A5" s="12" t="s">
        <x:v>606</x:v>
      </x:c>
      <x:c r="B5" s="2" t="s">
        <x:v>76</x:v>
      </x:c>
      <x:c r="C5" s="2" t="s">
        <x:v>81</x:v>
      </x:c>
      <x:c r="D5" s="2" t="s">
        <x:v>951</x:v>
      </x:c>
      <x:c r="E5" s="2" t="s">
        <x:v>111</x:v>
      </x:c>
      <x:c r="F5" s="2" t="s">
        <x:v>952</x:v>
      </x:c>
      <x:c r="G5" s="2" t="s">
        <x:v>953</x:v>
      </x:c>
      <x:c r="H5" s="2" t="s">
        <x:v>92</x:v>
      </x:c>
      <x:c r="I5" s="2" t="s">
        <x:v>964</x:v>
      </x:c>
      <x:c r="J5" s="2" t="s">
        <x:v>965</x:v>
      </x:c>
      <x:c r="K5" s="2"/>
      <x:c r="L5" s="2"/>
      <x:c r="M5" s="2" t="s">
        <x:v>92</x:v>
      </x:c>
      <x:c r="N5" s="6" t="s">
        <x:v>13</x:v>
      </x:c>
    </x:row>
    <x:row r="6" ht="28">
      <x:c r="A6" s="12" t="s">
        <x:v>956</x:v>
      </x:c>
      <x:c r="B6" s="2" t="s">
        <x:v>76</x:v>
      </x:c>
      <x:c r="C6" s="2" t="s">
        <x:v>81</x:v>
      </x:c>
      <x:c r="D6" s="2" t="s">
        <x:v>951</x:v>
      </x:c>
      <x:c r="E6" s="2" t="s">
        <x:v>110</x:v>
      </x:c>
      <x:c r="F6" s="2" t="s">
        <x:v>111</x:v>
      </x:c>
      <x:c r="G6" s="2" t="s">
        <x:v>966</x:v>
      </x:c>
      <x:c r="H6" s="2" t="s">
        <x:v>92</x:v>
      </x:c>
      <x:c r="I6" s="2" t="s">
        <x:v>967</x:v>
      </x:c>
      <x:c r="J6" s="2" t="s">
        <x:v>968</x:v>
      </x:c>
      <x:c r="K6" s="2" t="s">
        <x:v>950</x:v>
      </x:c>
      <x:c r="L6" s="2" t="s">
        <x:v>969</x:v>
      </x:c>
      <x:c r="M6" s="2" t="s">
        <x:v>92</x:v>
      </x:c>
      <x:c r="N6" s="6" t="s">
        <x:v>13</x:v>
      </x:c>
    </x:row>
    <x:row r="7" ht="28">
      <x:c r="A7" s="13" t="s">
        <x:v>970</x:v>
      </x:c>
      <x:c r="B7" s="19" t="s">
        <x:v>76</x:v>
      </x:c>
      <x:c r="C7" s="19" t="s">
        <x:v>108</x:v>
      </x:c>
      <x:c r="D7" s="19" t="s">
        <x:v>971</x:v>
      </x:c>
      <x:c r="E7" s="19" t="s">
        <x:v>110</x:v>
      </x:c>
      <x:c r="F7" s="19" t="s">
        <x:v>111</x:v>
      </x:c>
      <x:c r="G7" s="19" t="s">
        <x:v>972</x:v>
      </x:c>
      <x:c r="H7" s="19" t="s">
        <x:v>92</x:v>
      </x:c>
      <x:c r="I7" s="19" t="s">
        <x:v>973</x:v>
      </x:c>
      <x:c r="J7" s="19" t="s">
        <x:v>974</x:v>
      </x:c>
      <x:c r="K7" s="19" t="s">
        <x:v>583</x:v>
      </x:c>
      <x:c r="L7" s="19" t="s">
        <x:v>975</x:v>
      </x:c>
      <x:c r="M7" s="19" t="s">
        <x:v>92</x:v>
      </x:c>
      <x:c r="N7" s="8" t="s">
        <x:v>13</x:v>
      </x:c>
    </x:row>
    <x:row r="8">
      <x:c r="A8" s="2" t="s">
        <x:v>976</x:v>
      </x:c>
      <x:c r="B8" t="s">
        <x:v>104</x:v>
      </x:c>
      <x:c r="C8" t="s">
        <x:v>108</x:v>
      </x:c>
      <x:c r="D8" t="s">
        <x:v>971</x:v>
      </x:c>
      <x:c r="E8" t="s">
        <x:v>110</x:v>
      </x:c>
      <x:c r="F8" t="s">
        <x:v>111</x:v>
      </x:c>
      <x:c r="G8" t="s">
        <x:v>972</x:v>
      </x:c>
      <x:c r="H8" t="s">
        <x:v>92</x:v>
      </x:c>
      <x:c r="I8" t="s">
        <x:v>977</x:v>
      </x:c>
      <x:c r="J8" t="s">
        <x:v>978</x:v>
      </x:c>
      <x:c r="K8" t="s">
        <x:v>979</x:v>
      </x:c>
      <x:c r="L8" t="s">
        <x:v>980</x:v>
      </x:c>
      <x:c r="M8" t="s">
        <x:v>92</x:v>
      </x:c>
      <x:c r="N8" t="s">
        <x:v>13</x:v>
      </x:c>
    </x:row>
    <x:row r="9">
      <x:c r="A9" s="2" t="s">
        <x:v>979</x:v>
      </x:c>
      <x:c r="B9" t="s">
        <x:v>104</x:v>
      </x:c>
      <x:c r="C9" t="s">
        <x:v>108</x:v>
      </x:c>
      <x:c r="D9" t="s">
        <x:v>971</x:v>
      </x:c>
      <x:c r="E9" t="s">
        <x:v>110</x:v>
      </x:c>
      <x:c r="F9" t="s">
        <x:v>111</x:v>
      </x:c>
      <x:c r="G9" t="s">
        <x:v>972</x:v>
      </x:c>
      <x:c r="H9" t="s">
        <x:v>92</x:v>
      </x:c>
      <x:c r="I9" t="s">
        <x:v>981</x:v>
      </x:c>
      <x:c r="J9" t="s">
        <x:v>982</x:v>
      </x:c>
      <x:c r="K9" t="s">
        <x:v>983</x:v>
      </x:c>
      <x:c r="L9" t="s">
        <x:v>984</x:v>
      </x:c>
      <x:c r="M9" t="s">
        <x:v>92</x:v>
      </x:c>
      <x:c r="N9" t="s">
        <x:v>13</x:v>
      </x:c>
    </x:row>
    <x:row r="10">
      <x:c r="A10" s="2" t="s">
        <x:v>985</x:v>
      </x:c>
      <x:c r="B10" t="s">
        <x:v>125</x:v>
      </x:c>
      <x:c r="C10" t="s">
        <x:v>108</x:v>
      </x:c>
      <x:c r="D10" t="s">
        <x:v>971</x:v>
      </x:c>
      <x:c r="E10" t="s">
        <x:v>110</x:v>
      </x:c>
      <x:c r="F10" t="s">
        <x:v>111</x:v>
      </x:c>
      <x:c r="G10" t="s">
        <x:v>972</x:v>
      </x:c>
      <x:c r="H10" t="s">
        <x:v>92</x:v>
      </x:c>
      <x:c r="I10" t="s">
        <x:v>986</x:v>
      </x:c>
      <x:c r="J10" t="s">
        <x:v>987</x:v>
      </x:c>
      <x:c r="K10" t="s">
        <x:v>678</x:v>
      </x:c>
      <x:c r="L10" t="s">
        <x:v>988</x:v>
      </x:c>
      <x:c r="M10" t="s">
        <x:v>92</x:v>
      </x:c>
      <x:c r="N10" t="s">
        <x:v>13</x:v>
      </x:c>
    </x:row>
    <x:row r="11">
      <x:c r="A11" s="2" t="s">
        <x:v>678</x:v>
      </x:c>
      <x:c r="B11" t="s">
        <x:v>125</x:v>
      </x:c>
      <x:c r="C11" t="s">
        <x:v>108</x:v>
      </x:c>
      <x:c r="D11" t="s">
        <x:v>971</x:v>
      </x:c>
      <x:c r="E11" t="s">
        <x:v>110</x:v>
      </x:c>
      <x:c r="F11" t="s">
        <x:v>111</x:v>
      </x:c>
      <x:c r="G11" t="s">
        <x:v>972</x:v>
      </x:c>
      <x:c r="H11" t="s">
        <x:v>92</x:v>
      </x:c>
      <x:c r="I11" t="s">
        <x:v>989</x:v>
      </x:c>
      <x:c r="J11" t="s">
        <x:v>990</x:v>
      </x:c>
      <x:c r="K11" t="s">
        <x:v>985</x:v>
      </x:c>
      <x:c r="L11" t="s">
        <x:v>991</x:v>
      </x:c>
      <x:c r="M11" t="s">
        <x:v>92</x:v>
      </x:c>
      <x:c r="N11" t="s">
        <x:v>13</x:v>
      </x:c>
    </x:row>
    <x:row r="12">
      <x:c r="A12" s="2" t="s">
        <x:v>992</x:v>
      </x:c>
      <x:c r="B12" t="s">
        <x:v>140</x:v>
      </x:c>
      <x:c r="C12" t="s">
        <x:v>108</x:v>
      </x:c>
      <x:c r="D12" t="s">
        <x:v>993</x:v>
      </x:c>
      <x:c r="E12" t="s">
        <x:v>110</x:v>
      </x:c>
      <x:c r="F12" t="s">
        <x:v>111</x:v>
      </x:c>
      <x:c r="G12" t="s">
        <x:v>972</x:v>
      </x:c>
      <x:c r="H12" t="s">
        <x:v>92</x:v>
      </x:c>
      <x:c r="I12" t="s">
        <x:v>994</x:v>
      </x:c>
      <x:c r="J12" t="s">
        <x:v>995</x:v>
      </x:c>
      <x:c r="K12" t="s">
        <x:v>689</x:v>
      </x:c>
      <x:c r="M12" t="s">
        <x:v>92</x:v>
      </x:c>
      <x:c r="N12" t="str">
        <x:v>已验收通过</x:v>
      </x:c>
    </x:row>
    <x:row r="13">
      <x:c r="A13" s="2" t="s">
        <x:v>689</x:v>
      </x:c>
      <x:c r="B13" t="s">
        <x:v>140</x:v>
      </x:c>
      <x:c r="C13" t="s">
        <x:v>108</x:v>
      </x:c>
      <x:c r="D13" t="s">
        <x:v>993</x:v>
      </x:c>
      <x:c r="E13" t="s">
        <x:v>110</x:v>
      </x:c>
      <x:c r="F13" t="s">
        <x:v>111</x:v>
      </x:c>
      <x:c r="G13" t="s">
        <x:v>972</x:v>
      </x:c>
      <x:c r="H13" t="s">
        <x:v>92</x:v>
      </x:c>
      <x:c r="I13" t="s">
        <x:v>996</x:v>
      </x:c>
      <x:c r="J13" t="s">
        <x:v>997</x:v>
      </x:c>
      <x:c r="K13" t="s">
        <x:v>992</x:v>
      </x:c>
      <x:c r="M13" t="s">
        <x:v>92</x:v>
      </x:c>
      <x:c r="N13" t="str">
        <x:v>已验收通过</x:v>
      </x:c>
    </x:row>
    <x:row r="14">
      <x:c r="A14" s="2" t="s">
        <x:v>998</x:v>
      </x:c>
      <x:c r="B14" t="s">
        <x:v>156</x:v>
      </x:c>
      <x:c r="C14" t="s">
        <x:v>108</x:v>
      </x:c>
      <x:c r="D14" t="s">
        <x:v>993</x:v>
      </x:c>
      <x:c r="E14" t="s">
        <x:v>110</x:v>
      </x:c>
      <x:c r="F14" t="s">
        <x:v>111</x:v>
      </x:c>
      <x:c r="G14" t="s">
        <x:v>972</x:v>
      </x:c>
      <x:c r="H14" t="s">
        <x:v>92</x:v>
      </x:c>
      <x:c r="I14" t="s">
        <x:v>999</x:v>
      </x:c>
      <x:c r="J14" t="s">
        <x:v>1000</x:v>
      </x:c>
      <x:c r="K14" t="s">
        <x:v>1001</x:v>
      </x:c>
      <x:c r="M14" t="s">
        <x:v>92</x:v>
      </x:c>
      <x:c r="N14" t="str">
        <x:v>已验收通过</x:v>
      </x:c>
    </x:row>
    <x:row r="15">
      <x:c r="A15" s="2" t="s">
        <x:v>1001</x:v>
      </x:c>
      <x:c r="B15" t="s">
        <x:v>156</x:v>
      </x:c>
      <x:c r="C15" t="s">
        <x:v>108</x:v>
      </x:c>
      <x:c r="D15" t="s">
        <x:v>993</x:v>
      </x:c>
      <x:c r="E15" t="s">
        <x:v>110</x:v>
      </x:c>
      <x:c r="F15" t="s">
        <x:v>111</x:v>
      </x:c>
      <x:c r="G15" t="s">
        <x:v>972</x:v>
      </x:c>
      <x:c r="H15" t="s">
        <x:v>92</x:v>
      </x:c>
      <x:c r="I15" t="s">
        <x:v>1002</x:v>
      </x:c>
      <x:c r="J15" t="s">
        <x:v>1003</x:v>
      </x:c>
      <x:c r="K15" t="s">
        <x:v>998</x:v>
      </x:c>
      <x:c r="M15" t="s">
        <x:v>92</x:v>
      </x:c>
      <x:c r="N15" t="str">
        <x:v>已验收通过</x:v>
      </x:c>
    </x:row>
    <x:row r="16">
      <x:c r="A16" s="2" t="s">
        <x:v>1004</x:v>
      </x:c>
      <x:c r="B16" t="s">
        <x:v>169</x:v>
      </x:c>
      <x:c r="C16" t="s">
        <x:v>108</x:v>
      </x:c>
      <x:c r="D16" t="s">
        <x:v>993</x:v>
      </x:c>
      <x:c r="E16" t="s">
        <x:v>110</x:v>
      </x:c>
      <x:c r="F16" t="s">
        <x:v>111</x:v>
      </x:c>
      <x:c r="G16" t="s">
        <x:v>972</x:v>
      </x:c>
      <x:c r="H16" t="s">
        <x:v>92</x:v>
      </x:c>
      <x:c r="I16" t="s">
        <x:v>1005</x:v>
      </x:c>
      <x:c r="J16" t="s">
        <x:v>1000</x:v>
      </x:c>
      <x:c r="K16" t="s">
        <x:v>715</x:v>
      </x:c>
      <x:c r="M16" t="s">
        <x:v>92</x:v>
      </x:c>
      <x:c r="N16" t="str">
        <x:v>已验收通过</x:v>
      </x:c>
    </x:row>
    <x:row r="17">
      <x:c r="A17" s="2" t="s">
        <x:v>715</x:v>
      </x:c>
      <x:c r="B17" t="s">
        <x:v>169</x:v>
      </x:c>
      <x:c r="C17" t="s">
        <x:v>108</x:v>
      </x:c>
      <x:c r="D17" t="s">
        <x:v>993</x:v>
      </x:c>
      <x:c r="E17" t="s">
        <x:v>110</x:v>
      </x:c>
      <x:c r="F17" t="s">
        <x:v>111</x:v>
      </x:c>
      <x:c r="G17" t="s">
        <x:v>972</x:v>
      </x:c>
      <x:c r="H17" t="s">
        <x:v>92</x:v>
      </x:c>
      <x:c r="I17" t="s">
        <x:v>1006</x:v>
      </x:c>
      <x:c r="J17" t="s">
        <x:v>1007</x:v>
      </x:c>
      <x:c r="K17" t="s">
        <x:v>1004</x:v>
      </x:c>
      <x:c r="M17" t="s">
        <x:v>92</x:v>
      </x:c>
      <x:c r="N17" t="str">
        <x:v>已验收通过</x:v>
      </x:c>
    </x:row>
    <x:row r="18">
      <x:c r="A18" s="2" t="s">
        <x:v>1008</x:v>
      </x:c>
      <x:c r="B18" t="s">
        <x:v>184</x:v>
      </x:c>
      <x:c r="C18" t="s">
        <x:v>108</x:v>
      </x:c>
      <x:c r="D18" t="s">
        <x:v>993</x:v>
      </x:c>
      <x:c r="E18" t="s">
        <x:v>188</x:v>
      </x:c>
      <x:c r="F18" t="s">
        <x:v>110</x:v>
      </x:c>
      <x:c r="G18" t="s">
        <x:v>972</x:v>
      </x:c>
      <x:c r="H18" t="s">
        <x:v>92</x:v>
      </x:c>
      <x:c r="I18" t="s">
        <x:v>1009</x:v>
      </x:c>
      <x:c r="J18" t="s">
        <x:v>995</x:v>
      </x:c>
      <x:c r="K18" t="s">
        <x:v>722</x:v>
      </x:c>
      <x:c r="M18" t="s">
        <x:v>92</x:v>
      </x:c>
      <x:c r="N18" t="str">
        <x:v>已验收通过</x:v>
      </x:c>
    </x:row>
    <x:row r="19">
      <x:c r="A19" s="2" t="s">
        <x:v>722</x:v>
      </x:c>
      <x:c r="B19" t="s">
        <x:v>184</x:v>
      </x:c>
      <x:c r="C19" t="s">
        <x:v>108</x:v>
      </x:c>
      <x:c r="D19" t="s">
        <x:v>993</x:v>
      </x:c>
      <x:c r="E19" t="s">
        <x:v>188</x:v>
      </x:c>
      <x:c r="F19" t="s">
        <x:v>110</x:v>
      </x:c>
      <x:c r="G19" t="s">
        <x:v>972</x:v>
      </x:c>
      <x:c r="H19" t="s">
        <x:v>92</x:v>
      </x:c>
      <x:c r="I19" t="s">
        <x:v>1010</x:v>
      </x:c>
      <x:c r="J19" t="s">
        <x:v>1011</x:v>
      </x:c>
      <x:c r="K19" t="s">
        <x:v>1008</x:v>
      </x:c>
      <x:c r="M19" t="s">
        <x:v>92</x:v>
      </x:c>
      <x:c r="N19" t="str">
        <x:v>已验收通过</x:v>
      </x:c>
    </x:row>
    <x:row r="20">
      <x:c r="A20" s="2" t="s">
        <x:v>1012</x:v>
      </x:c>
      <x:c r="B20" t="s">
        <x:v>200</x:v>
      </x:c>
      <x:c r="C20" t="s">
        <x:v>204</x:v>
      </x:c>
      <x:c r="D20" t="s">
        <x:v>1013</x:v>
      </x:c>
      <x:c r="E20" t="s">
        <x:v>1014</x:v>
      </x:c>
      <x:c r="F20" t="s">
        <x:v>1015</x:v>
      </x:c>
      <x:c r="G20" t="s">
        <x:v>953</x:v>
      </x:c>
      <x:c r="H20" t="s">
        <x:v>92</x:v>
      </x:c>
      <x:c r="I20" t="s">
        <x:v>1016</x:v>
      </x:c>
      <x:c r="J20" t="s">
        <x:v>1017</x:v>
      </x:c>
      <x:c r="M20" t="s">
        <x:v>92</x:v>
      </x:c>
      <x:c r="N20" t="str">
        <x:v>已验收通过</x:v>
      </x:c>
    </x:row>
    <x:row r="21">
      <x:c r="A21" s="2" t="s">
        <x:v>1018</x:v>
      </x:c>
      <x:c r="B21" t="s">
        <x:v>200</x:v>
      </x:c>
      <x:c r="C21" t="s">
        <x:v>204</x:v>
      </x:c>
      <x:c r="D21" t="s">
        <x:v>1013</x:v>
      </x:c>
      <x:c r="E21" t="s">
        <x:v>952</x:v>
      </x:c>
      <x:c r="F21" t="s">
        <x:v>1014</x:v>
      </x:c>
      <x:c r="G21" t="s">
        <x:v>953</x:v>
      </x:c>
      <x:c r="H21" t="s">
        <x:v>92</x:v>
      </x:c>
      <x:c r="I21" t="s">
        <x:v>1019</x:v>
      </x:c>
      <x:c r="J21" t="s">
        <x:v>1020</x:v>
      </x:c>
      <x:c r="M21" t="s">
        <x:v>92</x:v>
      </x:c>
      <x:c r="N21" t="str">
        <x:v>已验收通过</x:v>
      </x:c>
    </x:row>
    <x:row r="22">
      <x:c r="A22" s="2" t="s">
        <x:v>1021</x:v>
      </x:c>
      <x:c r="B22" t="s">
        <x:v>200</x:v>
      </x:c>
      <x:c r="C22" t="s">
        <x:v>204</x:v>
      </x:c>
      <x:c r="D22" t="s">
        <x:v>1013</x:v>
      </x:c>
      <x:c r="E22" t="s">
        <x:v>952</x:v>
      </x:c>
      <x:c r="F22" t="s">
        <x:v>1014</x:v>
      </x:c>
      <x:c r="G22" t="s">
        <x:v>953</x:v>
      </x:c>
      <x:c r="H22" t="s">
        <x:v>92</x:v>
      </x:c>
      <x:c r="I22" t="s">
        <x:v>1022</x:v>
      </x:c>
      <x:c r="J22" t="s">
        <x:v>1023</x:v>
      </x:c>
      <x:c r="M22" t="s">
        <x:v>92</x:v>
      </x:c>
      <x:c r="N22" t="str">
        <x:v>已验收通过</x:v>
      </x:c>
    </x:row>
    <x:row r="23">
      <x:c r="A23" s="2" t="s">
        <x:v>1024</x:v>
      </x:c>
      <x:c r="B23" t="s">
        <x:v>200</x:v>
      </x:c>
      <x:c r="C23" t="s">
        <x:v>204</x:v>
      </x:c>
      <x:c r="D23" t="s">
        <x:v>1013</x:v>
      </x:c>
      <x:c r="E23" t="s">
        <x:v>952</x:v>
      </x:c>
      <x:c r="F23" t="s">
        <x:v>1014</x:v>
      </x:c>
      <x:c r="G23" t="s">
        <x:v>953</x:v>
      </x:c>
      <x:c r="H23" t="s">
        <x:v>92</x:v>
      </x:c>
      <x:c r="I23" t="s">
        <x:v>1025</x:v>
      </x:c>
      <x:c r="J23" t="s">
        <x:v>1026</x:v>
      </x:c>
      <x:c r="M23" t="s">
        <x:v>92</x:v>
      </x:c>
      <x:c r="N23" t="str">
        <x:v>已验收通过</x:v>
      </x:c>
    </x:row>
    <x:row r="24">
      <x:c r="A24" s="2" t="s">
        <x:v>1027</x:v>
      </x:c>
      <x:c r="B24" t="s">
        <x:v>200</x:v>
      </x:c>
      <x:c r="C24" t="s">
        <x:v>204</x:v>
      </x:c>
      <x:c r="D24" t="s">
        <x:v>1013</x:v>
      </x:c>
      <x:c r="E24" t="s">
        <x:v>952</x:v>
      </x:c>
      <x:c r="F24" t="s">
        <x:v>1014</x:v>
      </x:c>
      <x:c r="G24" t="s">
        <x:v>953</x:v>
      </x:c>
      <x:c r="H24" t="s">
        <x:v>92</x:v>
      </x:c>
      <x:c r="I24" t="s">
        <x:v>1028</x:v>
      </x:c>
      <x:c r="J24" t="s">
        <x:v>1029</x:v>
      </x:c>
      <x:c r="M24" t="s">
        <x:v>92</x:v>
      </x:c>
      <x:c r="N24" t="str">
        <x:v>已验收通过</x:v>
      </x:c>
    </x:row>
    <x:row r="25">
      <x:c r="A25" s="2" t="s">
        <x:v>1030</x:v>
      </x:c>
      <x:c r="B25" t="s">
        <x:v>200</x:v>
      </x:c>
      <x:c r="C25" t="s">
        <x:v>204</x:v>
      </x:c>
      <x:c r="D25" t="s">
        <x:v>1013</x:v>
      </x:c>
      <x:c r="E25" t="s">
        <x:v>952</x:v>
      </x:c>
      <x:c r="F25" t="s">
        <x:v>1014</x:v>
      </x:c>
      <x:c r="G25" t="s">
        <x:v>953</x:v>
      </x:c>
      <x:c r="H25" t="s">
        <x:v>92</x:v>
      </x:c>
      <x:c r="I25" t="s">
        <x:v>1031</x:v>
      </x:c>
      <x:c r="J25" t="s">
        <x:v>1032</x:v>
      </x:c>
      <x:c r="M25" t="s">
        <x:v>92</x:v>
      </x:c>
      <x:c r="N25" t="str">
        <x:v>已验收通过</x:v>
      </x:c>
    </x:row>
    <x:row r="26">
      <x:c r="A26" s="2" t="s">
        <x:v>744</x:v>
      </x:c>
      <x:c r="B26" t="s">
        <x:v>200</x:v>
      </x:c>
      <x:c r="C26" t="s">
        <x:v>204</x:v>
      </x:c>
      <x:c r="D26" t="s">
        <x:v>1013</x:v>
      </x:c>
      <x:c r="E26" t="s">
        <x:v>84</x:v>
      </x:c>
      <x:c r="F26" t="s">
        <x:v>1033</x:v>
      </x:c>
      <x:c r="G26" t="s">
        <x:v>966</x:v>
      </x:c>
      <x:c r="H26" t="s">
        <x:v>92</x:v>
      </x:c>
      <x:c r="I26" t="s">
        <x:v>1034</x:v>
      </x:c>
      <x:c r="J26" t="s">
        <x:v>1035</x:v>
      </x:c>
      <x:c r="K26" t="s">
        <x:v>1024</x:v>
      </x:c>
      <x:c r="M26" t="s">
        <x:v>92</x:v>
      </x:c>
      <x:c r="N26" t="str">
        <x:v>已验收通过</x:v>
      </x:c>
    </x:row>
    <x:row r="27">
      <x:c r="A27" s="2" t="s">
        <x:v>1036</x:v>
      </x:c>
      <x:c r="B27" t="s">
        <x:v>223</x:v>
      </x:c>
      <x:c r="C27" t="s">
        <x:v>227</x:v>
      </x:c>
      <x:c r="D27" t="s">
        <x:v>225</x:v>
      </x:c>
      <x:c r="E27" t="s">
        <x:v>1037</x:v>
      </x:c>
      <x:c r="F27" t="s">
        <x:v>188</x:v>
      </x:c>
      <x:c r="G27" t="s">
        <x:v>953</x:v>
      </x:c>
      <x:c r="H27" t="s">
        <x:v>92</x:v>
      </x:c>
      <x:c r="I27" t="s">
        <x:v>1038</x:v>
      </x:c>
      <x:c r="J27" t="s">
        <x:v>1039</x:v>
      </x:c>
      <x:c r="M27" t="s">
        <x:v>92</x:v>
      </x:c>
      <x:c r="N27" t="str">
        <x:v>已验收通过</x:v>
      </x:c>
    </x:row>
    <x:row r="28">
      <x:c r="A28" s="2" t="s">
        <x:v>1040</x:v>
      </x:c>
      <x:c r="B28" t="s">
        <x:v>223</x:v>
      </x:c>
      <x:c r="C28" t="s">
        <x:v>227</x:v>
      </x:c>
      <x:c r="D28" t="s">
        <x:v>225</x:v>
      </x:c>
      <x:c r="E28" t="s">
        <x:v>229</x:v>
      </x:c>
      <x:c r="F28" t="s">
        <x:v>230</x:v>
      </x:c>
      <x:c r="G28" t="s">
        <x:v>966</x:v>
      </x:c>
      <x:c r="H28" t="s">
        <x:v>92</x:v>
      </x:c>
      <x:c r="I28" t="s">
        <x:v>1041</x:v>
      </x:c>
      <x:c r="J28" t="s">
        <x:v>1042</x:v>
      </x:c>
      <x:c r="K28" t="s">
        <x:v>1036</x:v>
      </x:c>
      <x:c r="M28" t="s">
        <x:v>92</x:v>
      </x:c>
      <x:c r="N28" t="str">
        <x:v>已验收通过</x:v>
      </x:c>
    </x:row>
    <x:row r="29">
      <x:c r="A29" s="2" t="s">
        <x:v>1043</x:v>
      </x:c>
      <x:c r="B29" t="s">
        <x:v>245</x:v>
      </x:c>
      <x:c r="C29" t="s">
        <x:v>249</x:v>
      </x:c>
      <x:c r="D29" t="s">
        <x:v>1044</x:v>
      </x:c>
      <x:c r="E29" t="s">
        <x:v>489</x:v>
      </x:c>
      <x:c r="F29" t="s">
        <x:v>1037</x:v>
      </x:c>
      <x:c r="G29" t="s">
        <x:v>953</x:v>
      </x:c>
      <x:c r="H29" t="s">
        <x:v>92</x:v>
      </x:c>
      <x:c r="I29" t="s">
        <x:v>1045</x:v>
      </x:c>
      <x:c r="J29" t="s">
        <x:v>1046</x:v>
      </x:c>
      <x:c r="M29" t="s">
        <x:v>92</x:v>
      </x:c>
      <x:c r="N29" t="str">
        <x:v>已验收通过</x:v>
      </x:c>
    </x:row>
    <x:row r="30">
      <x:c r="A30" s="2" t="s">
        <x:v>1047</x:v>
      </x:c>
      <x:c r="B30" t="s">
        <x:v>245</x:v>
      </x:c>
      <x:c r="C30" t="s">
        <x:v>249</x:v>
      </x:c>
      <x:c r="D30" t="s">
        <x:v>1044</x:v>
      </x:c>
      <x:c r="E30" t="s">
        <x:v>488</x:v>
      </x:c>
      <x:c r="F30" t="s">
        <x:v>489</x:v>
      </x:c>
      <x:c r="G30" t="s">
        <x:v>953</x:v>
      </x:c>
      <x:c r="H30" t="s">
        <x:v>92</x:v>
      </x:c>
      <x:c r="I30" t="s">
        <x:v>1048</x:v>
      </x:c>
      <x:c r="J30" t="s">
        <x:v>1049</x:v>
      </x:c>
      <x:c r="M30" t="s">
        <x:v>92</x:v>
      </x:c>
      <x:c r="N30" t="str">
        <x:v>已验收通过</x:v>
      </x:c>
    </x:row>
    <x:row r="31">
      <x:c r="A31" s="2" t="s">
        <x:v>1050</x:v>
      </x:c>
      <x:c r="B31" t="s">
        <x:v>245</x:v>
      </x:c>
      <x:c r="C31" t="s">
        <x:v>249</x:v>
      </x:c>
      <x:c r="D31" t="s">
        <x:v>1044</x:v>
      </x:c>
      <x:c r="E31" t="s">
        <x:v>488</x:v>
      </x:c>
      <x:c r="F31" t="s">
        <x:v>489</x:v>
      </x:c>
      <x:c r="G31" t="s">
        <x:v>953</x:v>
      </x:c>
      <x:c r="H31" t="s">
        <x:v>92</x:v>
      </x:c>
      <x:c r="I31" t="s">
        <x:v>1051</x:v>
      </x:c>
      <x:c r="J31" t="s">
        <x:v>1052</x:v>
      </x:c>
      <x:c r="M31" t="s">
        <x:v>92</x:v>
      </x:c>
      <x:c r="N31" t="str">
        <x:v>已验收通过</x:v>
      </x:c>
    </x:row>
    <x:row r="32">
      <x:c r="A32" s="2" t="s">
        <x:v>1053</x:v>
      </x:c>
      <x:c r="B32" t="s">
        <x:v>245</x:v>
      </x:c>
      <x:c r="C32" t="s">
        <x:v>249</x:v>
      </x:c>
      <x:c r="D32" t="s">
        <x:v>1044</x:v>
      </x:c>
      <x:c r="E32" t="s">
        <x:v>488</x:v>
      </x:c>
      <x:c r="F32" t="s">
        <x:v>489</x:v>
      </x:c>
      <x:c r="G32" t="s">
        <x:v>953</x:v>
      </x:c>
      <x:c r="H32" t="s">
        <x:v>92</x:v>
      </x:c>
      <x:c r="I32" t="s">
        <x:v>1054</x:v>
      </x:c>
      <x:c r="J32" t="s">
        <x:v>1055</x:v>
      </x:c>
      <x:c r="M32" t="s">
        <x:v>92</x:v>
      </x:c>
      <x:c r="N32" t="str">
        <x:v>已验收通过</x:v>
      </x:c>
    </x:row>
    <x:row r="33">
      <x:c r="A33" s="2" t="s">
        <x:v>1056</x:v>
      </x:c>
      <x:c r="B33" t="s">
        <x:v>245</x:v>
      </x:c>
      <x:c r="C33" t="s">
        <x:v>249</x:v>
      </x:c>
      <x:c r="D33" t="s">
        <x:v>1044</x:v>
      </x:c>
      <x:c r="E33" t="s">
        <x:v>277</x:v>
      </x:c>
      <x:c r="F33" t="s">
        <x:v>1057</x:v>
      </x:c>
      <x:c r="G33" t="s">
        <x:v>966</x:v>
      </x:c>
      <x:c r="H33" t="s">
        <x:v>92</x:v>
      </x:c>
      <x:c r="I33" t="s">
        <x:v>1058</x:v>
      </x:c>
      <x:c r="J33" t="s">
        <x:v>1059</x:v>
      </x:c>
      <x:c r="K33" t="s">
        <x:v>1060</x:v>
      </x:c>
      <x:c r="M33" t="s">
        <x:v>92</x:v>
      </x:c>
      <x:c r="N33" t="str">
        <x:v>已验收通过</x:v>
      </x:c>
    </x:row>
    <x:row r="34">
      <x:c r="A34" s="2" t="s">
        <x:v>1061</x:v>
      </x:c>
      <x:c r="B34" t="s">
        <x:v>245</x:v>
      </x:c>
      <x:c r="C34" t="s">
        <x:v>249</x:v>
      </x:c>
      <x:c r="D34" t="s">
        <x:v>1044</x:v>
      </x:c>
      <x:c r="E34" t="s">
        <x:v>488</x:v>
      </x:c>
      <x:c r="F34" t="s">
        <x:v>489</x:v>
      </x:c>
      <x:c r="G34" t="s">
        <x:v>953</x:v>
      </x:c>
      <x:c r="H34" t="s">
        <x:v>92</x:v>
      </x:c>
      <x:c r="I34" t="s">
        <x:v>1062</x:v>
      </x:c>
      <x:c r="J34" t="s">
        <x:v>1063</x:v>
      </x:c>
      <x:c r="M34" t="s">
        <x:v>92</x:v>
      </x:c>
      <x:c r="N34" t="str">
        <x:v>已验收通过</x:v>
      </x:c>
    </x:row>
    <x:row r="35">
      <x:c r="A35" s="2" t="s">
        <x:v>1064</x:v>
      </x:c>
      <x:c r="B35" t="s">
        <x:v>270</x:v>
      </x:c>
      <x:c r="C35" t="s">
        <x:v>274</x:v>
      </x:c>
      <x:c r="D35" t="s">
        <x:v>272</x:v>
      </x:c>
      <x:c r="E35" t="s">
        <x:v>1065</x:v>
      </x:c>
      <x:c r="F35" t="s">
        <x:v>488</x:v>
      </x:c>
      <x:c r="G35" t="s">
        <x:v>953</x:v>
      </x:c>
      <x:c r="H35" t="s">
        <x:v>92</x:v>
      </x:c>
      <x:c r="I35" t="s">
        <x:v>1066</x:v>
      </x:c>
      <x:c r="J35" t="s">
        <x:v>1067</x:v>
      </x:c>
      <x:c r="M35" t="s">
        <x:v>92</x:v>
      </x:c>
      <x:c r="N35" t="str">
        <x:v>已验收通过</x:v>
      </x:c>
    </x:row>
    <x:row r="36">
      <x:c r="A36" s="2" t="s">
        <x:v>1068</x:v>
      </x:c>
      <x:c r="B36" t="s">
        <x:v>270</x:v>
      </x:c>
      <x:c r="C36" t="s">
        <x:v>274</x:v>
      </x:c>
      <x:c r="D36" t="s">
        <x:v>272</x:v>
      </x:c>
      <x:c r="E36" t="s">
        <x:v>1065</x:v>
      </x:c>
      <x:c r="F36" t="s">
        <x:v>488</x:v>
      </x:c>
      <x:c r="G36" t="s">
        <x:v>953</x:v>
      </x:c>
      <x:c r="H36" t="s">
        <x:v>92</x:v>
      </x:c>
      <x:c r="I36" t="s">
        <x:v>1069</x:v>
      </x:c>
      <x:c r="J36" t="s">
        <x:v>1070</x:v>
      </x:c>
      <x:c r="M36" t="s">
        <x:v>92</x:v>
      </x:c>
      <x:c r="N36" t="str">
        <x:v>已验收通过</x:v>
      </x:c>
    </x:row>
    <x:row r="37">
      <x:c r="A37" s="2" t="s">
        <x:v>1071</x:v>
      </x:c>
      <x:c r="B37" t="s">
        <x:v>270</x:v>
      </x:c>
      <x:c r="C37" t="s">
        <x:v>274</x:v>
      </x:c>
      <x:c r="D37" t="s">
        <x:v>272</x:v>
      </x:c>
      <x:c r="E37" t="s">
        <x:v>276</x:v>
      </x:c>
      <x:c r="F37" t="s">
        <x:v>277</x:v>
      </x:c>
      <x:c r="G37" t="s">
        <x:v>966</x:v>
      </x:c>
      <x:c r="H37" t="s">
        <x:v>92</x:v>
      </x:c>
      <x:c r="I37" t="s">
        <x:v>1072</x:v>
      </x:c>
      <x:c r="J37" t="s">
        <x:v>1073</x:v>
      </x:c>
      <x:c r="K37" t="s">
        <x:v>1064</x:v>
      </x:c>
      <x:c r="M37" t="s">
        <x:v>92</x:v>
      </x:c>
      <x:c r="N37" t="str">
        <x:v>已验收通过</x:v>
      </x:c>
    </x:row>
    <x:row r="38">
      <x:c r="A38" s="2" t="s">
        <x:v>1074</x:v>
      </x:c>
      <x:c r="B38" t="s">
        <x:v>291</x:v>
      </x:c>
      <x:c r="C38" t="s">
        <x:v>295</x:v>
      </x:c>
      <x:c r="D38" t="s">
        <x:v>293</x:v>
      </x:c>
      <x:c r="E38" t="s">
        <x:v>1075</x:v>
      </x:c>
      <x:c r="F38" t="s">
        <x:v>1065</x:v>
      </x:c>
      <x:c r="G38" t="s">
        <x:v>953</x:v>
      </x:c>
      <x:c r="H38" t="s">
        <x:v>92</x:v>
      </x:c>
      <x:c r="I38" t="s">
        <x:v>1076</x:v>
      </x:c>
      <x:c r="J38" t="s">
        <x:v>1077</x:v>
      </x:c>
      <x:c r="M38" t="s">
        <x:v>92</x:v>
      </x:c>
      <x:c r="N38" t="str">
        <x:v>已验收通过</x:v>
      </x:c>
    </x:row>
    <x:row r="39">
      <x:c r="A39" s="2" t="s">
        <x:v>1078</x:v>
      </x:c>
      <x:c r="B39" t="s">
        <x:v>291</x:v>
      </x:c>
      <x:c r="C39" t="s">
        <x:v>295</x:v>
      </x:c>
      <x:c r="D39" t="s">
        <x:v>293</x:v>
      </x:c>
      <x:c r="E39" t="s">
        <x:v>1075</x:v>
      </x:c>
      <x:c r="F39" t="s">
        <x:v>1065</x:v>
      </x:c>
      <x:c r="G39" t="s">
        <x:v>953</x:v>
      </x:c>
      <x:c r="H39" t="s">
        <x:v>92</x:v>
      </x:c>
      <x:c r="I39" t="s">
        <x:v>1079</x:v>
      </x:c>
      <x:c r="J39" t="s">
        <x:v>1080</x:v>
      </x:c>
      <x:c r="M39" t="s">
        <x:v>92</x:v>
      </x:c>
      <x:c r="N39" t="str">
        <x:v>已验收通过</x:v>
      </x:c>
    </x:row>
    <x:row r="40">
      <x:c r="A40" s="2" t="s">
        <x:v>1081</x:v>
      </x:c>
      <x:c r="B40" t="s">
        <x:v>291</x:v>
      </x:c>
      <x:c r="C40" t="s">
        <x:v>295</x:v>
      </x:c>
      <x:c r="D40" t="s">
        <x:v>293</x:v>
      </x:c>
      <x:c r="E40" t="s">
        <x:v>1075</x:v>
      </x:c>
      <x:c r="F40" t="s">
        <x:v>1065</x:v>
      </x:c>
      <x:c r="G40" t="s">
        <x:v>953</x:v>
      </x:c>
      <x:c r="H40" t="s">
        <x:v>92</x:v>
      </x:c>
      <x:c r="I40" t="s">
        <x:v>1062</x:v>
      </x:c>
      <x:c r="J40" t="s">
        <x:v>1082</x:v>
      </x:c>
      <x:c r="M40" t="s">
        <x:v>92</x:v>
      </x:c>
      <x:c r="N40" t="str">
        <x:v>已验收通过</x:v>
      </x:c>
    </x:row>
    <x:row r="41">
      <x:c r="A41" s="2" t="s">
        <x:v>1083</x:v>
      </x:c>
      <x:c r="B41" t="s">
        <x:v>291</x:v>
      </x:c>
      <x:c r="C41" t="s">
        <x:v>295</x:v>
      </x:c>
      <x:c r="D41" t="s">
        <x:v>293</x:v>
      </x:c>
      <x:c r="E41" t="s">
        <x:v>297</x:v>
      </x:c>
      <x:c r="F41" t="s">
        <x:v>276</x:v>
      </x:c>
      <x:c r="G41" t="s">
        <x:v>966</x:v>
      </x:c>
      <x:c r="H41" t="s">
        <x:v>92</x:v>
      </x:c>
      <x:c r="I41" t="s">
        <x:v>1084</x:v>
      </x:c>
      <x:c r="J41" t="s">
        <x:v>1085</x:v>
      </x:c>
      <x:c r="K41" t="s">
        <x:v>1074</x:v>
      </x:c>
      <x:c r="M41" t="s">
        <x:v>92</x:v>
      </x:c>
      <x:c r="N41" t="str">
        <x:v>已验收通过</x:v>
      </x:c>
    </x:row>
    <x:row r="42">
      <x:c r="A42" s="2" t="s">
        <x:v>1086</x:v>
      </x:c>
      <x:c r="B42" t="s">
        <x:v>312</x:v>
      </x:c>
      <x:c r="C42" t="s">
        <x:v>316</x:v>
      </x:c>
      <x:c r="D42" t="s">
        <x:v>1087</x:v>
      </x:c>
      <x:c r="E42" t="s">
        <x:v>1088</x:v>
      </x:c>
      <x:c r="F42" t="s">
        <x:v>1075</x:v>
      </x:c>
      <x:c r="G42" t="s">
        <x:v>953</x:v>
      </x:c>
      <x:c r="H42" t="s">
        <x:v>92</x:v>
      </x:c>
      <x:c r="I42" t="s">
        <x:v>1089</x:v>
      </x:c>
      <x:c r="J42" t="s">
        <x:v>1090</x:v>
      </x:c>
      <x:c r="M42" t="s">
        <x:v>92</x:v>
      </x:c>
      <x:c r="N42" t="str">
        <x:v>已验收通过</x:v>
      </x:c>
    </x:row>
    <x:row r="43">
      <x:c r="A43" s="2" t="s">
        <x:v>1091</x:v>
      </x:c>
      <x:c r="B43" t="s">
        <x:v>312</x:v>
      </x:c>
      <x:c r="C43" t="s">
        <x:v>316</x:v>
      </x:c>
      <x:c r="D43" t="s">
        <x:v>1087</x:v>
      </x:c>
      <x:c r="E43" t="s">
        <x:v>531</x:v>
      </x:c>
      <x:c r="F43" t="s">
        <x:v>297</x:v>
      </x:c>
      <x:c r="G43" t="s">
        <x:v>953</x:v>
      </x:c>
      <x:c r="H43" t="s">
        <x:v>92</x:v>
      </x:c>
      <x:c r="I43" t="s">
        <x:v>1062</x:v>
      </x:c>
      <x:c r="J43" t="s">
        <x:v>1082</x:v>
      </x:c>
      <x:c r="M43" t="s">
        <x:v>92</x:v>
      </x:c>
      <x:c r="N43" t="str">
        <x:v>已验收通过</x:v>
      </x:c>
    </x:row>
    <x:row r="44">
      <x:c r="A44" s="2" t="s">
        <x:v>1092</x:v>
      </x:c>
      <x:c r="B44" t="s">
        <x:v>312</x:v>
      </x:c>
      <x:c r="C44" t="s">
        <x:v>316</x:v>
      </x:c>
      <x:c r="D44" t="s">
        <x:v>1087</x:v>
      </x:c>
      <x:c r="E44" t="s">
        <x:v>1093</x:v>
      </x:c>
      <x:c r="F44" t="s">
        <x:v>1088</x:v>
      </x:c>
      <x:c r="G44" t="s">
        <x:v>966</x:v>
      </x:c>
      <x:c r="H44" t="s">
        <x:v>92</x:v>
      </x:c>
      <x:c r="I44" t="s">
        <x:v>1094</x:v>
      </x:c>
      <x:c r="J44" t="s">
        <x:v>1095</x:v>
      </x:c>
      <x:c r="M44" t="s">
        <x:v>92</x:v>
      </x:c>
      <x:c r="N44" t="str">
        <x:v>已验收通过</x:v>
      </x:c>
    </x:row>
    <x:row r="45">
      <x:c r="A45" s="2" t="s">
        <x:v>1096</x:v>
      </x:c>
      <x:c r="B45" t="s">
        <x:v>312</x:v>
      </x:c>
      <x:c r="C45" t="s">
        <x:v>316</x:v>
      </x:c>
      <x:c r="D45" t="s">
        <x:v>1087</x:v>
      </x:c>
      <x:c r="E45" t="s">
        <x:v>1093</x:v>
      </x:c>
      <x:c r="F45" t="s">
        <x:v>1088</x:v>
      </x:c>
      <x:c r="G45" t="s">
        <x:v>953</x:v>
      </x:c>
      <x:c r="H45" t="s">
        <x:v>92</x:v>
      </x:c>
      <x:c r="I45" t="s">
        <x:v>1097</x:v>
      </x:c>
      <x:c r="J45" t="s">
        <x:v>1098</x:v>
      </x:c>
      <x:c r="K45" t="s">
        <x:v>1099</x:v>
      </x:c>
      <x:c r="M45" t="s">
        <x:v>92</x:v>
      </x:c>
      <x:c r="N45" t="str">
        <x:v>已验收通过</x:v>
      </x:c>
    </x:row>
    <x:row r="46">
      <x:c r="A46" s="2" t="s">
        <x:v>1100</x:v>
      </x:c>
      <x:c r="B46" t="s">
        <x:v>312</x:v>
      </x:c>
      <x:c r="C46" t="s">
        <x:v>316</x:v>
      </x:c>
      <x:c r="D46" t="s">
        <x:v>1087</x:v>
      </x:c>
      <x:c r="E46" t="s">
        <x:v>365</x:v>
      </x:c>
      <x:c r="F46" t="s">
        <x:v>531</x:v>
      </x:c>
      <x:c r="G46" t="s">
        <x:v>966</x:v>
      </x:c>
      <x:c r="H46" t="s">
        <x:v>92</x:v>
      </x:c>
      <x:c r="I46" t="s">
        <x:v>1101</x:v>
      </x:c>
      <x:c r="J46" t="s">
        <x:v>1102</x:v>
      </x:c>
      <x:c r="K46" t="s">
        <x:v>1099</x:v>
      </x:c>
      <x:c r="M46" t="s">
        <x:v>92</x:v>
      </x:c>
      <x:c r="N46" t="str">
        <x:v>已验收通过</x:v>
      </x:c>
    </x:row>
    <x:row r="47">
      <x:c r="A47" s="2" t="s">
        <x:v>905</x:v>
      </x:c>
      <x:c r="B47" t="s">
        <x:v>335</x:v>
      </x:c>
      <x:c r="C47" t="s">
        <x:v>340</x:v>
      </x:c>
      <x:c r="D47" t="s">
        <x:v>1103</x:v>
      </x:c>
      <x:c r="E47" t="s">
        <x:v>1104</x:v>
      </x:c>
      <x:c r="F47" t="s">
        <x:v>1093</x:v>
      </x:c>
      <x:c r="G47" t="s">
        <x:v>953</x:v>
      </x:c>
      <x:c r="H47" t="s">
        <x:v>92</x:v>
      </x:c>
      <x:c r="I47" t="s">
        <x:v>1105</x:v>
      </x:c>
      <x:c r="J47" t="s">
        <x:v>1106</x:v>
      </x:c>
      <x:c r="M47" t="s">
        <x:v>92</x:v>
      </x:c>
      <x:c r="N47" t="str">
        <x:v>已验收通过</x:v>
      </x:c>
    </x:row>
    <x:row r="48">
      <x:c r="A48" s="2" t="s">
        <x:v>1107</x:v>
      </x:c>
      <x:c r="B48" t="s">
        <x:v>335</x:v>
      </x:c>
      <x:c r="C48" t="s">
        <x:v>340</x:v>
      </x:c>
      <x:c r="D48" t="s">
        <x:v>1103</x:v>
      </x:c>
      <x:c r="E48" t="s">
        <x:v>364</x:v>
      </x:c>
      <x:c r="F48" t="s">
        <x:v>365</x:v>
      </x:c>
      <x:c r="G48" t="s">
        <x:v>953</x:v>
      </x:c>
      <x:c r="H48" t="s">
        <x:v>92</x:v>
      </x:c>
      <x:c r="I48" t="s">
        <x:v>1108</x:v>
      </x:c>
      <x:c r="J48" t="s">
        <x:v>1109</x:v>
      </x:c>
      <x:c r="K48" t="s">
        <x:v>905</x:v>
      </x:c>
      <x:c r="M48" t="s">
        <x:v>92</x:v>
      </x:c>
      <x:c r="N48" t="str">
        <x:v>已验收通过</x:v>
      </x:c>
    </x:row>
    <x:row r="49">
      <x:c r="A49" s="2" t="s">
        <x:v>1110</x:v>
      </x:c>
      <x:c r="B49" t="s">
        <x:v>335</x:v>
      </x:c>
      <x:c r="C49" t="s">
        <x:v>340</x:v>
      </x:c>
      <x:c r="D49" t="s">
        <x:v>1103</x:v>
      </x:c>
      <x:c r="E49" t="s">
        <x:v>440</x:v>
      </x:c>
      <x:c r="F49" t="s">
        <x:v>441</x:v>
      </x:c>
      <x:c r="G49" t="s">
        <x:v>953</x:v>
      </x:c>
      <x:c r="H49" t="s">
        <x:v>92</x:v>
      </x:c>
      <x:c r="I49" t="s">
        <x:v>1111</x:v>
      </x:c>
      <x:c r="J49" t="s">
        <x:v>1112</x:v>
      </x:c>
      <x:c r="K49" t="s">
        <x:v>905</x:v>
      </x:c>
      <x:c r="M49" t="s">
        <x:v>92</x:v>
      </x:c>
      <x:c r="N49" t="str">
        <x:v>已验收通过</x:v>
      </x:c>
    </x:row>
    <x:row r="50">
      <x:c r="A50" s="2" t="s">
        <x:v>1113</x:v>
      </x:c>
      <x:c r="B50" t="s">
        <x:v>335</x:v>
      </x:c>
      <x:c r="C50" t="s">
        <x:v>340</x:v>
      </x:c>
      <x:c r="D50" t="s">
        <x:v>1103</x:v>
      </x:c>
      <x:c r="E50" t="s">
        <x:v>440</x:v>
      </x:c>
      <x:c r="F50" t="s">
        <x:v>441</x:v>
      </x:c>
      <x:c r="G50" t="s">
        <x:v>953</x:v>
      </x:c>
      <x:c r="H50" t="s">
        <x:v>92</x:v>
      </x:c>
      <x:c r="I50" t="s">
        <x:v>1114</x:v>
      </x:c>
      <x:c r="J50" t="s">
        <x:v>1115</x:v>
      </x:c>
      <x:c r="K50" t="s">
        <x:v>899</x:v>
      </x:c>
      <x:c r="M50" t="s">
        <x:v>92</x:v>
      </x:c>
      <x:c r="N50" t="str">
        <x:v>已验收通过</x:v>
      </x:c>
    </x:row>
    <x:row r="51">
      <x:c r="A51" s="2" t="s">
        <x:v>1116</x:v>
      </x:c>
      <x:c r="B51" t="s">
        <x:v>359</x:v>
      </x:c>
      <x:c r="C51" t="s">
        <x:v>340</x:v>
      </x:c>
      <x:c r="D51" t="s">
        <x:v>1117</x:v>
      </x:c>
      <x:c r="E51" t="s">
        <x:v>364</x:v>
      </x:c>
      <x:c r="F51" t="s">
        <x:v>365</x:v>
      </x:c>
      <x:c r="G51" t="s">
        <x:v>966</x:v>
      </x:c>
      <x:c r="H51" t="s">
        <x:v>92</x:v>
      </x:c>
      <x:c r="I51" t="s">
        <x:v>1118</x:v>
      </x:c>
      <x:c r="J51" t="s">
        <x:v>1119</x:v>
      </x:c>
      <x:c r="M51" t="s">
        <x:v>92</x:v>
      </x:c>
      <x:c r="N51" t="str">
        <x:v>已验收通过</x:v>
      </x:c>
    </x:row>
    <x:row r="52">
      <x:c r="A52" s="2" t="s">
        <x:v>1120</x:v>
      </x:c>
      <x:c r="B52" t="s">
        <x:v>359</x:v>
      </x:c>
      <x:c r="C52" t="s">
        <x:v>340</x:v>
      </x:c>
      <x:c r="D52" t="s">
        <x:v>1117</x:v>
      </x:c>
      <x:c r="E52" t="s">
        <x:v>364</x:v>
      </x:c>
      <x:c r="F52" t="s">
        <x:v>365</x:v>
      </x:c>
      <x:c r="G52" t="s">
        <x:v>966</x:v>
      </x:c>
      <x:c r="H52" t="s">
        <x:v>92</x:v>
      </x:c>
      <x:c r="I52" t="s">
        <x:v>1121</x:v>
      </x:c>
      <x:c r="J52" t="s">
        <x:v>1122</x:v>
      </x:c>
      <x:c r="K52" t="s">
        <x:v>905</x:v>
      </x:c>
      <x:c r="M52" t="s">
        <x:v>92</x:v>
      </x:c>
      <x:c r="N52" t="str">
        <x:v>已验收通过</x:v>
      </x:c>
    </x:row>
    <x:row r="53">
      <x:c r="A53" s="2" t="s">
        <x:v>1123</x:v>
      </x:c>
      <x:c r="B53" t="s">
        <x:v>381</x:v>
      </x:c>
      <x:c r="C53" t="s">
        <x:v>340</x:v>
      </x:c>
      <x:c r="D53" t="s">
        <x:v>1124</x:v>
      </x:c>
      <x:c r="E53" t="s">
        <x:v>1125</x:v>
      </x:c>
      <x:c r="F53" t="s">
        <x:v>1104</x:v>
      </x:c>
      <x:c r="G53" t="s">
        <x:v>966</x:v>
      </x:c>
      <x:c r="H53" t="s">
        <x:v>92</x:v>
      </x:c>
      <x:c r="I53" t="s">
        <x:v>1126</x:v>
      </x:c>
      <x:c r="J53" t="s">
        <x:v>1127</x:v>
      </x:c>
      <x:c r="M53" t="s">
        <x:v>92</x:v>
      </x:c>
      <x:c r="N53" t="str">
        <x:v>已验收通过</x:v>
      </x:c>
    </x:row>
    <x:row r="54">
      <x:c r="A54" s="2" t="s">
        <x:v>1128</x:v>
      </x:c>
      <x:c r="B54" t="s">
        <x:v>381</x:v>
      </x:c>
      <x:c r="C54" t="s">
        <x:v>340</x:v>
      </x:c>
      <x:c r="D54" t="s">
        <x:v>1124</x:v>
      </x:c>
      <x:c r="E54" t="s">
        <x:v>1125</x:v>
      </x:c>
      <x:c r="F54" t="s">
        <x:v>1104</x:v>
      </x:c>
      <x:c r="G54" t="s">
        <x:v>966</x:v>
      </x:c>
      <x:c r="H54" t="s">
        <x:v>92</x:v>
      </x:c>
      <x:c r="I54" t="s">
        <x:v>1129</x:v>
      </x:c>
      <x:c r="J54" t="s">
        <x:v>1130</x:v>
      </x:c>
      <x:c r="M54" t="s">
        <x:v>92</x:v>
      </x:c>
      <x:c r="N54" t="str">
        <x:v>已验收通过</x:v>
      </x:c>
    </x:row>
    <x:row r="55">
      <x:c r="A55" s="2" t="s">
        <x:v>1131</x:v>
      </x:c>
      <x:c r="B55" t="s">
        <x:v>381</x:v>
      </x:c>
      <x:c r="C55" t="s">
        <x:v>340</x:v>
      </x:c>
      <x:c r="D55" t="s">
        <x:v>1124</x:v>
      </x:c>
      <x:c r="E55" t="s">
        <x:v>1132</x:v>
      </x:c>
      <x:c r="F55" t="s">
        <x:v>1125</x:v>
      </x:c>
      <x:c r="G55" t="s">
        <x:v>966</x:v>
      </x:c>
      <x:c r="H55" t="s">
        <x:v>92</x:v>
      </x:c>
      <x:c r="I55" t="s">
        <x:v>1133</x:v>
      </x:c>
      <x:c r="J55" t="s">
        <x:v>1134</x:v>
      </x:c>
      <x:c r="M55" t="s">
        <x:v>92</x:v>
      </x:c>
      <x:c r="N55" t="str">
        <x:v>已验收通过</x:v>
      </x:c>
    </x:row>
    <x:row r="56">
      <x:c r="A56" s="2" t="s">
        <x:v>1135</x:v>
      </x:c>
      <x:c r="B56" t="s">
        <x:v>381</x:v>
      </x:c>
      <x:c r="C56" t="s">
        <x:v>340</x:v>
      </x:c>
      <x:c r="D56" t="s">
        <x:v>1124</x:v>
      </x:c>
      <x:c r="E56" t="s">
        <x:v>405</x:v>
      </x:c>
      <x:c r="F56" t="s">
        <x:v>1136</x:v>
      </x:c>
      <x:c r="G56" t="s">
        <x:v>966</x:v>
      </x:c>
      <x:c r="H56" t="s">
        <x:v>92</x:v>
      </x:c>
      <x:c r="I56" t="s">
        <x:v>1137</x:v>
      </x:c>
      <x:c r="J56" t="s">
        <x:v>1138</x:v>
      </x:c>
      <x:c r="M56" t="s">
        <x:v>92</x:v>
      </x:c>
      <x:c r="N56" t="str">
        <x:v>已验收通过</x:v>
      </x:c>
    </x:row>
    <x:row r="57">
      <x:c r="A57" s="2" t="s">
        <x:v>1139</x:v>
      </x:c>
      <x:c r="B57" t="s">
        <x:v>381</x:v>
      </x:c>
      <x:c r="C57" t="s">
        <x:v>340</x:v>
      </x:c>
      <x:c r="D57" t="s">
        <x:v>1140</x:v>
      </x:c>
      <x:c r="E57" t="s">
        <x:v>440</x:v>
      </x:c>
      <x:c r="F57" t="s">
        <x:v>441</x:v>
      </x:c>
      <x:c r="G57" t="s">
        <x:v>1141</x:v>
      </x:c>
      <x:c r="H57" t="s">
        <x:v>92</x:v>
      </x:c>
      <x:c r="I57" t="s">
        <x:v>1142</x:v>
      </x:c>
      <x:c r="J57" t="s">
        <x:v>1143</x:v>
      </x:c>
      <x:c r="K57" t="s">
        <x:v>1144</x:v>
      </x:c>
      <x:c r="M57" t="s">
        <x:v>92</x:v>
      </x:c>
      <x:c r="N57" t="str">
        <x:v>已验收通过</x:v>
      </x:c>
    </x:row>
    <x:row r="58">
      <x:c r="A58" s="2" t="s">
        <x:v>1145</x:v>
      </x:c>
      <x:c r="B58" t="s">
        <x:v>400</x:v>
      </x:c>
      <x:c r="C58" t="s">
        <x:v>340</x:v>
      </x:c>
      <x:c r="D58" t="s">
        <x:v>1146</x:v>
      </x:c>
      <x:c r="E58" t="s">
        <x:v>404</x:v>
      </x:c>
      <x:c r="F58" t="s">
        <x:v>405</x:v>
      </x:c>
      <x:c r="G58" t="s">
        <x:v>966</x:v>
      </x:c>
      <x:c r="H58" t="s">
        <x:v>92</x:v>
      </x:c>
      <x:c r="I58" t="s">
        <x:v>1147</x:v>
      </x:c>
      <x:c r="J58" t="s">
        <x:v>1148</x:v>
      </x:c>
      <x:c r="M58" t="s">
        <x:v>92</x:v>
      </x:c>
      <x:c r="N58" t="str">
        <x:v>已验收通过</x:v>
      </x:c>
    </x:row>
    <x:row r="59">
      <x:c r="A59" s="2" t="s">
        <x:v>1149</x:v>
      </x:c>
      <x:c r="B59" t="s">
        <x:v>400</x:v>
      </x:c>
      <x:c r="C59" t="s">
        <x:v>340</x:v>
      </x:c>
      <x:c r="D59" t="s">
        <x:v>1146</x:v>
      </x:c>
      <x:c r="E59" t="s">
        <x:v>441</x:v>
      </x:c>
      <x:c r="F59" t="s">
        <x:v>1150</x:v>
      </x:c>
      <x:c r="G59" t="s">
        <x:v>966</x:v>
      </x:c>
      <x:c r="H59" t="s">
        <x:v>92</x:v>
      </x:c>
      <x:c r="I59" t="s">
        <x:v>1151</x:v>
      </x:c>
      <x:c r="J59" t="s">
        <x:v>1152</x:v>
      </x:c>
      <x:c r="M59" t="s">
        <x:v>92</x:v>
      </x:c>
      <x:c r="N59" t="str">
        <x:v>已验收通过</x:v>
      </x:c>
    </x:row>
    <x:row r="60">
      <x:c r="A60" s="2" t="s">
        <x:v>1153</x:v>
      </x:c>
      <x:c r="B60" t="s">
        <x:v>400</x:v>
      </x:c>
      <x:c r="C60" t="s">
        <x:v>340</x:v>
      </x:c>
      <x:c r="D60" t="s">
        <x:v>1146</x:v>
      </x:c>
      <x:c r="E60" t="s">
        <x:v>404</x:v>
      </x:c>
      <x:c r="F60" t="s">
        <x:v>405</x:v>
      </x:c>
      <x:c r="G60" t="s">
        <x:v>966</x:v>
      </x:c>
      <x:c r="H60" t="s">
        <x:v>92</x:v>
      </x:c>
      <x:c r="I60" t="s">
        <x:v>1154</x:v>
      </x:c>
      <x:c r="J60" t="s">
        <x:v>1155</x:v>
      </x:c>
      <x:c r="K60" t="s">
        <x:v>905</x:v>
      </x:c>
      <x:c r="M60" t="s">
        <x:v>92</x:v>
      </x:c>
      <x:c r="N60" t="str">
        <x:v>已验收通过</x:v>
      </x:c>
    </x:row>
    <x:row r="61">
      <x:c r="A61" s="2" t="s">
        <x:v>1156</x:v>
      </x:c>
      <x:c r="B61" t="s">
        <x:v>419</x:v>
      </x:c>
      <x:c r="C61" t="s">
        <x:v>340</x:v>
      </x:c>
      <x:c r="D61" t="s">
        <x:v>1157</x:v>
      </x:c>
      <x:c r="E61" t="s">
        <x:v>423</x:v>
      </x:c>
      <x:c r="F61" t="s">
        <x:v>404</x:v>
      </x:c>
      <x:c r="G61" t="s">
        <x:v>966</x:v>
      </x:c>
      <x:c r="H61" t="s">
        <x:v>92</x:v>
      </x:c>
      <x:c r="I61" t="s">
        <x:v>1158</x:v>
      </x:c>
      <x:c r="J61" t="s">
        <x:v>1159</x:v>
      </x:c>
      <x:c r="K61" t="s">
        <x:v>905</x:v>
      </x:c>
      <x:c r="M61" t="s">
        <x:v>92</x:v>
      </x:c>
      <x:c r="N61" t="str">
        <x:v>已验收通过</x:v>
      </x:c>
    </x:row>
    <x:row r="62" ht="28">
      <x:c r="A62" s="2" t="s">
        <x:v>1160</x:v>
      </x:c>
      <x:c r="B62" t="s">
        <x:v>436</x:v>
      </x:c>
      <x:c r="C62" t="s">
        <x:v>340</x:v>
      </x:c>
      <x:c r="D62" t="s">
        <x:v>1161</x:v>
      </x:c>
      <x:c r="E62" t="s">
        <x:v>440</x:v>
      </x:c>
      <x:c r="F62" t="s">
        <x:v>441</x:v>
      </x:c>
      <x:c r="G62" t="s">
        <x:v>966</x:v>
      </x:c>
      <x:c r="H62" t="s">
        <x:v>92</x:v>
      </x:c>
      <x:c r="I62" t="s">
        <x:v>1162</x:v>
      </x:c>
      <x:c r="J62" t="s">
        <x:v>1159</x:v>
      </x:c>
      <x:c r="K62" t="s">
        <x:v>905</x:v>
      </x:c>
      <x:c r="M62" t="s">
        <x:v>92</x:v>
      </x:c>
      <x:c r="N62" t="str">
        <x:v>已验收通过</x:v>
      </x:c>
    </x:row>
    <x:row r="63">
      <x:c r="A63" s="2"/>
    </x:row>
    <x:row r="64">
      <x:c r="A64" s="2"/>
    </x:row>
    <x:row r="65">
      <x:c r="A65" s="2"/>
    </x:row>
    <x:row r="66">
      <x:c r="A66" s="2"/>
    </x:row>
    <x:row r="67">
      <x:c r="A67" s="2"/>
    </x:row>
    <x:row r="68">
      <x:c r="A68" s="2"/>
    </x:row>
    <x:row r="69">
      <x:c r="A69" s="2"/>
    </x:row>
    <x:row r="70">
      <x:c r="A70" s="2"/>
    </x:row>
    <x:row r="71">
      <x:c r="A71" s="2"/>
    </x:row>
    <x:row r="72">
      <x:c r="A72" s="2"/>
    </x:row>
    <x:row r="73">
      <x:c r="A73" s="2"/>
    </x:row>
    <x:row r="74">
      <x:c r="A74" s="2"/>
    </x:row>
    <x:row r="75">
      <x:c r="A75" s="2"/>
    </x:row>
    <x:row r="76">
      <x:c r="A76" s="2"/>
    </x:row>
    <x:row r="77">
      <x:c r="A77" s="2"/>
    </x:row>
    <x:row r="78">
      <x:c r="A78" s="2"/>
    </x:row>
    <x:row r="79">
      <x:c r="A79" s="2"/>
    </x:row>
    <x:row r="80">
      <x:c r="A80" s="2"/>
    </x:row>
    <x:row r="81">
      <x:c r="A81" s="2"/>
    </x:row>
    <x:row r="82">
      <x:c r="A82" s="2"/>
    </x:row>
    <x:row r="83">
      <x:c r="A83" s="2"/>
    </x:row>
    <x:row r="84">
      <x:c r="A84" s="2"/>
    </x:row>
    <x:row r="85">
      <x:c r="A85" s="2"/>
    </x:row>
    <x:row r="86">
      <x:c r="A86" s="2"/>
    </x:row>
    <x:row r="87">
      <x:c r="A87" s="2"/>
    </x:row>
    <x:row r="88">
      <x:c r="A88" s="2"/>
    </x:row>
    <x:row r="89">
      <x:c r="A89" s="2"/>
    </x:row>
    <x:row r="90">
      <x:c r="A90" s="2"/>
    </x:row>
    <x:row r="91">
      <x:c r="A91" s="2"/>
    </x:row>
    <x:row r="92">
      <x:c r="A92" s="2"/>
    </x:row>
    <x:row r="93">
      <x:c r="A93" s="2"/>
    </x:row>
    <x:row r="94">
      <x:c r="A94" s="2"/>
    </x:row>
    <x:row r="95">
      <x:c r="A95" s="2"/>
    </x:row>
    <x:row r="96">
      <x:c r="A96" s="2"/>
    </x:row>
    <x:row r="97">
      <x:c r="A97" s="2"/>
    </x:row>
    <x:row r="98">
      <x:c r="A98" s="2"/>
    </x:row>
    <x:row r="99">
      <x:c r="A99" s="2"/>
    </x:row>
    <x:row r="100">
      <x:c r="A100" s="2"/>
    </x:row>
  </x:sheetData>
  <x:dataValidations count="1">
    <x:dataValidation type="list" sqref="H2:H500 M2:M500">
      <x:formula1>"是,否"</x:formula1>
    </x:dataValidation>
  </x:dataValidations>
  <x:pageMargins left="0.7" right="0.7" top="0.75" bottom="0.75" header="0.3" footer="0.3"/>
  <x:tableParts count="1">
    <x:tablePart xmlns:r="http://schemas.openxmlformats.org/officeDocument/2006/relationships" r:id="R0e3c11bc6a8e4d02"/>
  </x:tableParts>
</x:worksheet>
</file>

<file path=xl/worksheets/sheet5.xml><?xml version="1.0" encoding="utf-8"?>
<x:worksheet xmlns:x="http://schemas.openxmlformats.org/spreadsheetml/2006/main">
  <x:sheetFormatPr defaultRowHeight="14"/>
  <x:cols>
    <x:col min="1" max="1" width="15" customWidth="1"/>
    <x:col min="2" max="2" width="13" customWidth="1"/>
    <x:col min="3" max="3" width="24" customWidth="1"/>
    <x:col min="4" max="4" width="28" customWidth="1"/>
    <x:col min="5" max="5" width="16" customWidth="1"/>
    <x:col min="6" max="6" width="14" customWidth="1"/>
    <x:col min="7" max="7" width="32" customWidth="1"/>
    <x:col min="8" max="8" width="18" customWidth="1"/>
    <x:col min="9" max="9" width="22" customWidth="1"/>
    <x:col min="10" max="10" width="18" customWidth="1"/>
    <x:col min="11" max="11" width="38" customWidth="1"/>
    <x:col min="12" max="12" width="16" customWidth="1"/>
  </x:cols>
  <x:sheetData>
    <x:row r="1" ht="22.649999618530273" customHeight="1">
      <x:c r="A1" s="9" t="s">
        <x:v>1163</x:v>
      </x:c>
      <x:c r="B1" s="17" t="s">
        <x:v>44</x:v>
      </x:c>
      <x:c r="C1" s="17" t="s">
        <x:v>940</x:v>
      </x:c>
      <x:c r="D1" s="17" t="s">
        <x:v>1164</x:v>
      </x:c>
      <x:c r="E1" s="17" t="s">
        <x:v>1165</x:v>
      </x:c>
      <x:c r="F1" s="17" t="s">
        <x:v>1166</x:v>
      </x:c>
      <x:c r="G1" s="17" t="s">
        <x:v>1167</x:v>
      </x:c>
      <x:c r="H1" s="17" t="s">
        <x:v>1168</x:v>
      </x:c>
      <x:c r="I1" s="17" t="s">
        <x:v>1169</x:v>
      </x:c>
      <x:c r="J1" s="17" t="s">
        <x:v>1170</x:v>
      </x:c>
      <x:c r="K1" s="17" t="s">
        <x:v>1171</x:v>
      </x:c>
      <x:c r="L1" s="10" t="s">
        <x:v>72</x:v>
      </x:c>
    </x:row>
    <x:row r="2">
      <x:c r="A2" s="11" t="s">
        <x:v>1172</x:v>
      </x:c>
      <x:c r="B2" s="18" t="s">
        <x:v>76</x:v>
      </x:c>
      <x:c r="C2" s="18" t="s">
        <x:v>583</x:v>
      </x:c>
      <x:c r="D2" s="18" t="s">
        <x:v>1173</x:v>
      </x:c>
      <x:c r="E2" s="23">
        <x:v>50</x:v>
      </x:c>
      <x:c r="F2" s="18" t="s">
        <x:v>1174</x:v>
      </x:c>
      <x:c r="G2" s="18" t="s">
        <x:v>557</x:v>
      </x:c>
      <x:c r="H2" s="18"/>
      <x:c r="I2" s="18" t="s">
        <x:v>1175</x:v>
      </x:c>
      <x:c r="J2" s="18" t="s">
        <x:v>1176</x:v>
      </x:c>
      <x:c r="K2" s="18" t="s">
        <x:v>1177</x:v>
      </x:c>
      <x:c r="L2" s="4" t="s">
        <x:v>13</x:v>
      </x:c>
    </x:row>
    <x:row r="3">
      <x:c r="A3" s="12" t="s">
        <x:v>1178</x:v>
      </x:c>
      <x:c r="B3" s="2" t="s">
        <x:v>76</x:v>
      </x:c>
      <x:c r="C3" s="2" t="s">
        <x:v>583</x:v>
      </x:c>
      <x:c r="D3" s="2" t="s">
        <x:v>1179</x:v>
      </x:c>
      <x:c r="E3" s="24">
        <x:v>25</x:v>
      </x:c>
      <x:c r="F3" s="2" t="s">
        <x:v>1174</x:v>
      </x:c>
      <x:c r="G3" s="2" t="s">
        <x:v>577</x:v>
      </x:c>
      <x:c r="H3" s="2"/>
      <x:c r="I3" s="2" t="s">
        <x:v>1175</x:v>
      </x:c>
      <x:c r="J3" s="2" t="s">
        <x:v>1176</x:v>
      </x:c>
      <x:c r="K3" s="2" t="s">
        <x:v>1180</x:v>
      </x:c>
      <x:c r="L3" s="6" t="s">
        <x:v>13</x:v>
      </x:c>
    </x:row>
    <x:row r="4">
      <x:c r="A4" s="12" t="s">
        <x:v>1181</x:v>
      </x:c>
      <x:c r="B4" s="2" t="s">
        <x:v>76</x:v>
      </x:c>
      <x:c r="C4" s="2" t="s">
        <x:v>583</x:v>
      </x:c>
      <x:c r="D4" s="2" t="s">
        <x:v>1179</x:v>
      </x:c>
      <x:c r="E4" s="24">
        <x:v>25</x:v>
      </x:c>
      <x:c r="F4" s="2" t="s">
        <x:v>1174</x:v>
      </x:c>
      <x:c r="G4" s="2" t="s">
        <x:v>585</x:v>
      </x:c>
      <x:c r="H4" s="2"/>
      <x:c r="I4" s="2" t="s">
        <x:v>1175</x:v>
      </x:c>
      <x:c r="J4" s="2" t="s">
        <x:v>1176</x:v>
      </x:c>
      <x:c r="K4" s="2" t="s">
        <x:v>1180</x:v>
      </x:c>
      <x:c r="L4" s="6" t="s">
        <x:v>13</x:v>
      </x:c>
    </x:row>
    <x:row r="5">
      <x:c r="A5" s="12" t="s">
        <x:v>1182</x:v>
      </x:c>
      <x:c r="B5" s="2" t="s">
        <x:v>76</x:v>
      </x:c>
      <x:c r="C5" s="2" t="s">
        <x:v>583</x:v>
      </x:c>
      <x:c r="D5" s="2" t="s">
        <x:v>1183</x:v>
      </x:c>
      <x:c r="E5" s="24">
        <x:v>50</x:v>
      </x:c>
      <x:c r="F5" s="2" t="s">
        <x:v>1184</x:v>
      </x:c>
      <x:c r="G5" s="2" t="s">
        <x:v>577</x:v>
      </x:c>
      <x:c r="H5" s="2"/>
      <x:c r="I5" s="2" t="s">
        <x:v>1175</x:v>
      </x:c>
      <x:c r="J5" s="2" t="s">
        <x:v>1176</x:v>
      </x:c>
      <x:c r="K5" s="2" t="s">
        <x:v>1185</x:v>
      </x:c>
      <x:c r="L5" s="6" t="s">
        <x:v>13</x:v>
      </x:c>
    </x:row>
    <x:row r="6">
      <x:c r="A6" s="12" t="s">
        <x:v>1186</x:v>
      </x:c>
      <x:c r="B6" s="2" t="s">
        <x:v>76</x:v>
      </x:c>
      <x:c r="C6" s="2" t="s">
        <x:v>583</x:v>
      </x:c>
      <x:c r="D6" s="2" t="s">
        <x:v>1183</x:v>
      </x:c>
      <x:c r="E6" s="24">
        <x:v>50</x:v>
      </x:c>
      <x:c r="F6" s="2" t="s">
        <x:v>1184</x:v>
      </x:c>
      <x:c r="G6" s="2" t="s">
        <x:v>585</x:v>
      </x:c>
      <x:c r="H6" s="2"/>
      <x:c r="I6" s="2" t="s">
        <x:v>1175</x:v>
      </x:c>
      <x:c r="J6" s="2" t="s">
        <x:v>1176</x:v>
      </x:c>
      <x:c r="K6" s="2" t="s">
        <x:v>1185</x:v>
      </x:c>
      <x:c r="L6" s="6" t="s">
        <x:v>13</x:v>
      </x:c>
    </x:row>
    <x:row r="7">
      <x:c r="A7" s="13" t="s">
        <x:v>1187</x:v>
      </x:c>
      <x:c r="B7" s="19" t="s">
        <x:v>76</x:v>
      </x:c>
      <x:c r="C7" s="19" t="s">
        <x:v>574</x:v>
      </x:c>
      <x:c r="D7" s="19" t="s">
        <x:v>1188</x:v>
      </x:c>
      <x:c r="E7" s="25">
        <x:v>50</x:v>
      </x:c>
      <x:c r="F7" s="19" t="s">
        <x:v>1174</x:v>
      </x:c>
      <x:c r="G7" s="19" t="s">
        <x:v>567</x:v>
      </x:c>
      <x:c r="H7" s="19"/>
      <x:c r="I7" s="19" t="s">
        <x:v>1175</x:v>
      </x:c>
      <x:c r="J7" s="19" t="s">
        <x:v>1176</x:v>
      </x:c>
      <x:c r="K7" s="19" t="s">
        <x:v>1189</x:v>
      </x:c>
      <x:c r="L7" s="8" t="s">
        <x:v>13</x:v>
      </x:c>
    </x:row>
    <x:row r="8">
      <x:c r="A8" s="2" t="s">
        <x:v>1190</x:v>
      </x:c>
      <x:c r="B8" t="s">
        <x:v>451</x:v>
      </x:c>
      <x:c r="C8" t="s">
        <x:v>979</x:v>
      </x:c>
      <x:c r="D8" t="s">
        <x:v>1191</x:v>
      </x:c>
      <x:c r="E8" s="26">
        <x:v>50</x:v>
      </x:c>
      <x:c r="F8" t="s">
        <x:v>1184</x:v>
      </x:c>
      <x:c r="G8" t="s">
        <x:v>1192</x:v>
      </x:c>
      <x:c r="H8" t="s">
        <x:v>451</x:v>
      </x:c>
      <x:c r="I8" t="s">
        <x:v>1175</x:v>
      </x:c>
      <x:c r="J8" t="s">
        <x:v>1176</x:v>
      </x:c>
      <x:c r="K8" t="s">
        <x:v>1193</x:v>
      </x:c>
      <x:c r="L8" t="s">
        <x:v>13</x:v>
      </x:c>
    </x:row>
    <x:row r="9">
      <x:c r="A9" s="2" t="s">
        <x:v>1194</x:v>
      </x:c>
      <x:c r="B9" t="s">
        <x:v>464</x:v>
      </x:c>
      <x:c r="C9" t="s">
        <x:v>979</x:v>
      </x:c>
      <x:c r="D9" t="s">
        <x:v>1195</x:v>
      </x:c>
      <x:c r="E9" s="26">
        <x:v>50</x:v>
      </x:c>
      <x:c r="F9" t="s">
        <x:v>1174</x:v>
      </x:c>
      <x:c r="G9" t="s">
        <x:v>1196</x:v>
      </x:c>
      <x:c r="H9" t="s">
        <x:v>464</x:v>
      </x:c>
      <x:c r="I9" t="s">
        <x:v>1175</x:v>
      </x:c>
      <x:c r="J9" t="s">
        <x:v>1176</x:v>
      </x:c>
      <x:c r="K9" t="s">
        <x:v>1197</x:v>
      </x:c>
      <x:c r="L9" t="s">
        <x:v>13</x:v>
      </x:c>
    </x:row>
    <x:row r="10">
      <x:c r="A10" s="2" t="s">
        <x:v>1198</x:v>
      </x:c>
      <x:c r="B10" t="s">
        <x:v>464</x:v>
      </x:c>
      <x:c r="C10" t="s">
        <x:v>615</x:v>
      </x:c>
      <x:c r="D10" t="s">
        <x:v>1199</x:v>
      </x:c>
      <x:c r="E10" s="26">
        <x:v>100</x:v>
      </x:c>
      <x:c r="F10" t="s">
        <x:v>1174</x:v>
      </x:c>
      <x:c r="G10" t="s">
        <x:v>557</x:v>
      </x:c>
      <x:c r="H10" t="s">
        <x:v>464</x:v>
      </x:c>
      <x:c r="I10" t="s">
        <x:v>1175</x:v>
      </x:c>
      <x:c r="J10" t="s">
        <x:v>1176</x:v>
      </x:c>
      <x:c r="K10" t="s">
        <x:v>1200</x:v>
      </x:c>
      <x:c r="L10" t="s">
        <x:v>13</x:v>
      </x:c>
    </x:row>
    <x:row r="11">
      <x:c r="A11" s="2" t="s">
        <x:v>1201</x:v>
      </x:c>
      <x:c r="B11" t="s">
        <x:v>125</x:v>
      </x:c>
      <x:c r="C11" t="s">
        <x:v>985</x:v>
      </x:c>
      <x:c r="D11" t="s">
        <x:v>1202</x:v>
      </x:c>
      <x:c r="E11" s="26">
        <x:v>100</x:v>
      </x:c>
      <x:c r="F11" t="s">
        <x:v>1174</x:v>
      </x:c>
      <x:c r="G11" t="s">
        <x:v>557</x:v>
      </x:c>
      <x:c r="H11" t="s">
        <x:v>125</x:v>
      </x:c>
      <x:c r="I11" t="s">
        <x:v>1175</x:v>
      </x:c>
      <x:c r="J11" t="s">
        <x:v>1176</x:v>
      </x:c>
      <x:c r="K11" t="s">
        <x:v>1203</x:v>
      </x:c>
      <x:c r="L11" t="s">
        <x:v>13</x:v>
      </x:c>
    </x:row>
    <x:row r="12">
      <x:c r="A12" s="2" t="s">
        <x:v>1204</x:v>
      </x:c>
      <x:c r="B12" t="s">
        <x:v>125</x:v>
      </x:c>
      <x:c r="C12" t="s">
        <x:v>678</x:v>
      </x:c>
      <x:c r="D12" t="s">
        <x:v>1191</x:v>
      </x:c>
      <x:c r="E12" s="26">
        <x:v>15.75</x:v>
      </x:c>
      <x:c r="F12" t="s">
        <x:v>1184</x:v>
      </x:c>
      <x:c r="G12" t="s">
        <x:v>1205</x:v>
      </x:c>
      <x:c r="H12" t="s">
        <x:v>125</x:v>
      </x:c>
      <x:c r="I12" t="s">
        <x:v>1175</x:v>
      </x:c>
      <x:c r="J12" t="s">
        <x:v>1176</x:v>
      </x:c>
      <x:c r="K12" t="s">
        <x:v>1206</x:v>
      </x:c>
      <x:c r="L12" t="s">
        <x:v>13</x:v>
      </x:c>
    </x:row>
    <x:row r="13">
      <x:c r="A13" s="2" t="s">
        <x:v>1207</x:v>
      </x:c>
      <x:c r="B13" t="s">
        <x:v>125</x:v>
      </x:c>
      <x:c r="C13" t="s">
        <x:v>678</x:v>
      </x:c>
      <x:c r="D13" t="s">
        <x:v>1191</x:v>
      </x:c>
      <x:c r="E13" s="26">
        <x:v>6.85</x:v>
      </x:c>
      <x:c r="F13" t="s">
        <x:v>1184</x:v>
      </x:c>
      <x:c r="G13" t="s">
        <x:v>1208</x:v>
      </x:c>
      <x:c r="H13" t="s">
        <x:v>125</x:v>
      </x:c>
      <x:c r="I13" t="s">
        <x:v>1175</x:v>
      </x:c>
      <x:c r="J13" t="s">
        <x:v>1176</x:v>
      </x:c>
      <x:c r="K13" t="s">
        <x:v>1206</x:v>
      </x:c>
      <x:c r="L13" t="s">
        <x:v>13</x:v>
      </x:c>
    </x:row>
    <x:row r="14">
      <x:c r="A14" s="2" t="s">
        <x:v>1209</x:v>
      </x:c>
      <x:c r="B14" t="s">
        <x:v>140</x:v>
      </x:c>
      <x:c r="C14" t="s">
        <x:v>689</x:v>
      </x:c>
      <x:c r="D14" t="s">
        <x:v>1210</x:v>
      </x:c>
      <x:c r="E14" s="26">
        <x:v>28.204999999999998</x:v>
      </x:c>
      <x:c r="F14" t="s">
        <x:v>1174</x:v>
      </x:c>
      <x:c r="G14" t="s">
        <x:v>1211</x:v>
      </x:c>
      <x:c r="H14" t="s">
        <x:v>140</x:v>
      </x:c>
      <x:c r="I14" t="s">
        <x:v>1175</x:v>
      </x:c>
      <x:c r="J14" t="s">
        <x:v>1176</x:v>
      </x:c>
      <x:c r="K14" t="s">
        <x:v>1212</x:v>
      </x:c>
      <x:c r="L14" t="str">
        <x:v>已验收通过</x:v>
      </x:c>
    </x:row>
    <x:row r="15">
      <x:c r="A15" s="2" t="s">
        <x:v>1213</x:v>
      </x:c>
      <x:c r="B15" t="s">
        <x:v>140</x:v>
      </x:c>
      <x:c r="C15" t="s">
        <x:v>992</x:v>
      </x:c>
      <x:c r="D15" t="s">
        <x:v>1199</x:v>
      </x:c>
      <x:c r="E15" s="26">
        <x:v>128.20500000000001</x:v>
      </x:c>
      <x:c r="F15" t="s">
        <x:v>1174</x:v>
      </x:c>
      <x:c r="G15" t="s">
        <x:v>557</x:v>
      </x:c>
      <x:c r="H15" t="s">
        <x:v>140</x:v>
      </x:c>
      <x:c r="I15" t="s">
        <x:v>1175</x:v>
      </x:c>
      <x:c r="J15" t="s">
        <x:v>1176</x:v>
      </x:c>
      <x:c r="K15" t="s">
        <x:v>1214</x:v>
      </x:c>
      <x:c r="L15" t="str">
        <x:v>已验收通过</x:v>
      </x:c>
    </x:row>
    <x:row r="16">
      <x:c r="A16" s="2" t="s">
        <x:v>1215</x:v>
      </x:c>
      <x:c r="B16" t="s">
        <x:v>156</x:v>
      </x:c>
      <x:c r="C16" t="s">
        <x:v>1001</x:v>
      </x:c>
      <x:c r="D16" t="s">
        <x:v>1210</x:v>
      </x:c>
      <x:c r="E16" s="26">
        <x:v>8.7871400000000008</x:v>
      </x:c>
      <x:c r="F16" t="s">
        <x:v>1174</x:v>
      </x:c>
      <x:c r="G16" t="s">
        <x:v>1211</x:v>
      </x:c>
      <x:c r="H16" t="s">
        <x:v>156</x:v>
      </x:c>
      <x:c r="I16" t="s">
        <x:v>1175</x:v>
      </x:c>
      <x:c r="J16" t="s">
        <x:v>1176</x:v>
      </x:c>
      <x:c r="K16" t="s">
        <x:v>1212</x:v>
      </x:c>
      <x:c r="L16" t="str">
        <x:v>已验收通过</x:v>
      </x:c>
    </x:row>
    <x:row r="17">
      <x:c r="A17" s="2" t="s">
        <x:v>1216</x:v>
      </x:c>
      <x:c r="B17" t="s">
        <x:v>156</x:v>
      </x:c>
      <x:c r="C17" t="s">
        <x:v>998</x:v>
      </x:c>
      <x:c r="D17" t="s">
        <x:v>1199</x:v>
      </x:c>
      <x:c r="E17" s="26">
        <x:v>136.9864</x:v>
      </x:c>
      <x:c r="F17" t="s">
        <x:v>1174</x:v>
      </x:c>
      <x:c r="G17" t="s">
        <x:v>557</x:v>
      </x:c>
      <x:c r="H17" t="s">
        <x:v>156</x:v>
      </x:c>
      <x:c r="I17" t="s">
        <x:v>1175</x:v>
      </x:c>
      <x:c r="J17" t="s">
        <x:v>1176</x:v>
      </x:c>
      <x:c r="K17" t="s">
        <x:v>1214</x:v>
      </x:c>
      <x:c r="L17" t="str">
        <x:v>已验收通过</x:v>
      </x:c>
    </x:row>
    <x:row r="18">
      <x:c r="A18" s="2" t="s">
        <x:v>1217</x:v>
      </x:c>
      <x:c r="B18" t="s">
        <x:v>169</x:v>
      </x:c>
      <x:c r="C18" t="s">
        <x:v>1004</x:v>
      </x:c>
      <x:c r="D18" t="s">
        <x:v>1218</x:v>
      </x:c>
      <x:c r="E18" s="26">
        <x:v>2000</x:v>
      </x:c>
      <x:c r="F18" t="s">
        <x:v>1174</x:v>
      </x:c>
      <x:c r="G18" t="s">
        <x:v>557</x:v>
      </x:c>
      <x:c r="H18" t="s">
        <x:v>169</x:v>
      </x:c>
      <x:c r="I18" t="s">
        <x:v>1175</x:v>
      </x:c>
      <x:c r="J18" t="s">
        <x:v>1176</x:v>
      </x:c>
      <x:c r="K18" t="s">
        <x:v>1219</x:v>
      </x:c>
      <x:c r="L18" t="str">
        <x:v>已验收通过</x:v>
      </x:c>
    </x:row>
    <x:row r="19">
      <x:c r="A19" s="2" t="s">
        <x:v>1220</x:v>
      </x:c>
      <x:c r="B19" t="s">
        <x:v>184</x:v>
      </x:c>
      <x:c r="C19" t="s">
        <x:v>722</x:v>
      </x:c>
      <x:c r="D19" t="s">
        <x:v>1210</x:v>
      </x:c>
      <x:c r="E19" s="26">
        <x:v>158.27330000000001</x:v>
      </x:c>
      <x:c r="F19" t="s">
        <x:v>1174</x:v>
      </x:c>
      <x:c r="G19" t="s">
        <x:v>1221</x:v>
      </x:c>
      <x:c r="H19" t="s">
        <x:v>184</x:v>
      </x:c>
      <x:c r="I19" t="s">
        <x:v>1175</x:v>
      </x:c>
      <x:c r="J19" t="s">
        <x:v>1176</x:v>
      </x:c>
      <x:c r="K19" t="s">
        <x:v>1212</x:v>
      </x:c>
      <x:c r="L19" t="str">
        <x:v>已验收通过</x:v>
      </x:c>
    </x:row>
    <x:row r="20">
      <x:c r="A20" s="2" t="s">
        <x:v>1222</x:v>
      </x:c>
      <x:c r="B20" t="s">
        <x:v>184</x:v>
      </x:c>
      <x:c r="C20" t="s">
        <x:v>1008</x:v>
      </x:c>
      <x:c r="D20" t="s">
        <x:v>1199</x:v>
      </x:c>
      <x:c r="E20" s="26">
        <x:v>2158.2732999999998</x:v>
      </x:c>
      <x:c r="F20" t="s">
        <x:v>1174</x:v>
      </x:c>
      <x:c r="G20" t="s">
        <x:v>557</x:v>
      </x:c>
      <x:c r="H20" t="s">
        <x:v>184</x:v>
      </x:c>
      <x:c r="I20" t="s">
        <x:v>1175</x:v>
      </x:c>
      <x:c r="J20" t="s">
        <x:v>1176</x:v>
      </x:c>
      <x:c r="K20" t="s">
        <x:v>1214</x:v>
      </x:c>
      <x:c r="L20" t="str">
        <x:v>已验收通过</x:v>
      </x:c>
    </x:row>
    <x:row r="21">
      <x:c r="A21" s="2" t="s">
        <x:v>1223</x:v>
      </x:c>
      <x:c r="B21" t="s">
        <x:v>200</x:v>
      </x:c>
      <x:c r="C21" t="s">
        <x:v>1018</x:v>
      </x:c>
      <x:c r="D21" t="s">
        <x:v>1224</x:v>
      </x:c>
      <x:c r="E21" s="26">
        <x:v>45010412.640000001</x:v>
      </x:c>
      <x:c r="F21" t="s">
        <x:v>1225</x:v>
      </x:c>
      <x:c r="G21" t="s">
        <x:v>557</x:v>
      </x:c>
      <x:c r="H21" t="s">
        <x:v>200</x:v>
      </x:c>
      <x:c r="I21" t="s">
        <x:v>1175</x:v>
      </x:c>
      <x:c r="J21" t="s">
        <x:v>1176</x:v>
      </x:c>
      <x:c r="L21" t="str">
        <x:v>已验收通过</x:v>
      </x:c>
    </x:row>
    <x:row r="22">
      <x:c r="A22" s="2" t="s">
        <x:v>1226</x:v>
      </x:c>
      <x:c r="B22" t="s">
        <x:v>200</x:v>
      </x:c>
      <x:c r="C22" t="s">
        <x:v>1021</x:v>
      </x:c>
      <x:c r="D22" t="s">
        <x:v>1227</x:v>
      </x:c>
      <x:c r="E22" s="26">
        <x:v>4773.16</x:v>
      </x:c>
      <x:c r="F22" t="s">
        <x:v>1174</x:v>
      </x:c>
      <x:c r="G22" t="s">
        <x:v>557</x:v>
      </x:c>
      <x:c r="H22" t="s">
        <x:v>200</x:v>
      </x:c>
      <x:c r="I22" t="s">
        <x:v>1175</x:v>
      </x:c>
      <x:c r="J22" t="s">
        <x:v>1176</x:v>
      </x:c>
      <x:c r="L22" t="str">
        <x:v>已验收通过</x:v>
      </x:c>
    </x:row>
    <x:row r="23">
      <x:c r="A23" s="2" t="s">
        <x:v>1228</x:v>
      </x:c>
      <x:c r="B23" t="s">
        <x:v>200</x:v>
      </x:c>
      <x:c r="C23" t="s">
        <x:v>1024</x:v>
      </x:c>
      <x:c r="D23" t="s">
        <x:v>1229</x:v>
      </x:c>
      <x:c r="E23" s="26" t="s">
        <x:v>1230</x:v>
      </x:c>
      <x:c r="F23" t="s">
        <x:v>1231</x:v>
      </x:c>
      <x:c r="G23" t="s">
        <x:v>208</x:v>
      </x:c>
      <x:c r="H23" t="s">
        <x:v>200</x:v>
      </x:c>
      <x:c r="I23" t="s">
        <x:v>1175</x:v>
      </x:c>
      <x:c r="J23" t="s">
        <x:v>1176</x:v>
      </x:c>
      <x:c r="K23" t="s">
        <x:v>1232</x:v>
      </x:c>
      <x:c r="L23" t="str">
        <x:v>已验收通过</x:v>
      </x:c>
    </x:row>
    <x:row r="24">
      <x:c r="A24" s="2" t="s">
        <x:v>1233</x:v>
      </x:c>
      <x:c r="B24" t="s">
        <x:v>200</x:v>
      </x:c>
      <x:c r="C24" t="s">
        <x:v>1024</x:v>
      </x:c>
      <x:c r="D24" t="s">
        <x:v>1234</x:v>
      </x:c>
      <x:c r="E24" s="26">
        <x:v>40000000</x:v>
      </x:c>
      <x:c r="F24" t="s">
        <x:v>1235</x:v>
      </x:c>
      <x:c r="G24" t="s">
        <x:v>770</x:v>
      </x:c>
      <x:c r="H24" t="s">
        <x:v>200</x:v>
      </x:c>
      <x:c r="I24" t="s">
        <x:v>1175</x:v>
      </x:c>
      <x:c r="J24" t="s">
        <x:v>1176</x:v>
      </x:c>
      <x:c r="L24" t="str">
        <x:v>已验收通过</x:v>
      </x:c>
    </x:row>
    <x:row r="25">
      <x:c r="A25" s="2" t="s">
        <x:v>1236</x:v>
      </x:c>
      <x:c r="B25" t="s">
        <x:v>200</x:v>
      </x:c>
      <x:c r="C25" t="s">
        <x:v>1024</x:v>
      </x:c>
      <x:c r="D25" t="s">
        <x:v>1237</x:v>
      </x:c>
      <x:c r="E25" s="26">
        <x:v>5010412.6399999997</x:v>
      </x:c>
      <x:c r="F25" t="s">
        <x:v>1225</x:v>
      </x:c>
      <x:c r="G25" t="s">
        <x:v>770</x:v>
      </x:c>
      <x:c r="H25" t="s">
        <x:v>200</x:v>
      </x:c>
      <x:c r="I25" t="s">
        <x:v>1175</x:v>
      </x:c>
      <x:c r="J25" t="s">
        <x:v>1176</x:v>
      </x:c>
      <x:c r="L25" t="str">
        <x:v>已验收通过</x:v>
      </x:c>
    </x:row>
    <x:row r="26">
      <x:c r="A26" s="2" t="s">
        <x:v>1238</x:v>
      </x:c>
      <x:c r="B26" t="s">
        <x:v>200</x:v>
      </x:c>
      <x:c r="C26" t="s">
        <x:v>1024</x:v>
      </x:c>
      <x:c r="D26" t="s">
        <x:v>1202</x:v>
      </x:c>
      <x:c r="E26" s="26">
        <x:v>4000</x:v>
      </x:c>
      <x:c r="F26" t="s">
        <x:v>1174</x:v>
      </x:c>
      <x:c r="G26" t="s">
        <x:v>770</x:v>
      </x:c>
      <x:c r="H26" t="s">
        <x:v>200</x:v>
      </x:c>
      <x:c r="I26" t="s">
        <x:v>1175</x:v>
      </x:c>
      <x:c r="J26" t="s">
        <x:v>1176</x:v>
      </x:c>
      <x:c r="L26" t="str">
        <x:v>已验收通过</x:v>
      </x:c>
    </x:row>
    <x:row r="27">
      <x:c r="A27" s="2" t="s">
        <x:v>1239</x:v>
      </x:c>
      <x:c r="B27" t="s">
        <x:v>200</x:v>
      </x:c>
      <x:c r="C27" t="s">
        <x:v>744</x:v>
      </x:c>
      <x:c r="D27" t="s">
        <x:v>1240</x:v>
      </x:c>
      <x:c r="E27" s="26">
        <x:v>17792000</x:v>
      </x:c>
      <x:c r="F27" t="s">
        <x:v>1235</x:v>
      </x:c>
      <x:c r="G27" t="s">
        <x:v>628</x:v>
      </x:c>
      <x:c r="H27" t="s">
        <x:v>200</x:v>
      </x:c>
      <x:c r="I27" t="s">
        <x:v>1175</x:v>
      </x:c>
      <x:c r="J27" t="s">
        <x:v>1176</x:v>
      </x:c>
      <x:c r="K27" t="s">
        <x:v>1241</x:v>
      </x:c>
      <x:c r="L27" t="str">
        <x:v>已验收通过</x:v>
      </x:c>
    </x:row>
    <x:row r="28">
      <x:c r="A28" s="2" t="s">
        <x:v>1242</x:v>
      </x:c>
      <x:c r="B28" t="s">
        <x:v>200</x:v>
      </x:c>
      <x:c r="C28" t="s">
        <x:v>744</x:v>
      </x:c>
      <x:c r="D28" t="s">
        <x:v>1243</x:v>
      </x:c>
      <x:c r="E28" s="26">
        <x:v>44.48</x:v>
      </x:c>
      <x:c r="F28" t="s">
        <x:v>1184</x:v>
      </x:c>
      <x:c r="G28" t="s">
        <x:v>628</x:v>
      </x:c>
      <x:c r="H28" t="s">
        <x:v>200</x:v>
      </x:c>
      <x:c r="I28" t="s">
        <x:v>1175</x:v>
      </x:c>
      <x:c r="J28" t="s">
        <x:v>1176</x:v>
      </x:c>
      <x:c r="K28" t="s">
        <x:v>1244</x:v>
      </x:c>
      <x:c r="L28" t="str">
        <x:v>已验收通过</x:v>
      </x:c>
    </x:row>
    <x:row r="29">
      <x:c r="A29" s="2" t="s">
        <x:v>1245</x:v>
      </x:c>
      <x:c r="B29" t="s">
        <x:v>200</x:v>
      </x:c>
      <x:c r="C29" t="s">
        <x:v>744</x:v>
      </x:c>
      <x:c r="D29" t="s">
        <x:v>1240</x:v>
      </x:c>
      <x:c r="E29" s="26">
        <x:v>7413360</x:v>
      </x:c>
      <x:c r="F29" t="s">
        <x:v>1235</x:v>
      </x:c>
      <x:c r="G29" t="s">
        <x:v>585</x:v>
      </x:c>
      <x:c r="H29" t="s">
        <x:v>200</x:v>
      </x:c>
      <x:c r="I29" t="s">
        <x:v>1175</x:v>
      </x:c>
      <x:c r="J29" t="s">
        <x:v>1176</x:v>
      </x:c>
      <x:c r="K29" t="s">
        <x:v>1241</x:v>
      </x:c>
      <x:c r="L29" t="str">
        <x:v>已验收通过</x:v>
      </x:c>
    </x:row>
    <x:row r="30">
      <x:c r="A30" s="2" t="s">
        <x:v>1246</x:v>
      </x:c>
      <x:c r="B30" t="s">
        <x:v>200</x:v>
      </x:c>
      <x:c r="C30" t="s">
        <x:v>744</x:v>
      </x:c>
      <x:c r="D30" t="s">
        <x:v>1243</x:v>
      </x:c>
      <x:c r="E30" s="26">
        <x:v>18.53</x:v>
      </x:c>
      <x:c r="F30" t="s">
        <x:v>1184</x:v>
      </x:c>
      <x:c r="G30" t="s">
        <x:v>585</x:v>
      </x:c>
      <x:c r="H30" t="s">
        <x:v>200</x:v>
      </x:c>
      <x:c r="I30" t="s">
        <x:v>1175</x:v>
      </x:c>
      <x:c r="J30" t="s">
        <x:v>1176</x:v>
      </x:c>
      <x:c r="K30" t="s">
        <x:v>1244</x:v>
      </x:c>
      <x:c r="L30" t="str">
        <x:v>已验收通过</x:v>
      </x:c>
    </x:row>
    <x:row r="31">
      <x:c r="A31" s="2" t="s">
        <x:v>1247</x:v>
      </x:c>
      <x:c r="B31" t="s">
        <x:v>200</x:v>
      </x:c>
      <x:c r="C31" t="s">
        <x:v>744</x:v>
      </x:c>
      <x:c r="D31" t="s">
        <x:v>1240</x:v>
      </x:c>
      <x:c r="E31" s="26">
        <x:v>5004000</x:v>
      </x:c>
      <x:c r="F31" t="s">
        <x:v>1235</x:v>
      </x:c>
      <x:c r="G31" t="s">
        <x:v>681</x:v>
      </x:c>
      <x:c r="H31" t="s">
        <x:v>200</x:v>
      </x:c>
      <x:c r="I31" t="s">
        <x:v>1175</x:v>
      </x:c>
      <x:c r="J31" t="s">
        <x:v>1176</x:v>
      </x:c>
      <x:c r="K31" t="s">
        <x:v>1241</x:v>
      </x:c>
      <x:c r="L31" t="str">
        <x:v>已验收通过</x:v>
      </x:c>
    </x:row>
    <x:row r="32">
      <x:c r="A32" s="2" t="s">
        <x:v>1248</x:v>
      </x:c>
      <x:c r="B32" t="s">
        <x:v>200</x:v>
      </x:c>
      <x:c r="C32" t="s">
        <x:v>744</x:v>
      </x:c>
      <x:c r="D32" t="s">
        <x:v>1243</x:v>
      </x:c>
      <x:c r="E32" s="26">
        <x:v>12.51</x:v>
      </x:c>
      <x:c r="F32" t="s">
        <x:v>1184</x:v>
      </x:c>
      <x:c r="G32" t="s">
        <x:v>681</x:v>
      </x:c>
      <x:c r="H32" t="s">
        <x:v>200</x:v>
      </x:c>
      <x:c r="I32" t="s">
        <x:v>1175</x:v>
      </x:c>
      <x:c r="J32" t="s">
        <x:v>1176</x:v>
      </x:c>
      <x:c r="K32" t="s">
        <x:v>1244</x:v>
      </x:c>
      <x:c r="L32" t="str">
        <x:v>已验收通过</x:v>
      </x:c>
    </x:row>
    <x:row r="33">
      <x:c r="A33" s="2" t="s">
        <x:v>1249</x:v>
      </x:c>
      <x:c r="B33" t="s">
        <x:v>200</x:v>
      </x:c>
      <x:c r="C33" t="s">
        <x:v>744</x:v>
      </x:c>
      <x:c r="D33" t="s">
        <x:v>1240</x:v>
      </x:c>
      <x:c r="E33" s="26">
        <x:v>2835320</x:v>
      </x:c>
      <x:c r="F33" t="s">
        <x:v>1235</x:v>
      </x:c>
      <x:c r="G33" t="s">
        <x:v>695</x:v>
      </x:c>
      <x:c r="H33" t="s">
        <x:v>200</x:v>
      </x:c>
      <x:c r="I33" t="s">
        <x:v>1175</x:v>
      </x:c>
      <x:c r="J33" t="s">
        <x:v>1176</x:v>
      </x:c>
      <x:c r="K33" t="s">
        <x:v>1241</x:v>
      </x:c>
      <x:c r="L33" t="str">
        <x:v>已验收通过</x:v>
      </x:c>
    </x:row>
    <x:row r="34">
      <x:c r="A34" s="2" t="s">
        <x:v>1250</x:v>
      </x:c>
      <x:c r="B34" t="s">
        <x:v>200</x:v>
      </x:c>
      <x:c r="C34" t="s">
        <x:v>744</x:v>
      </x:c>
      <x:c r="D34" t="s">
        <x:v>1243</x:v>
      </x:c>
      <x:c r="E34" s="26">
        <x:v>7.09</x:v>
      </x:c>
      <x:c r="F34" t="s">
        <x:v>1184</x:v>
      </x:c>
      <x:c r="G34" t="s">
        <x:v>695</x:v>
      </x:c>
      <x:c r="H34" t="s">
        <x:v>200</x:v>
      </x:c>
      <x:c r="I34" t="s">
        <x:v>1175</x:v>
      </x:c>
      <x:c r="J34" t="s">
        <x:v>1176</x:v>
      </x:c>
      <x:c r="K34" t="s">
        <x:v>1244</x:v>
      </x:c>
      <x:c r="L34" t="str">
        <x:v>已验收通过</x:v>
      </x:c>
    </x:row>
    <x:row r="35">
      <x:c r="A35" s="2" t="s">
        <x:v>1251</x:v>
      </x:c>
      <x:c r="B35" t="s">
        <x:v>200</x:v>
      </x:c>
      <x:c r="C35" t="s">
        <x:v>744</x:v>
      </x:c>
      <x:c r="D35" t="s">
        <x:v>1240</x:v>
      </x:c>
      <x:c r="E35" s="26">
        <x:v>2502000</x:v>
      </x:c>
      <x:c r="F35" t="s">
        <x:v>1235</x:v>
      </x:c>
      <x:c r="G35" t="s">
        <x:v>691</x:v>
      </x:c>
      <x:c r="H35" t="s">
        <x:v>200</x:v>
      </x:c>
      <x:c r="I35" t="s">
        <x:v>1175</x:v>
      </x:c>
      <x:c r="J35" t="s">
        <x:v>1176</x:v>
      </x:c>
      <x:c r="K35" t="s">
        <x:v>1241</x:v>
      </x:c>
      <x:c r="L35" t="str">
        <x:v>已验收通过</x:v>
      </x:c>
    </x:row>
    <x:row r="36">
      <x:c r="A36" s="2" t="s">
        <x:v>1252</x:v>
      </x:c>
      <x:c r="B36" t="s">
        <x:v>200</x:v>
      </x:c>
      <x:c r="C36" t="s">
        <x:v>744</x:v>
      </x:c>
      <x:c r="D36" t="s">
        <x:v>1243</x:v>
      </x:c>
      <x:c r="E36" s="26">
        <x:v>6.26</x:v>
      </x:c>
      <x:c r="F36" t="s">
        <x:v>1184</x:v>
      </x:c>
      <x:c r="G36" t="s">
        <x:v>691</x:v>
      </x:c>
      <x:c r="H36" t="s">
        <x:v>200</x:v>
      </x:c>
      <x:c r="I36" t="s">
        <x:v>1175</x:v>
      </x:c>
      <x:c r="J36" t="s">
        <x:v>1176</x:v>
      </x:c>
      <x:c r="K36" t="s">
        <x:v>1244</x:v>
      </x:c>
      <x:c r="L36" t="str">
        <x:v>已验收通过</x:v>
      </x:c>
    </x:row>
    <x:row r="37">
      <x:c r="A37" s="2" t="s">
        <x:v>1253</x:v>
      </x:c>
      <x:c r="B37" t="s">
        <x:v>200</x:v>
      </x:c>
      <x:c r="C37" t="s">
        <x:v>744</x:v>
      </x:c>
      <x:c r="D37" t="s">
        <x:v>1240</x:v>
      </x:c>
      <x:c r="E37" s="26">
        <x:v>1853360</x:v>
      </x:c>
      <x:c r="F37" t="s">
        <x:v>1235</x:v>
      </x:c>
      <x:c r="G37" t="s">
        <x:v>670</x:v>
      </x:c>
      <x:c r="H37" t="s">
        <x:v>200</x:v>
      </x:c>
      <x:c r="I37" t="s">
        <x:v>1175</x:v>
      </x:c>
      <x:c r="J37" t="s">
        <x:v>1176</x:v>
      </x:c>
      <x:c r="K37" t="s">
        <x:v>1241</x:v>
      </x:c>
      <x:c r="L37" t="str">
        <x:v>已验收通过</x:v>
      </x:c>
    </x:row>
    <x:row r="38">
      <x:c r="A38" s="2" t="s">
        <x:v>1254</x:v>
      </x:c>
      <x:c r="B38" t="s">
        <x:v>200</x:v>
      </x:c>
      <x:c r="C38" t="s">
        <x:v>744</x:v>
      </x:c>
      <x:c r="D38" t="s">
        <x:v>1243</x:v>
      </x:c>
      <x:c r="E38" s="26">
        <x:v>4.63</x:v>
      </x:c>
      <x:c r="F38" t="s">
        <x:v>1184</x:v>
      </x:c>
      <x:c r="G38" t="s">
        <x:v>670</x:v>
      </x:c>
      <x:c r="H38" t="s">
        <x:v>200</x:v>
      </x:c>
      <x:c r="I38" t="s">
        <x:v>1175</x:v>
      </x:c>
      <x:c r="J38" t="s">
        <x:v>1176</x:v>
      </x:c>
      <x:c r="K38" t="s">
        <x:v>1244</x:v>
      </x:c>
      <x:c r="L38" t="str">
        <x:v>已验收通过</x:v>
      </x:c>
    </x:row>
    <x:row r="39">
      <x:c r="A39" s="2" t="s">
        <x:v>1255</x:v>
      </x:c>
      <x:c r="B39" t="s">
        <x:v>200</x:v>
      </x:c>
      <x:c r="C39" t="s">
        <x:v>744</x:v>
      </x:c>
      <x:c r="D39" t="s">
        <x:v>1240</x:v>
      </x:c>
      <x:c r="E39" s="26">
        <x:v>933320</x:v>
      </x:c>
      <x:c r="F39" t="s">
        <x:v>1235</x:v>
      </x:c>
      <x:c r="G39" t="s">
        <x:v>718</x:v>
      </x:c>
      <x:c r="H39" t="s">
        <x:v>200</x:v>
      </x:c>
      <x:c r="I39" t="s">
        <x:v>1175</x:v>
      </x:c>
      <x:c r="J39" t="s">
        <x:v>1176</x:v>
      </x:c>
      <x:c r="K39" t="s">
        <x:v>1241</x:v>
      </x:c>
      <x:c r="L39" t="str">
        <x:v>已验收通过</x:v>
      </x:c>
    </x:row>
    <x:row r="40">
      <x:c r="A40" s="2" t="s">
        <x:v>1256</x:v>
      </x:c>
      <x:c r="B40" t="s">
        <x:v>200</x:v>
      </x:c>
      <x:c r="C40" t="s">
        <x:v>744</x:v>
      </x:c>
      <x:c r="D40" t="s">
        <x:v>1243</x:v>
      </x:c>
      <x:c r="E40" s="26">
        <x:v>2.33</x:v>
      </x:c>
      <x:c r="F40" t="s">
        <x:v>1184</x:v>
      </x:c>
      <x:c r="G40" t="s">
        <x:v>718</x:v>
      </x:c>
      <x:c r="H40" t="s">
        <x:v>200</x:v>
      </x:c>
      <x:c r="I40" t="s">
        <x:v>1175</x:v>
      </x:c>
      <x:c r="J40" t="s">
        <x:v>1176</x:v>
      </x:c>
      <x:c r="K40" t="s">
        <x:v>1244</x:v>
      </x:c>
      <x:c r="L40" t="str">
        <x:v>已验收通过</x:v>
      </x:c>
    </x:row>
    <x:row r="41">
      <x:c r="A41" s="2" t="s">
        <x:v>1257</x:v>
      </x:c>
      <x:c r="B41" t="s">
        <x:v>200</x:v>
      </x:c>
      <x:c r="C41" t="s">
        <x:v>744</x:v>
      </x:c>
      <x:c r="D41" t="s">
        <x:v>1240</x:v>
      </x:c>
      <x:c r="E41" s="26">
        <x:v>666680</x:v>
      </x:c>
      <x:c r="F41" t="s">
        <x:v>1235</x:v>
      </x:c>
      <x:c r="G41" t="s">
        <x:v>725</x:v>
      </x:c>
      <x:c r="H41" t="s">
        <x:v>200</x:v>
      </x:c>
      <x:c r="I41" t="s">
        <x:v>1175</x:v>
      </x:c>
      <x:c r="J41" t="s">
        <x:v>1176</x:v>
      </x:c>
      <x:c r="K41" t="s">
        <x:v>1241</x:v>
      </x:c>
      <x:c r="L41" t="str">
        <x:v>已验收通过</x:v>
      </x:c>
    </x:row>
    <x:row r="42">
      <x:c r="A42" s="2" t="s">
        <x:v>1258</x:v>
      </x:c>
      <x:c r="B42" t="s">
        <x:v>200</x:v>
      </x:c>
      <x:c r="C42" t="s">
        <x:v>744</x:v>
      </x:c>
      <x:c r="D42" t="s">
        <x:v>1243</x:v>
      </x:c>
      <x:c r="E42" s="26">
        <x:v>1.67</x:v>
      </x:c>
      <x:c r="F42" t="s">
        <x:v>1184</x:v>
      </x:c>
      <x:c r="G42" t="s">
        <x:v>725</x:v>
      </x:c>
      <x:c r="H42" t="s">
        <x:v>200</x:v>
      </x:c>
      <x:c r="I42" t="s">
        <x:v>1175</x:v>
      </x:c>
      <x:c r="J42" t="s">
        <x:v>1176</x:v>
      </x:c>
      <x:c r="K42" t="s">
        <x:v>1244</x:v>
      </x:c>
      <x:c r="L42" t="str">
        <x:v>已验收通过</x:v>
      </x:c>
    </x:row>
    <x:row r="43">
      <x:c r="A43" s="2" t="s">
        <x:v>1259</x:v>
      </x:c>
      <x:c r="B43" t="s">
        <x:v>200</x:v>
      </x:c>
      <x:c r="C43" t="s">
        <x:v>744</x:v>
      </x:c>
      <x:c r="D43" t="s">
        <x:v>1240</x:v>
      </x:c>
      <x:c r="E43" s="26">
        <x:v>333320</x:v>
      </x:c>
      <x:c r="F43" t="s">
        <x:v>1235</x:v>
      </x:c>
      <x:c r="G43" t="s">
        <x:v>728</x:v>
      </x:c>
      <x:c r="H43" t="s">
        <x:v>200</x:v>
      </x:c>
      <x:c r="I43" t="s">
        <x:v>1175</x:v>
      </x:c>
      <x:c r="J43" t="s">
        <x:v>1176</x:v>
      </x:c>
      <x:c r="K43" t="s">
        <x:v>1241</x:v>
      </x:c>
      <x:c r="L43" t="str">
        <x:v>已验收通过</x:v>
      </x:c>
    </x:row>
    <x:row r="44">
      <x:c r="A44" s="2" t="s">
        <x:v>1260</x:v>
      </x:c>
      <x:c r="B44" t="s">
        <x:v>200</x:v>
      </x:c>
      <x:c r="C44" t="s">
        <x:v>744</x:v>
      </x:c>
      <x:c r="D44" t="s">
        <x:v>1243</x:v>
      </x:c>
      <x:c r="E44" s="26">
        <x:v>0.83</x:v>
      </x:c>
      <x:c r="F44" t="s">
        <x:v>1184</x:v>
      </x:c>
      <x:c r="G44" t="s">
        <x:v>728</x:v>
      </x:c>
      <x:c r="H44" t="s">
        <x:v>200</x:v>
      </x:c>
      <x:c r="I44" t="s">
        <x:v>1175</x:v>
      </x:c>
      <x:c r="J44" t="s">
        <x:v>1176</x:v>
      </x:c>
      <x:c r="K44" t="s">
        <x:v>1244</x:v>
      </x:c>
      <x:c r="L44" t="str">
        <x:v>已验收通过</x:v>
      </x:c>
    </x:row>
    <x:row r="45">
      <x:c r="A45" s="2" t="s">
        <x:v>1261</x:v>
      </x:c>
      <x:c r="B45" t="s">
        <x:v>200</x:v>
      </x:c>
      <x:c r="C45" t="s">
        <x:v>744</x:v>
      </x:c>
      <x:c r="D45" t="s">
        <x:v>1240</x:v>
      </x:c>
      <x:c r="E45" s="26">
        <x:v>333320</x:v>
      </x:c>
      <x:c r="F45" t="s">
        <x:v>1235</x:v>
      </x:c>
      <x:c r="G45" t="s">
        <x:v>731</x:v>
      </x:c>
      <x:c r="H45" t="s">
        <x:v>200</x:v>
      </x:c>
      <x:c r="I45" t="s">
        <x:v>1175</x:v>
      </x:c>
      <x:c r="J45" t="s">
        <x:v>1176</x:v>
      </x:c>
      <x:c r="K45" t="s">
        <x:v>1241</x:v>
      </x:c>
      <x:c r="L45" t="str">
        <x:v>已验收通过</x:v>
      </x:c>
    </x:row>
    <x:row r="46">
      <x:c r="A46" s="2" t="s">
        <x:v>1262</x:v>
      </x:c>
      <x:c r="B46" t="s">
        <x:v>200</x:v>
      </x:c>
      <x:c r="C46" t="s">
        <x:v>744</x:v>
      </x:c>
      <x:c r="D46" t="s">
        <x:v>1243</x:v>
      </x:c>
      <x:c r="E46" s="26">
        <x:v>0.83</x:v>
      </x:c>
      <x:c r="F46" t="s">
        <x:v>1184</x:v>
      </x:c>
      <x:c r="G46" t="s">
        <x:v>731</x:v>
      </x:c>
      <x:c r="H46" t="s">
        <x:v>200</x:v>
      </x:c>
      <x:c r="I46" t="s">
        <x:v>1175</x:v>
      </x:c>
      <x:c r="J46" t="s">
        <x:v>1176</x:v>
      </x:c>
      <x:c r="K46" t="s">
        <x:v>1244</x:v>
      </x:c>
      <x:c r="L46" t="str">
        <x:v>已验收通过</x:v>
      </x:c>
    </x:row>
    <x:row r="47">
      <x:c r="A47" s="2" t="s">
        <x:v>1263</x:v>
      </x:c>
      <x:c r="B47" t="s">
        <x:v>200</x:v>
      </x:c>
      <x:c r="C47" t="s">
        <x:v>744</x:v>
      </x:c>
      <x:c r="D47" t="s">
        <x:v>1240</x:v>
      </x:c>
      <x:c r="E47" s="26">
        <x:v>333320</x:v>
      </x:c>
      <x:c r="F47" t="s">
        <x:v>1235</x:v>
      </x:c>
      <x:c r="G47" t="s">
        <x:v>734</x:v>
      </x:c>
      <x:c r="H47" t="s">
        <x:v>200</x:v>
      </x:c>
      <x:c r="I47" t="s">
        <x:v>1175</x:v>
      </x:c>
      <x:c r="J47" t="s">
        <x:v>1176</x:v>
      </x:c>
      <x:c r="K47" t="s">
        <x:v>1241</x:v>
      </x:c>
      <x:c r="L47" t="str">
        <x:v>已验收通过</x:v>
      </x:c>
    </x:row>
    <x:row r="48">
      <x:c r="A48" s="2" t="s">
        <x:v>1264</x:v>
      </x:c>
      <x:c r="B48" t="s">
        <x:v>200</x:v>
      </x:c>
      <x:c r="C48" t="s">
        <x:v>744</x:v>
      </x:c>
      <x:c r="D48" t="s">
        <x:v>1243</x:v>
      </x:c>
      <x:c r="E48" s="26">
        <x:v>0.83</x:v>
      </x:c>
      <x:c r="F48" t="s">
        <x:v>1184</x:v>
      </x:c>
      <x:c r="G48" t="s">
        <x:v>734</x:v>
      </x:c>
      <x:c r="H48" t="s">
        <x:v>200</x:v>
      </x:c>
      <x:c r="I48" t="s">
        <x:v>1175</x:v>
      </x:c>
      <x:c r="J48" t="s">
        <x:v>1176</x:v>
      </x:c>
      <x:c r="K48" t="s">
        <x:v>1244</x:v>
      </x:c>
      <x:c r="L48" t="str">
        <x:v>已验收通过</x:v>
      </x:c>
    </x:row>
    <x:row r="49">
      <x:c r="A49" s="2" t="s">
        <x:v>1265</x:v>
      </x:c>
      <x:c r="B49" t="s">
        <x:v>223</x:v>
      </x:c>
      <x:c r="C49" t="s">
        <x:v>1036</x:v>
      </x:c>
      <x:c r="D49" t="s">
        <x:v>1266</x:v>
      </x:c>
      <x:c r="E49" s="26">
        <x:v>666680</x:v>
      </x:c>
      <x:c r="F49" t="s">
        <x:v>1235</x:v>
      </x:c>
      <x:c r="G49" t="s">
        <x:v>1267</x:v>
      </x:c>
      <x:c r="H49" t="s">
        <x:v>223</x:v>
      </x:c>
      <x:c r="I49" t="s">
        <x:v>1175</x:v>
      </x:c>
      <x:c r="J49" t="s">
        <x:v>1176</x:v>
      </x:c>
      <x:c r="K49" t="s">
        <x:v>1268</x:v>
      </x:c>
      <x:c r="L49" t="str">
        <x:v>已验收通过</x:v>
      </x:c>
    </x:row>
    <x:row r="50">
      <x:c r="A50" s="2" t="s">
        <x:v>1269</x:v>
      </x:c>
      <x:c r="B50" t="s">
        <x:v>223</x:v>
      </x:c>
      <x:c r="C50" t="s">
        <x:v>1036</x:v>
      </x:c>
      <x:c r="D50" t="s">
        <x:v>1270</x:v>
      </x:c>
      <x:c r="E50" s="26">
        <x:v>1.67</x:v>
      </x:c>
      <x:c r="F50" t="s">
        <x:v>1184</x:v>
      </x:c>
      <x:c r="G50" t="s">
        <x:v>1267</x:v>
      </x:c>
      <x:c r="H50" t="s">
        <x:v>223</x:v>
      </x:c>
      <x:c r="I50" t="s">
        <x:v>1175</x:v>
      </x:c>
      <x:c r="J50" t="s">
        <x:v>1176</x:v>
      </x:c>
      <x:c r="K50" t="s">
        <x:v>1271</x:v>
      </x:c>
      <x:c r="L50" t="str">
        <x:v>已验收通过</x:v>
      </x:c>
    </x:row>
    <x:row r="51">
      <x:c r="A51" s="2" t="s">
        <x:v>1272</x:v>
      </x:c>
      <x:c r="B51" t="s">
        <x:v>223</x:v>
      </x:c>
      <x:c r="C51" t="s">
        <x:v>1036</x:v>
      </x:c>
      <x:c r="D51" t="s">
        <x:v>1273</x:v>
      </x:c>
      <x:c r="E51" s="26">
        <x:v>1000</x:v>
      </x:c>
      <x:c r="F51" t="s">
        <x:v>1174</x:v>
      </x:c>
      <x:c r="G51" t="s">
        <x:v>1267</x:v>
      </x:c>
      <x:c r="H51" t="s">
        <x:v>223</x:v>
      </x:c>
      <x:c r="I51" t="s">
        <x:v>1175</x:v>
      </x:c>
      <x:c r="J51" t="s">
        <x:v>1176</x:v>
      </x:c>
      <x:c r="K51" t="s">
        <x:v>1274</x:v>
      </x:c>
      <x:c r="L51" t="str">
        <x:v>已验收通过</x:v>
      </x:c>
    </x:row>
    <x:row r="52">
      <x:c r="A52" s="2" t="s">
        <x:v>1275</x:v>
      </x:c>
      <x:c r="B52" t="s">
        <x:v>474</x:v>
      </x:c>
      <x:c r="C52" t="s">
        <x:v>1043</x:v>
      </x:c>
      <x:c r="D52" t="s">
        <x:v>1276</x:v>
      </x:c>
      <x:c r="E52" s="26">
        <x:v>7412</x:v>
      </x:c>
      <x:c r="F52" t="s">
        <x:v>1174</x:v>
      </x:c>
      <x:c r="G52" t="s">
        <x:v>785</x:v>
      </x:c>
      <x:c r="H52" t="s">
        <x:v>474</x:v>
      </x:c>
      <x:c r="I52" t="s">
        <x:v>1175</x:v>
      </x:c>
      <x:c r="J52" t="s">
        <x:v>1176</x:v>
      </x:c>
      <x:c r="K52" t="s">
        <x:v>1277</x:v>
      </x:c>
      <x:c r="L52" t="str">
        <x:v>已验收通过</x:v>
      </x:c>
    </x:row>
    <x:row r="53">
      <x:c r="A53" s="2" t="s">
        <x:v>1278</x:v>
      </x:c>
      <x:c r="B53" t="s">
        <x:v>474</x:v>
      </x:c>
      <x:c r="C53" t="s">
        <x:v>1043</x:v>
      </x:c>
      <x:c r="D53" t="s">
        <x:v>788</x:v>
      </x:c>
      <x:c r="E53" s="26">
        <x:v>254.4787</x:v>
      </x:c>
      <x:c r="F53" t="s">
        <x:v>1174</x:v>
      </x:c>
      <x:c r="G53" t="s">
        <x:v>785</x:v>
      </x:c>
      <x:c r="H53" t="s">
        <x:v>474</x:v>
      </x:c>
      <x:c r="I53" t="s">
        <x:v>1175</x:v>
      </x:c>
      <x:c r="J53" t="s">
        <x:v>1176</x:v>
      </x:c>
      <x:c r="K53" t="s">
        <x:v>1271</x:v>
      </x:c>
      <x:c r="L53" t="str">
        <x:v>已验收通过</x:v>
      </x:c>
    </x:row>
    <x:row r="54">
      <x:c r="A54" s="2" t="s">
        <x:v>1279</x:v>
      </x:c>
      <x:c r="B54" t="s">
        <x:v>474</x:v>
      </x:c>
      <x:c r="C54" t="s">
        <x:v>1043</x:v>
      </x:c>
      <x:c r="D54" t="s">
        <x:v>1276</x:v>
      </x:c>
      <x:c r="E54" s="26">
        <x:v>1800</x:v>
      </x:c>
      <x:c r="F54" t="s">
        <x:v>1280</x:v>
      </x:c>
      <x:c r="G54" t="s">
        <x:v>792</x:v>
      </x:c>
      <x:c r="H54" t="s">
        <x:v>474</x:v>
      </x:c>
      <x:c r="I54" t="s">
        <x:v>1175</x:v>
      </x:c>
      <x:c r="J54" t="s">
        <x:v>1176</x:v>
      </x:c>
      <x:c r="K54" t="s">
        <x:v>1277</x:v>
      </x:c>
      <x:c r="L54" t="str">
        <x:v>已验收通过</x:v>
      </x:c>
    </x:row>
    <x:row r="55">
      <x:c r="A55" s="2" t="s">
        <x:v>1281</x:v>
      </x:c>
      <x:c r="B55" t="s">
        <x:v>474</x:v>
      </x:c>
      <x:c r="C55" t="s">
        <x:v>1043</x:v>
      </x:c>
      <x:c r="D55" t="s">
        <x:v>788</x:v>
      </x:c>
      <x:c r="E55" s="26">
        <x:v>61.8</x:v>
      </x:c>
      <x:c r="F55" t="s">
        <x:v>1174</x:v>
      </x:c>
      <x:c r="G55" t="s">
        <x:v>792</x:v>
      </x:c>
      <x:c r="H55" t="s">
        <x:v>474</x:v>
      </x:c>
      <x:c r="I55" t="s">
        <x:v>1175</x:v>
      </x:c>
      <x:c r="J55" t="s">
        <x:v>1176</x:v>
      </x:c>
      <x:c r="K55" t="s">
        <x:v>1271</x:v>
      </x:c>
      <x:c r="L55" t="str">
        <x:v>已验收通过</x:v>
      </x:c>
    </x:row>
    <x:row r="56">
      <x:c r="A56" s="2" t="s">
        <x:v>1282</x:v>
      </x:c>
      <x:c r="B56" t="s">
        <x:v>474</x:v>
      </x:c>
      <x:c r="C56" t="s">
        <x:v>1043</x:v>
      </x:c>
      <x:c r="D56" t="s">
        <x:v>1276</x:v>
      </x:c>
      <x:c r="E56" s="26">
        <x:v>1584</x:v>
      </x:c>
      <x:c r="F56" t="s">
        <x:v>1174</x:v>
      </x:c>
      <x:c r="G56" t="s">
        <x:v>795</x:v>
      </x:c>
      <x:c r="H56" t="s">
        <x:v>474</x:v>
      </x:c>
      <x:c r="I56" t="s">
        <x:v>1175</x:v>
      </x:c>
      <x:c r="J56" t="s">
        <x:v>1176</x:v>
      </x:c>
      <x:c r="K56" t="s">
        <x:v>1277</x:v>
      </x:c>
      <x:c r="L56" t="str">
        <x:v>已验收通过</x:v>
      </x:c>
    </x:row>
    <x:row r="57">
      <x:c r="A57" s="2" t="s">
        <x:v>1283</x:v>
      </x:c>
      <x:c r="B57" t="s">
        <x:v>474</x:v>
      </x:c>
      <x:c r="C57" t="s">
        <x:v>1043</x:v>
      </x:c>
      <x:c r="D57" t="s">
        <x:v>788</x:v>
      </x:c>
      <x:c r="E57" s="26">
        <x:v>54.384</x:v>
      </x:c>
      <x:c r="F57" t="s">
        <x:v>1174</x:v>
      </x:c>
      <x:c r="G57" t="s">
        <x:v>795</x:v>
      </x:c>
      <x:c r="H57" t="s">
        <x:v>474</x:v>
      </x:c>
      <x:c r="I57" t="s">
        <x:v>1175</x:v>
      </x:c>
      <x:c r="J57" t="s">
        <x:v>1176</x:v>
      </x:c>
      <x:c r="K57" t="s">
        <x:v>1271</x:v>
      </x:c>
      <x:c r="L57" t="str">
        <x:v>已验收通过</x:v>
      </x:c>
    </x:row>
    <x:row r="58">
      <x:c r="A58" s="2" t="s">
        <x:v>1284</x:v>
      </x:c>
      <x:c r="B58" t="s">
        <x:v>474</x:v>
      </x:c>
      <x:c r="C58" t="s">
        <x:v>1043</x:v>
      </x:c>
      <x:c r="D58" t="s">
        <x:v>1276</x:v>
      </x:c>
      <x:c r="E58" s="26">
        <x:v>204</x:v>
      </x:c>
      <x:c r="F58" t="s">
        <x:v>1174</x:v>
      </x:c>
      <x:c r="G58" t="s">
        <x:v>798</x:v>
      </x:c>
      <x:c r="H58" t="s">
        <x:v>474</x:v>
      </x:c>
      <x:c r="I58" t="s">
        <x:v>1175</x:v>
      </x:c>
      <x:c r="J58" t="s">
        <x:v>1176</x:v>
      </x:c>
      <x:c r="K58" t="s">
        <x:v>1277</x:v>
      </x:c>
      <x:c r="L58" t="str">
        <x:v>已验收通过</x:v>
      </x:c>
    </x:row>
    <x:row r="59">
      <x:c r="A59" s="2" t="s">
        <x:v>1285</x:v>
      </x:c>
      <x:c r="B59" t="s">
        <x:v>474</x:v>
      </x:c>
      <x:c r="C59" t="s">
        <x:v>1043</x:v>
      </x:c>
      <x:c r="D59" t="s">
        <x:v>788</x:v>
      </x:c>
      <x:c r="E59" s="26">
        <x:v>7.0039999999999996</x:v>
      </x:c>
      <x:c r="F59" t="s">
        <x:v>1174</x:v>
      </x:c>
      <x:c r="G59" t="s">
        <x:v>798</x:v>
      </x:c>
      <x:c r="H59" t="s">
        <x:v>474</x:v>
      </x:c>
      <x:c r="I59" t="s">
        <x:v>1175</x:v>
      </x:c>
      <x:c r="J59" t="s">
        <x:v>1176</x:v>
      </x:c>
      <x:c r="K59" t="s">
        <x:v>1271</x:v>
      </x:c>
      <x:c r="L59" t="str">
        <x:v>已验收通过</x:v>
      </x:c>
    </x:row>
    <x:row r="60">
      <x:c r="A60" s="2" t="s">
        <x:v>1286</x:v>
      </x:c>
      <x:c r="B60" t="s">
        <x:v>474</x:v>
      </x:c>
      <x:c r="C60" t="s">
        <x:v>1043</x:v>
      </x:c>
      <x:c r="D60" t="s">
        <x:v>1276</x:v>
      </x:c>
      <x:c r="E60" s="26">
        <x:v>3000</x:v>
      </x:c>
      <x:c r="F60" t="s">
        <x:v>1174</x:v>
      </x:c>
      <x:c r="G60" t="s">
        <x:v>800</x:v>
      </x:c>
      <x:c r="H60" t="s">
        <x:v>474</x:v>
      </x:c>
      <x:c r="I60" t="s">
        <x:v>1175</x:v>
      </x:c>
      <x:c r="J60" t="s">
        <x:v>1176</x:v>
      </x:c>
      <x:c r="K60" t="s">
        <x:v>1277</x:v>
      </x:c>
      <x:c r="L60" t="str">
        <x:v>已验收通过</x:v>
      </x:c>
    </x:row>
    <x:row r="61">
      <x:c r="A61" s="2" t="s">
        <x:v>1287</x:v>
      </x:c>
      <x:c r="B61" t="s">
        <x:v>474</x:v>
      </x:c>
      <x:c r="C61" t="s">
        <x:v>1043</x:v>
      </x:c>
      <x:c r="D61" t="s">
        <x:v>788</x:v>
      </x:c>
      <x:c r="E61" s="26">
        <x:v>103</x:v>
      </x:c>
      <x:c r="F61" t="s">
        <x:v>1174</x:v>
      </x:c>
      <x:c r="G61" t="s">
        <x:v>800</x:v>
      </x:c>
      <x:c r="H61" t="s">
        <x:v>474</x:v>
      </x:c>
      <x:c r="I61" t="s">
        <x:v>1175</x:v>
      </x:c>
      <x:c r="J61" t="s">
        <x:v>1176</x:v>
      </x:c>
      <x:c r="K61" t="s">
        <x:v>1271</x:v>
      </x:c>
      <x:c r="L61" t="str">
        <x:v>已验收通过</x:v>
      </x:c>
    </x:row>
    <x:row r="62">
      <x:c r="A62" s="2" t="s">
        <x:v>1288</x:v>
      </x:c>
      <x:c r="B62" t="s">
        <x:v>474</x:v>
      </x:c>
      <x:c r="C62" t="s">
        <x:v>1043</x:v>
      </x:c>
      <x:c r="D62" t="s">
        <x:v>1276</x:v>
      </x:c>
      <x:c r="E62" s="26">
        <x:v>1000</x:v>
      </x:c>
      <x:c r="F62" t="s">
        <x:v>1174</x:v>
      </x:c>
      <x:c r="G62" t="s">
        <x:v>803</x:v>
      </x:c>
      <x:c r="H62" t="s">
        <x:v>474</x:v>
      </x:c>
      <x:c r="I62" t="s">
        <x:v>1175</x:v>
      </x:c>
      <x:c r="J62" t="s">
        <x:v>1176</x:v>
      </x:c>
      <x:c r="K62" t="s">
        <x:v>1277</x:v>
      </x:c>
      <x:c r="L62" t="str">
        <x:v>已验收通过</x:v>
      </x:c>
    </x:row>
    <x:row r="63">
      <x:c r="A63" s="2" t="s">
        <x:v>1289</x:v>
      </x:c>
      <x:c r="B63" t="s">
        <x:v>474</x:v>
      </x:c>
      <x:c r="C63" t="s">
        <x:v>1043</x:v>
      </x:c>
      <x:c r="D63" t="s">
        <x:v>788</x:v>
      </x:c>
      <x:c r="E63" s="26">
        <x:v>34.333300000000001</x:v>
      </x:c>
      <x:c r="F63" t="s">
        <x:v>1174</x:v>
      </x:c>
      <x:c r="G63" t="s">
        <x:v>803</x:v>
      </x:c>
      <x:c r="H63" t="s">
        <x:v>474</x:v>
      </x:c>
      <x:c r="I63" t="s">
        <x:v>1175</x:v>
      </x:c>
      <x:c r="J63" t="s">
        <x:v>1176</x:v>
      </x:c>
      <x:c r="K63" t="s">
        <x:v>1271</x:v>
      </x:c>
      <x:c r="L63" t="str">
        <x:v>已验收通过</x:v>
      </x:c>
    </x:row>
    <x:row r="64">
      <x:c r="A64" s="2" t="s">
        <x:v>1290</x:v>
      </x:c>
      <x:c r="B64" t="s">
        <x:v>486</x:v>
      </x:c>
      <x:c r="C64" t="s">
        <x:v>1047</x:v>
      </x:c>
      <x:c r="D64" t="s">
        <x:v>1276</x:v>
      </x:c>
      <x:c r="E64" s="26">
        <x:v>20</x:v>
      </x:c>
      <x:c r="F64" t="s">
        <x:v>1174</x:v>
      </x:c>
      <x:c r="G64" t="s">
        <x:v>806</x:v>
      </x:c>
      <x:c r="H64" t="s">
        <x:v>486</x:v>
      </x:c>
      <x:c r="I64" t="s">
        <x:v>1175</x:v>
      </x:c>
      <x:c r="J64" t="s">
        <x:v>1176</x:v>
      </x:c>
      <x:c r="K64" t="s">
        <x:v>1271</x:v>
      </x:c>
      <x:c r="L64" t="str">
        <x:v>已验收通过</x:v>
      </x:c>
    </x:row>
    <x:row r="65">
      <x:c r="A65" s="2" t="s">
        <x:v>1291</x:v>
      </x:c>
      <x:c r="B65" t="s">
        <x:v>486</x:v>
      </x:c>
      <x:c r="C65" t="s">
        <x:v>1047</x:v>
      </x:c>
      <x:c r="D65" t="s">
        <x:v>788</x:v>
      </x:c>
      <x:c r="E65" s="26">
        <x:v>20</x:v>
      </x:c>
      <x:c r="F65" t="s">
        <x:v>1174</x:v>
      </x:c>
      <x:c r="G65" t="s">
        <x:v>806</x:v>
      </x:c>
      <x:c r="H65" t="s">
        <x:v>486</x:v>
      </x:c>
      <x:c r="I65" t="s">
        <x:v>1175</x:v>
      </x:c>
      <x:c r="J65" t="s">
        <x:v>1176</x:v>
      </x:c>
      <x:c r="K65" t="s">
        <x:v>1292</x:v>
      </x:c>
      <x:c r="L65" t="str">
        <x:v>已验收通过</x:v>
      </x:c>
    </x:row>
    <x:row r="66">
      <x:c r="A66" s="2" t="s">
        <x:v>1293</x:v>
      </x:c>
      <x:c r="B66" t="s">
        <x:v>486</x:v>
      </x:c>
      <x:c r="C66" t="s">
        <x:v>1047</x:v>
      </x:c>
      <x:c r="D66" t="s">
        <x:v>1276</x:v>
      </x:c>
      <x:c r="E66" s="26">
        <x:v>20</x:v>
      </x:c>
      <x:c r="F66" t="s">
        <x:v>1174</x:v>
      </x:c>
      <x:c r="G66" t="s">
        <x:v>813</x:v>
      </x:c>
      <x:c r="H66" t="s">
        <x:v>486</x:v>
      </x:c>
      <x:c r="I66" t="s">
        <x:v>1175</x:v>
      </x:c>
      <x:c r="J66" t="s">
        <x:v>1176</x:v>
      </x:c>
      <x:c r="K66" t="s">
        <x:v>1271</x:v>
      </x:c>
      <x:c r="L66" t="str">
        <x:v>已验收通过</x:v>
      </x:c>
    </x:row>
    <x:row r="67">
      <x:c r="A67" s="2" t="s">
        <x:v>1294</x:v>
      </x:c>
      <x:c r="B67" t="s">
        <x:v>486</x:v>
      </x:c>
      <x:c r="C67" t="s">
        <x:v>1047</x:v>
      </x:c>
      <x:c r="D67" t="s">
        <x:v>788</x:v>
      </x:c>
      <x:c r="E67" s="26">
        <x:v>20</x:v>
      </x:c>
      <x:c r="F67" t="s">
        <x:v>1174</x:v>
      </x:c>
      <x:c r="G67" t="s">
        <x:v>813</x:v>
      </x:c>
      <x:c r="H67" t="s">
        <x:v>486</x:v>
      </x:c>
      <x:c r="I67" t="s">
        <x:v>1175</x:v>
      </x:c>
      <x:c r="J67" t="s">
        <x:v>1176</x:v>
      </x:c>
      <x:c r="K67" t="s">
        <x:v>1292</x:v>
      </x:c>
      <x:c r="L67" t="str">
        <x:v>已验收通过</x:v>
      </x:c>
    </x:row>
    <x:row r="68">
      <x:c r="A68" s="2" t="s">
        <x:v>1295</x:v>
      </x:c>
      <x:c r="B68" t="s">
        <x:v>486</x:v>
      </x:c>
      <x:c r="C68" t="s">
        <x:v>1047</x:v>
      </x:c>
      <x:c r="D68" t="s">
        <x:v>1276</x:v>
      </x:c>
      <x:c r="E68" s="26">
        <x:v>20</x:v>
      </x:c>
      <x:c r="F68" t="s">
        <x:v>1174</x:v>
      </x:c>
      <x:c r="G68" t="s">
        <x:v>815</x:v>
      </x:c>
      <x:c r="H68" t="s">
        <x:v>486</x:v>
      </x:c>
      <x:c r="I68" t="s">
        <x:v>1175</x:v>
      </x:c>
      <x:c r="J68" t="s">
        <x:v>1176</x:v>
      </x:c>
      <x:c r="K68" t="s">
        <x:v>1271</x:v>
      </x:c>
      <x:c r="L68" t="str">
        <x:v>已验收通过</x:v>
      </x:c>
    </x:row>
    <x:row r="69">
      <x:c r="A69" s="2" t="s">
        <x:v>1296</x:v>
      </x:c>
      <x:c r="B69" t="s">
        <x:v>486</x:v>
      </x:c>
      <x:c r="C69" t="s">
        <x:v>1047</x:v>
      </x:c>
      <x:c r="D69" t="s">
        <x:v>788</x:v>
      </x:c>
      <x:c r="E69" s="26">
        <x:v>20</x:v>
      </x:c>
      <x:c r="F69" t="s">
        <x:v>1174</x:v>
      </x:c>
      <x:c r="G69" t="s">
        <x:v>815</x:v>
      </x:c>
      <x:c r="H69" t="s">
        <x:v>486</x:v>
      </x:c>
      <x:c r="I69" t="s">
        <x:v>1175</x:v>
      </x:c>
      <x:c r="J69" t="s">
        <x:v>1176</x:v>
      </x:c>
      <x:c r="K69" t="s">
        <x:v>1292</x:v>
      </x:c>
      <x:c r="L69" t="str">
        <x:v>已验收通过</x:v>
      </x:c>
    </x:row>
    <x:row r="70">
      <x:c r="A70" s="2" t="s">
        <x:v>1297</x:v>
      </x:c>
      <x:c r="B70" t="s">
        <x:v>486</x:v>
      </x:c>
      <x:c r="C70" t="s">
        <x:v>1047</x:v>
      </x:c>
      <x:c r="D70" t="s">
        <x:v>1276</x:v>
      </x:c>
      <x:c r="E70" s="26">
        <x:v>60</x:v>
      </x:c>
      <x:c r="F70" t="s">
        <x:v>1174</x:v>
      </x:c>
      <x:c r="G70" t="s">
        <x:v>817</x:v>
      </x:c>
      <x:c r="H70" t="s">
        <x:v>486</x:v>
      </x:c>
      <x:c r="I70" t="s">
        <x:v>1175</x:v>
      </x:c>
      <x:c r="J70" t="s">
        <x:v>1176</x:v>
      </x:c>
      <x:c r="K70" t="s">
        <x:v>1271</x:v>
      </x:c>
      <x:c r="L70" t="str">
        <x:v>已验收通过</x:v>
      </x:c>
    </x:row>
    <x:row r="71">
      <x:c r="A71" s="2" t="s">
        <x:v>1298</x:v>
      </x:c>
      <x:c r="B71" t="s">
        <x:v>486</x:v>
      </x:c>
      <x:c r="C71" t="s">
        <x:v>1047</x:v>
      </x:c>
      <x:c r="D71" t="s">
        <x:v>788</x:v>
      </x:c>
      <x:c r="E71" s="26">
        <x:v>60</x:v>
      </x:c>
      <x:c r="F71" t="s">
        <x:v>1174</x:v>
      </x:c>
      <x:c r="G71" t="s">
        <x:v>817</x:v>
      </x:c>
      <x:c r="H71" t="s">
        <x:v>486</x:v>
      </x:c>
      <x:c r="I71" t="s">
        <x:v>1175</x:v>
      </x:c>
      <x:c r="J71" t="s">
        <x:v>1176</x:v>
      </x:c>
      <x:c r="K71" t="s">
        <x:v>1292</x:v>
      </x:c>
      <x:c r="L71" t="str">
        <x:v>已验收通过</x:v>
      </x:c>
    </x:row>
    <x:row r="72">
      <x:c r="A72" s="2" t="s">
        <x:v>1299</x:v>
      </x:c>
      <x:c r="B72" t="s">
        <x:v>503</x:v>
      </x:c>
      <x:c r="C72" t="s">
        <x:v>1043</x:v>
      </x:c>
      <x:c r="D72" t="s">
        <x:v>1266</x:v>
      </x:c>
      <x:c r="E72" s="26">
        <x:v>515000</x:v>
      </x:c>
      <x:c r="F72" t="s">
        <x:v>1235</x:v>
      </x:c>
      <x:c r="G72" t="s">
        <x:v>1300</x:v>
      </x:c>
      <x:c r="H72" t="s">
        <x:v>503</x:v>
      </x:c>
      <x:c r="I72" t="s">
        <x:v>1175</x:v>
      </x:c>
      <x:c r="J72" t="s">
        <x:v>1176</x:v>
      </x:c>
      <x:c r="K72" t="s">
        <x:v>1271</x:v>
      </x:c>
      <x:c r="L72" t="str">
        <x:v>已验收通过</x:v>
      </x:c>
    </x:row>
    <x:row r="73">
      <x:c r="A73" s="2" t="s">
        <x:v>1301</x:v>
      </x:c>
      <x:c r="B73" t="s">
        <x:v>503</x:v>
      </x:c>
      <x:c r="C73" t="s">
        <x:v>1043</x:v>
      </x:c>
      <x:c r="D73" t="s">
        <x:v>1273</x:v>
      </x:c>
      <x:c r="E73" s="26">
        <x:v>1500</x:v>
      </x:c>
      <x:c r="F73" t="s">
        <x:v>1174</x:v>
      </x:c>
      <x:c r="G73" t="s">
        <x:v>1300</x:v>
      </x:c>
      <x:c r="H73" t="s">
        <x:v>503</x:v>
      </x:c>
      <x:c r="I73" t="s">
        <x:v>1175</x:v>
      </x:c>
      <x:c r="J73" t="s">
        <x:v>1176</x:v>
      </x:c>
      <x:c r="K73" t="s">
        <x:v>1302</x:v>
      </x:c>
      <x:c r="L73" t="str">
        <x:v>已验收通过</x:v>
      </x:c>
    </x:row>
    <x:row r="74">
      <x:c r="A74" s="2" t="s">
        <x:v>1303</x:v>
      </x:c>
      <x:c r="B74" t="s">
        <x:v>503</x:v>
      </x:c>
      <x:c r="C74" t="s">
        <x:v>1043</x:v>
      </x:c>
      <x:c r="D74" t="s">
        <x:v>1266</x:v>
      </x:c>
      <x:c r="E74" s="26">
        <x:v>180250</x:v>
      </x:c>
      <x:c r="F74" t="s">
        <x:v>1235</x:v>
      </x:c>
      <x:c r="G74" t="s">
        <x:v>1304</x:v>
      </x:c>
      <x:c r="H74" t="s">
        <x:v>503</x:v>
      </x:c>
      <x:c r="I74" t="s">
        <x:v>1175</x:v>
      </x:c>
      <x:c r="J74" t="s">
        <x:v>1176</x:v>
      </x:c>
      <x:c r="K74" t="s">
        <x:v>1271</x:v>
      </x:c>
      <x:c r="L74" t="str">
        <x:v>已验收通过</x:v>
      </x:c>
    </x:row>
    <x:row r="75">
      <x:c r="A75" s="2" t="s">
        <x:v>1305</x:v>
      </x:c>
      <x:c r="B75" t="s">
        <x:v>503</x:v>
      </x:c>
      <x:c r="C75" t="s">
        <x:v>1043</x:v>
      </x:c>
      <x:c r="D75" t="s">
        <x:v>1273</x:v>
      </x:c>
      <x:c r="E75" s="26">
        <x:v>524.99940000000004</x:v>
      </x:c>
      <x:c r="F75" t="s">
        <x:v>1174</x:v>
      </x:c>
      <x:c r="G75" t="s">
        <x:v>1304</x:v>
      </x:c>
      <x:c r="H75" t="s">
        <x:v>503</x:v>
      </x:c>
      <x:c r="I75" t="s">
        <x:v>1175</x:v>
      </x:c>
      <x:c r="J75" t="s">
        <x:v>1176</x:v>
      </x:c>
      <x:c r="K75" t="s">
        <x:v>1302</x:v>
      </x:c>
      <x:c r="L75" t="str">
        <x:v>已验收通过</x:v>
      </x:c>
    </x:row>
    <x:row r="76">
      <x:c r="A76" s="2" t="s">
        <x:v>1306</x:v>
      </x:c>
      <x:c r="B76" t="s">
        <x:v>503</x:v>
      </x:c>
      <x:c r="C76" t="s">
        <x:v>1043</x:v>
      </x:c>
      <x:c r="D76" t="s">
        <x:v>1266</x:v>
      </x:c>
      <x:c r="E76" s="26">
        <x:v>94417</x:v>
      </x:c>
      <x:c r="F76" t="s">
        <x:v>1235</x:v>
      </x:c>
      <x:c r="G76" t="s">
        <x:v>1307</x:v>
      </x:c>
      <x:c r="H76" t="s">
        <x:v>503</x:v>
      </x:c>
      <x:c r="I76" t="s">
        <x:v>1175</x:v>
      </x:c>
      <x:c r="J76" t="s">
        <x:v>1176</x:v>
      </x:c>
      <x:c r="K76" t="s">
        <x:v>1271</x:v>
      </x:c>
      <x:c r="L76" t="str">
        <x:v>已验收通过</x:v>
      </x:c>
    </x:row>
    <x:row r="77">
      <x:c r="A77" s="2" t="s">
        <x:v>1308</x:v>
      </x:c>
      <x:c r="B77" t="s">
        <x:v>503</x:v>
      </x:c>
      <x:c r="C77" t="s">
        <x:v>1043</x:v>
      </x:c>
      <x:c r="D77" t="s">
        <x:v>1273</x:v>
      </x:c>
      <x:c r="E77" s="26">
        <x:v>275.00599999999997</x:v>
      </x:c>
      <x:c r="F77" t="s">
        <x:v>1174</x:v>
      </x:c>
      <x:c r="G77" t="s">
        <x:v>1307</x:v>
      </x:c>
      <x:c r="H77" t="s">
        <x:v>503</x:v>
      </x:c>
      <x:c r="I77" t="s">
        <x:v>1175</x:v>
      </x:c>
      <x:c r="J77" t="s">
        <x:v>1176</x:v>
      </x:c>
      <x:c r="K77" t="s">
        <x:v>1302</x:v>
      </x:c>
      <x:c r="L77" t="str">
        <x:v>已验收通过</x:v>
      </x:c>
    </x:row>
    <x:row r="78">
      <x:c r="A78" s="2" t="s">
        <x:v>1309</x:v>
      </x:c>
      <x:c r="B78" t="s">
        <x:v>503</x:v>
      </x:c>
      <x:c r="C78" t="s">
        <x:v>1043</x:v>
      </x:c>
      <x:c r="D78" t="s">
        <x:v>1266</x:v>
      </x:c>
      <x:c r="E78" s="26">
        <x:v>369083</x:v>
      </x:c>
      <x:c r="F78" t="s">
        <x:v>1235</x:v>
      </x:c>
      <x:c r="G78" t="s">
        <x:v>1310</x:v>
      </x:c>
      <x:c r="H78" t="s">
        <x:v>503</x:v>
      </x:c>
      <x:c r="I78" t="s">
        <x:v>1175</x:v>
      </x:c>
      <x:c r="J78" t="s">
        <x:v>1176</x:v>
      </x:c>
      <x:c r="K78" t="s">
        <x:v>1271</x:v>
      </x:c>
      <x:c r="L78" t="str">
        <x:v>已验收通过</x:v>
      </x:c>
    </x:row>
    <x:row r="79">
      <x:c r="A79" s="2" t="s">
        <x:v>1311</x:v>
      </x:c>
      <x:c r="B79" t="s">
        <x:v>503</x:v>
      </x:c>
      <x:c r="C79" t="s">
        <x:v>1043</x:v>
      </x:c>
      <x:c r="D79" t="s">
        <x:v>1273</x:v>
      </x:c>
      <x:c r="E79" s="26">
        <x:v>1075</x:v>
      </x:c>
      <x:c r="F79" t="s">
        <x:v>1174</x:v>
      </x:c>
      <x:c r="G79" t="s">
        <x:v>1310</x:v>
      </x:c>
      <x:c r="H79" t="s">
        <x:v>503</x:v>
      </x:c>
      <x:c r="I79" t="s">
        <x:v>1175</x:v>
      </x:c>
      <x:c r="J79" t="s">
        <x:v>1176</x:v>
      </x:c>
      <x:c r="K79" t="s">
        <x:v>1302</x:v>
      </x:c>
      <x:c r="L79" t="str">
        <x:v>已验收通过</x:v>
      </x:c>
    </x:row>
    <x:row r="80">
      <x:c r="A80" s="2" t="s">
        <x:v>1312</x:v>
      </x:c>
      <x:c r="B80" t="s">
        <x:v>245</x:v>
      </x:c>
      <x:c r="C80" t="s">
        <x:v>1050</x:v>
      </x:c>
      <x:c r="D80" t="s">
        <x:v>1313</x:v>
      </x:c>
      <x:c r="E80" s="26">
        <x:v>4264.3373000000001</x:v>
      </x:c>
      <x:c r="F80" t="s">
        <x:v>1174</x:v>
      </x:c>
      <x:c r="G80" t="s">
        <x:v>893</x:v>
      </x:c>
      <x:c r="H80" t="s">
        <x:v>245</x:v>
      </x:c>
      <x:c r="I80" t="s">
        <x:v>1175</x:v>
      </x:c>
      <x:c r="J80" t="s">
        <x:v>1176</x:v>
      </x:c>
      <x:c r="K80" t="s">
        <x:v>1271</x:v>
      </x:c>
      <x:c r="L80" t="str">
        <x:v>已验收通过</x:v>
      </x:c>
    </x:row>
    <x:row r="81">
      <x:c r="A81" s="2" t="s">
        <x:v>1314</x:v>
      </x:c>
      <x:c r="B81" t="s">
        <x:v>245</x:v>
      </x:c>
      <x:c r="C81" t="s">
        <x:v>1053</x:v>
      </x:c>
      <x:c r="D81" t="s">
        <x:v>1315</x:v>
      </x:c>
      <x:c r="E81" s="26">
        <x:v>4635</x:v>
      </x:c>
      <x:c r="F81" t="s">
        <x:v>1174</x:v>
      </x:c>
      <x:c r="G81" t="s">
        <x:v>893</x:v>
      </x:c>
      <x:c r="H81" t="s">
        <x:v>245</x:v>
      </x:c>
      <x:c r="I81" t="s">
        <x:v>1175</x:v>
      </x:c>
      <x:c r="J81" t="s">
        <x:v>1176</x:v>
      </x:c>
      <x:c r="K81" t="s">
        <x:v>1271</x:v>
      </x:c>
      <x:c r="L81" t="str">
        <x:v>已验收通过</x:v>
      </x:c>
    </x:row>
    <x:row r="82">
      <x:c r="A82" s="2" t="s">
        <x:v>1316</x:v>
      </x:c>
      <x:c r="B82" t="s">
        <x:v>245</x:v>
      </x:c>
      <x:c r="C82" t="s">
        <x:v>1043</x:v>
      </x:c>
      <x:c r="D82" t="s">
        <x:v>1317</x:v>
      </x:c>
      <x:c r="E82" s="26">
        <x:v>29.13</x:v>
      </x:c>
      <x:c r="F82" t="s">
        <x:v>1318</x:v>
      </x:c>
      <x:c r="G82" t="s">
        <x:v>1319</x:v>
      </x:c>
      <x:c r="H82" t="s">
        <x:v>245</x:v>
      </x:c>
      <x:c r="I82" t="s">
        <x:v>1175</x:v>
      </x:c>
      <x:c r="J82" t="s">
        <x:v>1176</x:v>
      </x:c>
      <x:c r="K82" t="s">
        <x:v>1320</x:v>
      </x:c>
      <x:c r="L82" t="str">
        <x:v>已验收通过</x:v>
      </x:c>
    </x:row>
    <x:row r="83">
      <x:c r="A83" s="2" t="s">
        <x:v>1321</x:v>
      </x:c>
      <x:c r="B83" t="s">
        <x:v>245</x:v>
      </x:c>
      <x:c r="C83" t="s">
        <x:v>1043</x:v>
      </x:c>
      <x:c r="D83" t="s">
        <x:v>1322</x:v>
      </x:c>
      <x:c r="E83" s="26">
        <x:v>13.5</x:v>
      </x:c>
      <x:c r="F83" t="s">
        <x:v>1323</x:v>
      </x:c>
      <x:c r="G83" t="s">
        <x:v>893</x:v>
      </x:c>
      <x:c r="H83" t="s">
        <x:v>245</x:v>
      </x:c>
      <x:c r="I83" t="s">
        <x:v>1175</x:v>
      </x:c>
      <x:c r="J83" t="s">
        <x:v>1176</x:v>
      </x:c>
      <x:c r="K83" t="s">
        <x:v>1320</x:v>
      </x:c>
      <x:c r="L83" t="str">
        <x:v>已验收通过</x:v>
      </x:c>
    </x:row>
    <x:row r="84">
      <x:c r="A84" s="2" t="s">
        <x:v>1324</x:v>
      </x:c>
      <x:c r="B84" t="s">
        <x:v>270</x:v>
      </x:c>
      <x:c r="C84" t="s">
        <x:v>1064</x:v>
      </x:c>
      <x:c r="D84" t="s">
        <x:v>1325</x:v>
      </x:c>
      <x:c r="E84" s="26">
        <x:v>400000</x:v>
      </x:c>
      <x:c r="F84" t="s">
        <x:v>1235</x:v>
      </x:c>
      <x:c r="G84" t="s">
        <x:v>806</x:v>
      </x:c>
      <x:c r="H84" t="s">
        <x:v>270</x:v>
      </x:c>
      <x:c r="I84" t="s">
        <x:v>1175</x:v>
      </x:c>
      <x:c r="J84" t="s">
        <x:v>1176</x:v>
      </x:c>
      <x:c r="K84" t="s">
        <x:v>1326</x:v>
      </x:c>
      <x:c r="L84" t="str">
        <x:v>已验收通过</x:v>
      </x:c>
    </x:row>
    <x:row r="85">
      <x:c r="A85" s="2" t="s">
        <x:v>1327</x:v>
      </x:c>
      <x:c r="B85" t="s">
        <x:v>270</x:v>
      </x:c>
      <x:c r="C85" t="s">
        <x:v>1064</x:v>
      </x:c>
      <x:c r="D85" t="s">
        <x:v>1325</x:v>
      </x:c>
      <x:c r="E85" s="26">
        <x:v>400000</x:v>
      </x:c>
      <x:c r="F85" t="s">
        <x:v>1235</x:v>
      </x:c>
      <x:c r="G85" t="s">
        <x:v>813</x:v>
      </x:c>
      <x:c r="H85" t="s">
        <x:v>270</x:v>
      </x:c>
      <x:c r="I85" t="s">
        <x:v>1175</x:v>
      </x:c>
      <x:c r="J85" t="s">
        <x:v>1176</x:v>
      </x:c>
      <x:c r="K85" t="s">
        <x:v>1326</x:v>
      </x:c>
      <x:c r="L85" t="str">
        <x:v>已验收通过</x:v>
      </x:c>
    </x:row>
    <x:row r="86">
      <x:c r="A86" s="2" t="s">
        <x:v>1328</x:v>
      </x:c>
      <x:c r="B86" t="s">
        <x:v>270</x:v>
      </x:c>
      <x:c r="C86" t="s">
        <x:v>1064</x:v>
      </x:c>
      <x:c r="D86" t="s">
        <x:v>1329</x:v>
      </x:c>
      <x:c r="E86" s="26">
        <x:v>40</x:v>
      </x:c>
      <x:c r="F86" t="s">
        <x:v>1174</x:v>
      </x:c>
      <x:c r="G86" t="s">
        <x:v>806</x:v>
      </x:c>
      <x:c r="H86" t="s">
        <x:v>270</x:v>
      </x:c>
      <x:c r="I86" t="s">
        <x:v>1175</x:v>
      </x:c>
      <x:c r="J86" t="s">
        <x:v>1176</x:v>
      </x:c>
      <x:c r="K86" t="s">
        <x:v>1271</x:v>
      </x:c>
      <x:c r="L86" t="str">
        <x:v>已验收通过</x:v>
      </x:c>
    </x:row>
    <x:row r="87">
      <x:c r="A87" s="2" t="s">
        <x:v>1330</x:v>
      </x:c>
      <x:c r="B87" t="s">
        <x:v>270</x:v>
      </x:c>
      <x:c r="C87" t="s">
        <x:v>1064</x:v>
      </x:c>
      <x:c r="D87" t="s">
        <x:v>1329</x:v>
      </x:c>
      <x:c r="E87" s="26">
        <x:v>40</x:v>
      </x:c>
      <x:c r="F87" t="s">
        <x:v>1174</x:v>
      </x:c>
      <x:c r="G87" t="s">
        <x:v>813</x:v>
      </x:c>
      <x:c r="H87" t="s">
        <x:v>270</x:v>
      </x:c>
      <x:c r="I87" t="s">
        <x:v>1175</x:v>
      </x:c>
      <x:c r="J87" t="s">
        <x:v>1176</x:v>
      </x:c>
      <x:c r="K87" t="s">
        <x:v>1271</x:v>
      </x:c>
      <x:c r="L87" t="str">
        <x:v>已验收通过</x:v>
      </x:c>
    </x:row>
    <x:row r="88">
      <x:c r="A88" s="2" t="s">
        <x:v>1331</x:v>
      </x:c>
      <x:c r="B88" t="s">
        <x:v>270</x:v>
      </x:c>
      <x:c r="C88" t="s">
        <x:v>1068</x:v>
      </x:c>
      <x:c r="D88" t="s">
        <x:v>1332</x:v>
      </x:c>
      <x:c r="E88" s="26">
        <x:v>21.58</x:v>
      </x:c>
      <x:c r="F88" t="s">
        <x:v>1184</x:v>
      </x:c>
      <x:c r="G88" t="s">
        <x:v>806</x:v>
      </x:c>
      <x:c r="H88" t="s">
        <x:v>270</x:v>
      </x:c>
      <x:c r="I88" t="s">
        <x:v>1175</x:v>
      </x:c>
      <x:c r="J88" t="s">
        <x:v>1176</x:v>
      </x:c>
      <x:c r="K88" t="s">
        <x:v>1333</x:v>
      </x:c>
      <x:c r="L88" t="str">
        <x:v>已验收通过</x:v>
      </x:c>
    </x:row>
    <x:row r="89">
      <x:c r="A89" s="2" t="s">
        <x:v>1334</x:v>
      </x:c>
      <x:c r="B89" t="s">
        <x:v>270</x:v>
      </x:c>
      <x:c r="C89" t="s">
        <x:v>1068</x:v>
      </x:c>
      <x:c r="D89" t="s">
        <x:v>1332</x:v>
      </x:c>
      <x:c r="E89" s="26">
        <x:v>21.58</x:v>
      </x:c>
      <x:c r="F89" t="s">
        <x:v>1184</x:v>
      </x:c>
      <x:c r="G89" t="s">
        <x:v>813</x:v>
      </x:c>
      <x:c r="H89" t="s">
        <x:v>270</x:v>
      </x:c>
      <x:c r="I89" t="s">
        <x:v>1175</x:v>
      </x:c>
      <x:c r="J89" t="s">
        <x:v>1176</x:v>
      </x:c>
      <x:c r="K89" t="s">
        <x:v>1333</x:v>
      </x:c>
      <x:c r="L89" t="str">
        <x:v>已验收通过</x:v>
      </x:c>
    </x:row>
    <x:row r="90">
      <x:c r="A90" s="2" t="s">
        <x:v>1335</x:v>
      </x:c>
      <x:c r="B90" t="s">
        <x:v>270</x:v>
      </x:c>
      <x:c r="C90" t="s">
        <x:v>1068</x:v>
      </x:c>
      <x:c r="D90" t="s">
        <x:v>1336</x:v>
      </x:c>
      <x:c r="E90" s="26">
        <x:v>40</x:v>
      </x:c>
      <x:c r="F90" t="s">
        <x:v>1174</x:v>
      </x:c>
      <x:c r="G90" t="s">
        <x:v>806</x:v>
      </x:c>
      <x:c r="H90" t="s">
        <x:v>270</x:v>
      </x:c>
      <x:c r="I90" t="s">
        <x:v>1175</x:v>
      </x:c>
      <x:c r="J90" t="s">
        <x:v>1176</x:v>
      </x:c>
      <x:c r="K90" t="s">
        <x:v>1337</x:v>
      </x:c>
      <x:c r="L90" t="str">
        <x:v>已验收通过</x:v>
      </x:c>
    </x:row>
    <x:row r="91">
      <x:c r="A91" s="2" t="s">
        <x:v>1338</x:v>
      </x:c>
      <x:c r="B91" t="s">
        <x:v>270</x:v>
      </x:c>
      <x:c r="C91" t="s">
        <x:v>1068</x:v>
      </x:c>
      <x:c r="D91" t="s">
        <x:v>1336</x:v>
      </x:c>
      <x:c r="E91" s="26">
        <x:v>40</x:v>
      </x:c>
      <x:c r="F91" t="s">
        <x:v>1174</x:v>
      </x:c>
      <x:c r="G91" t="s">
        <x:v>813</x:v>
      </x:c>
      <x:c r="H91" t="s">
        <x:v>270</x:v>
      </x:c>
      <x:c r="I91" t="s">
        <x:v>1175</x:v>
      </x:c>
      <x:c r="J91" t="s">
        <x:v>1176</x:v>
      </x:c>
      <x:c r="K91" t="s">
        <x:v>1337</x:v>
      </x:c>
      <x:c r="L91" t="str">
        <x:v>已验收通过</x:v>
      </x:c>
    </x:row>
    <x:row r="92">
      <x:c r="A92" s="2" t="s">
        <x:v>1339</x:v>
      </x:c>
      <x:c r="B92" t="s">
        <x:v>291</x:v>
      </x:c>
      <x:c r="C92" t="s">
        <x:v>1074</x:v>
      </x:c>
      <x:c r="D92" t="s">
        <x:v>1340</x:v>
      </x:c>
      <x:c r="E92" s="26">
        <x:v>4635</x:v>
      </x:c>
      <x:c r="F92" t="s">
        <x:v>1174</x:v>
      </x:c>
      <x:c r="G92" t="s">
        <x:v>893</x:v>
      </x:c>
      <x:c r="H92" t="s">
        <x:v>291</x:v>
      </x:c>
      <x:c r="I92" t="s">
        <x:v>1175</x:v>
      </x:c>
      <x:c r="J92" t="s">
        <x:v>1176</x:v>
      </x:c>
      <x:c r="L92" t="str">
        <x:v>已验收通过</x:v>
      </x:c>
    </x:row>
    <x:row r="93">
      <x:c r="A93" s="2" t="s">
        <x:v>1341</x:v>
      </x:c>
      <x:c r="B93" t="s">
        <x:v>291</x:v>
      </x:c>
      <x:c r="C93" t="s">
        <x:v>1074</x:v>
      </x:c>
      <x:c r="D93" t="s">
        <x:v>1199</x:v>
      </x:c>
      <x:c r="E93" s="26">
        <x:v>4748.0487999999996</x:v>
      </x:c>
      <x:c r="F93" t="s">
        <x:v>1174</x:v>
      </x:c>
      <x:c r="G93" t="s">
        <x:v>893</x:v>
      </x:c>
      <x:c r="H93" t="s">
        <x:v>291</x:v>
      </x:c>
      <x:c r="I93" t="s">
        <x:v>1175</x:v>
      </x:c>
      <x:c r="J93" t="s">
        <x:v>1176</x:v>
      </x:c>
      <x:c r="L93" t="str">
        <x:v>已验收通过</x:v>
      </x:c>
    </x:row>
    <x:row r="94">
      <x:c r="A94" s="2" t="s">
        <x:v>1342</x:v>
      </x:c>
      <x:c r="B94" t="s">
        <x:v>291</x:v>
      </x:c>
      <x:c r="C94" t="s">
        <x:v>1074</x:v>
      </x:c>
      <x:c r="D94" t="s">
        <x:v>1276</x:v>
      </x:c>
      <x:c r="E94" s="26">
        <x:v>5000</x:v>
      </x:c>
      <x:c r="F94" t="s">
        <x:v>1174</x:v>
      </x:c>
      <x:c r="G94" t="s">
        <x:v>852</x:v>
      </x:c>
      <x:c r="H94" t="s">
        <x:v>291</x:v>
      </x:c>
      <x:c r="I94" t="s">
        <x:v>1175</x:v>
      </x:c>
      <x:c r="J94" t="s">
        <x:v>1176</x:v>
      </x:c>
      <x:c r="K94" t="s">
        <x:v>852</x:v>
      </x:c>
      <x:c r="L94" t="str">
        <x:v>已验收通过</x:v>
      </x:c>
    </x:row>
    <x:row r="95">
      <x:c r="A95" s="2" t="s">
        <x:v>1343</x:v>
      </x:c>
      <x:c r="B95" t="s">
        <x:v>291</x:v>
      </x:c>
      <x:c r="C95" t="s">
        <x:v>1074</x:v>
      </x:c>
      <x:c r="D95" t="s">
        <x:v>854</x:v>
      </x:c>
      <x:c r="E95" s="26">
        <x:v>1130488</x:v>
      </x:c>
      <x:c r="F95" t="s">
        <x:v>1235</x:v>
      </x:c>
      <x:c r="G95" t="s">
        <x:v>852</x:v>
      </x:c>
      <x:c r="H95" t="s">
        <x:v>291</x:v>
      </x:c>
      <x:c r="I95" t="s">
        <x:v>1175</x:v>
      </x:c>
      <x:c r="J95" t="s">
        <x:v>1176</x:v>
      </x:c>
      <x:c r="K95" t="s">
        <x:v>852</x:v>
      </x:c>
      <x:c r="L95" t="str">
        <x:v>已验收通过</x:v>
      </x:c>
    </x:row>
    <x:row r="96">
      <x:c r="A96" s="2" t="s">
        <x:v>1344</x:v>
      </x:c>
      <x:c r="B96" t="s">
        <x:v>291</x:v>
      </x:c>
      <x:c r="C96" t="s">
        <x:v>1074</x:v>
      </x:c>
      <x:c r="D96" t="s">
        <x:v>1317</x:v>
      </x:c>
      <x:c r="E96" s="26">
        <x:v>44.23</x:v>
      </x:c>
      <x:c r="F96" t="s">
        <x:v>1318</x:v>
      </x:c>
      <x:c r="G96" t="s">
        <x:v>852</x:v>
      </x:c>
      <x:c r="H96" t="s">
        <x:v>291</x:v>
      </x:c>
      <x:c r="I96" t="s">
        <x:v>1175</x:v>
      </x:c>
      <x:c r="J96" t="s">
        <x:v>1176</x:v>
      </x:c>
      <x:c r="K96" t="s">
        <x:v>1345</x:v>
      </x:c>
      <x:c r="L96" t="str">
        <x:v>已验收通过</x:v>
      </x:c>
    </x:row>
    <x:row r="97">
      <x:c r="A97" s="2" t="s">
        <x:v>1346</x:v>
      </x:c>
      <x:c r="B97" t="s">
        <x:v>291</x:v>
      </x:c>
      <x:c r="C97" t="s">
        <x:v>1074</x:v>
      </x:c>
      <x:c r="D97" t="s">
        <x:v>1322</x:v>
      </x:c>
      <x:c r="E97" s="26">
        <x:v>21</x:v>
      </x:c>
      <x:c r="F97" t="s">
        <x:v>1323</x:v>
      </x:c>
      <x:c r="G97" t="s">
        <x:v>893</x:v>
      </x:c>
      <x:c r="H97" t="s">
        <x:v>291</x:v>
      </x:c>
      <x:c r="I97" t="s">
        <x:v>1175</x:v>
      </x:c>
      <x:c r="J97" t="s">
        <x:v>1176</x:v>
      </x:c>
      <x:c r="K97" t="s">
        <x:v>1345</x:v>
      </x:c>
      <x:c r="L97" t="str">
        <x:v>已验收通过</x:v>
      </x:c>
    </x:row>
    <x:row r="98">
      <x:c r="A98" s="2" t="s">
        <x:v>1347</x:v>
      </x:c>
      <x:c r="B98" t="s">
        <x:v>515</x:v>
      </x:c>
      <x:c r="C98" t="s">
        <x:v>1086</x:v>
      </x:c>
      <x:c r="D98" t="s">
        <x:v>1340</x:v>
      </x:c>
      <x:c r="E98" s="26">
        <x:v>4748.0487999999996</x:v>
      </x:c>
      <x:c r="F98" t="s">
        <x:v>1174</x:v>
      </x:c>
      <x:c r="G98" t="s">
        <x:v>893</x:v>
      </x:c>
      <x:c r="H98" t="s">
        <x:v>515</x:v>
      </x:c>
      <x:c r="I98" t="s">
        <x:v>1175</x:v>
      </x:c>
      <x:c r="J98" t="s">
        <x:v>1176</x:v>
      </x:c>
      <x:c r="L98" t="str">
        <x:v>已验收通过</x:v>
      </x:c>
    </x:row>
    <x:row r="99">
      <x:c r="A99" s="2" t="s">
        <x:v>1348</x:v>
      </x:c>
      <x:c r="B99" t="s">
        <x:v>515</x:v>
      </x:c>
      <x:c r="C99" t="s">
        <x:v>1086</x:v>
      </x:c>
      <x:c r="D99" t="s">
        <x:v>1199</x:v>
      </x:c>
      <x:c r="E99" s="26">
        <x:v>4883.7074000000002</x:v>
      </x:c>
      <x:c r="F99" t="s">
        <x:v>1174</x:v>
      </x:c>
      <x:c r="G99" t="s">
        <x:v>893</x:v>
      </x:c>
      <x:c r="H99" t="s">
        <x:v>515</x:v>
      </x:c>
      <x:c r="I99" t="s">
        <x:v>1175</x:v>
      </x:c>
      <x:c r="J99" t="s">
        <x:v>1176</x:v>
      </x:c>
      <x:c r="L99" t="str">
        <x:v>已验收通过</x:v>
      </x:c>
    </x:row>
    <x:row r="100">
      <x:c r="A100" s="2" t="s">
        <x:v>1349</x:v>
      </x:c>
      <x:c r="B100" t="s">
        <x:v>515</x:v>
      </x:c>
      <x:c r="C100" t="s">
        <x:v>1086</x:v>
      </x:c>
      <x:c r="D100" t="s">
        <x:v>1276</x:v>
      </x:c>
      <x:c r="E100" s="26">
        <x:v>5000</x:v>
      </x:c>
      <x:c r="F100" t="s">
        <x:v>1174</x:v>
      </x:c>
      <x:c r="G100" t="s">
        <x:v>858</x:v>
      </x:c>
      <x:c r="H100" t="s">
        <x:v>515</x:v>
      </x:c>
      <x:c r="I100" t="s">
        <x:v>1175</x:v>
      </x:c>
      <x:c r="J100" t="s">
        <x:v>1176</x:v>
      </x:c>
      <x:c r="L100" t="str">
        <x:v>已验收通过</x:v>
      </x:c>
    </x:row>
    <x:row r="101">
      <x:c r="A101" s="2" t="s">
        <x:v>1350</x:v>
      </x:c>
      <x:c r="B101" t="s">
        <x:v>515</x:v>
      </x:c>
      <x:c r="C101" t="s">
        <x:v>1086</x:v>
      </x:c>
      <x:c r="D101" t="s">
        <x:v>854</x:v>
      </x:c>
      <x:c r="E101" s="26">
        <x:v>968990</x:v>
      </x:c>
      <x:c r="F101" t="s">
        <x:v>1235</x:v>
      </x:c>
      <x:c r="G101" t="s">
        <x:v>858</x:v>
      </x:c>
      <x:c r="H101" t="s">
        <x:v>515</x:v>
      </x:c>
      <x:c r="I101" t="s">
        <x:v>1175</x:v>
      </x:c>
      <x:c r="J101" t="s">
        <x:v>1176</x:v>
      </x:c>
      <x:c r="L101" t="str">
        <x:v>已验收通过</x:v>
      </x:c>
    </x:row>
    <x:row r="102">
      <x:c r="A102" s="2" t="s">
        <x:v>1351</x:v>
      </x:c>
      <x:c r="B102" t="s">
        <x:v>515</x:v>
      </x:c>
      <x:c r="C102" t="s">
        <x:v>1086</x:v>
      </x:c>
      <x:c r="D102" t="s">
        <x:v>1276</x:v>
      </x:c>
      <x:c r="E102" s="26">
        <x:v>2000</x:v>
      </x:c>
      <x:c r="F102" t="s">
        <x:v>1174</x:v>
      </x:c>
      <x:c r="G102" t="s">
        <x:v>863</x:v>
      </x:c>
      <x:c r="H102" t="s">
        <x:v>515</x:v>
      </x:c>
      <x:c r="I102" t="s">
        <x:v>1175</x:v>
      </x:c>
      <x:c r="J102" t="s">
        <x:v>1176</x:v>
      </x:c>
      <x:c r="L102" t="str">
        <x:v>已验收通过</x:v>
      </x:c>
    </x:row>
    <x:row r="103">
      <x:c r="A103" s="2" t="s">
        <x:v>1352</x:v>
      </x:c>
      <x:c r="B103" t="s">
        <x:v>515</x:v>
      </x:c>
      <x:c r="C103" t="s">
        <x:v>1086</x:v>
      </x:c>
      <x:c r="D103" t="s">
        <x:v>854</x:v>
      </x:c>
      <x:c r="E103" s="26">
        <x:v>387596</x:v>
      </x:c>
      <x:c r="F103" t="s">
        <x:v>1235</x:v>
      </x:c>
      <x:c r="G103" t="s">
        <x:v>863</x:v>
      </x:c>
      <x:c r="H103" t="s">
        <x:v>515</x:v>
      </x:c>
      <x:c r="I103" t="s">
        <x:v>1175</x:v>
      </x:c>
      <x:c r="J103" t="s">
        <x:v>1176</x:v>
      </x:c>
      <x:c r="L103" t="str">
        <x:v>已验收通过</x:v>
      </x:c>
    </x:row>
    <x:row r="104">
      <x:c r="A104" s="2" t="s">
        <x:v>1353</x:v>
      </x:c>
      <x:c r="B104" t="s">
        <x:v>529</x:v>
      </x:c>
      <x:c r="C104" t="s">
        <x:v>1092</x:v>
      </x:c>
      <x:c r="D104" t="s">
        <x:v>1266</x:v>
      </x:c>
      <x:c r="E104" s="26">
        <x:v>480000</x:v>
      </x:c>
      <x:c r="F104" t="s">
        <x:v>1235</x:v>
      </x:c>
      <x:c r="G104" t="s">
        <x:v>1354</x:v>
      </x:c>
      <x:c r="H104" t="s">
        <x:v>529</x:v>
      </x:c>
      <x:c r="I104" t="s">
        <x:v>1175</x:v>
      </x:c>
      <x:c r="J104" t="s">
        <x:v>1176</x:v>
      </x:c>
      <x:c r="K104" t="s">
        <x:v>1241</x:v>
      </x:c>
      <x:c r="L104" t="str">
        <x:v>已验收通过</x:v>
      </x:c>
    </x:row>
    <x:row r="105">
      <x:c r="A105" s="2" t="s">
        <x:v>1355</x:v>
      </x:c>
      <x:c r="B105" t="s">
        <x:v>529</x:v>
      </x:c>
      <x:c r="C105" t="s">
        <x:v>1092</x:v>
      </x:c>
      <x:c r="D105" t="s">
        <x:v>1273</x:v>
      </x:c>
      <x:c r="E105" s="26">
        <x:v>2476.8000000000002</x:v>
      </x:c>
      <x:c r="F105" t="s">
        <x:v>1174</x:v>
      </x:c>
      <x:c r="G105" t="s">
        <x:v>1354</x:v>
      </x:c>
      <x:c r="H105" t="s">
        <x:v>529</x:v>
      </x:c>
      <x:c r="I105" t="s">
        <x:v>1175</x:v>
      </x:c>
      <x:c r="J105" t="s">
        <x:v>1176</x:v>
      </x:c>
      <x:c r="K105" t="s">
        <x:v>1241</x:v>
      </x:c>
      <x:c r="L105" t="str">
        <x:v>已验收通过</x:v>
      </x:c>
    </x:row>
    <x:row r="106">
      <x:c r="A106" s="2" t="s">
        <x:v>1356</x:v>
      </x:c>
      <x:c r="B106" t="s">
        <x:v>529</x:v>
      </x:c>
      <x:c r="C106" t="s">
        <x:v>1092</x:v>
      </x:c>
      <x:c r="D106" t="s">
        <x:v>1266</x:v>
      </x:c>
      <x:c r="E106" s="26">
        <x:v>484495</x:v>
      </x:c>
      <x:c r="F106" t="s">
        <x:v>1235</x:v>
      </x:c>
      <x:c r="G106" t="s">
        <x:v>1357</x:v>
      </x:c>
      <x:c r="H106" t="s">
        <x:v>529</x:v>
      </x:c>
      <x:c r="I106" t="s">
        <x:v>1175</x:v>
      </x:c>
      <x:c r="J106" t="s">
        <x:v>1176</x:v>
      </x:c>
      <x:c r="K106" t="s">
        <x:v>1241</x:v>
      </x:c>
      <x:c r="L106" t="str">
        <x:v>已验收通过</x:v>
      </x:c>
    </x:row>
    <x:row r="107">
      <x:c r="A107" s="2" t="s">
        <x:v>1358</x:v>
      </x:c>
      <x:c r="B107" t="s">
        <x:v>529</x:v>
      </x:c>
      <x:c r="C107" t="s">
        <x:v>1092</x:v>
      </x:c>
      <x:c r="D107" t="s">
        <x:v>1273</x:v>
      </x:c>
      <x:c r="E107" s="26">
        <x:v>2499.9899999999998</x:v>
      </x:c>
      <x:c r="F107" t="s">
        <x:v>1174</x:v>
      </x:c>
      <x:c r="G107" t="s">
        <x:v>1357</x:v>
      </x:c>
      <x:c r="H107" t="s">
        <x:v>529</x:v>
      </x:c>
      <x:c r="I107" t="s">
        <x:v>1175</x:v>
      </x:c>
      <x:c r="J107" t="s">
        <x:v>1176</x:v>
      </x:c>
      <x:c r="K107" t="s">
        <x:v>1241</x:v>
      </x:c>
      <x:c r="L107" t="str">
        <x:v>已验收通过</x:v>
      </x:c>
    </x:row>
    <x:row r="108">
      <x:c r="A108" s="2" t="s">
        <x:v>1359</x:v>
      </x:c>
      <x:c r="B108" t="s">
        <x:v>529</x:v>
      </x:c>
      <x:c r="C108" t="s">
        <x:v>1092</x:v>
      </x:c>
      <x:c r="D108" t="s">
        <x:v>1266</x:v>
      </x:c>
      <x:c r="E108" s="26">
        <x:v>116280</x:v>
      </x:c>
      <x:c r="F108" t="s">
        <x:v>1235</x:v>
      </x:c>
      <x:c r="G108" t="s">
        <x:v>1360</x:v>
      </x:c>
      <x:c r="H108" t="s">
        <x:v>529</x:v>
      </x:c>
      <x:c r="I108" t="s">
        <x:v>1175</x:v>
      </x:c>
      <x:c r="J108" t="s">
        <x:v>1176</x:v>
      </x:c>
      <x:c r="K108" t="s">
        <x:v>1241</x:v>
      </x:c>
      <x:c r="L108" t="str">
        <x:v>已验收通过</x:v>
      </x:c>
    </x:row>
    <x:row r="109">
      <x:c r="A109" s="2" t="s">
        <x:v>1361</x:v>
      </x:c>
      <x:c r="B109" t="s">
        <x:v>529</x:v>
      </x:c>
      <x:c r="C109" t="s">
        <x:v>1092</x:v>
      </x:c>
      <x:c r="D109" t="s">
        <x:v>1273</x:v>
      </x:c>
      <x:c r="E109" s="26">
        <x:v>600</x:v>
      </x:c>
      <x:c r="F109" t="s">
        <x:v>1174</x:v>
      </x:c>
      <x:c r="G109" t="s">
        <x:v>1360</x:v>
      </x:c>
      <x:c r="H109" t="s">
        <x:v>529</x:v>
      </x:c>
      <x:c r="I109" t="s">
        <x:v>1175</x:v>
      </x:c>
      <x:c r="J109" t="s">
        <x:v>1176</x:v>
      </x:c>
      <x:c r="K109" t="s">
        <x:v>1241</x:v>
      </x:c>
      <x:c r="L109" t="str">
        <x:v>已验收通过</x:v>
      </x:c>
    </x:row>
    <x:row r="110">
      <x:c r="A110" s="2" t="s">
        <x:v>1362</x:v>
      </x:c>
      <x:c r="B110" t="s">
        <x:v>529</x:v>
      </x:c>
      <x:c r="C110" t="s">
        <x:v>1092</x:v>
      </x:c>
      <x:c r="D110" t="s">
        <x:v>1266</x:v>
      </x:c>
      <x:c r="E110" s="26">
        <x:v>85000</x:v>
      </x:c>
      <x:c r="F110" t="s">
        <x:v>1235</x:v>
      </x:c>
      <x:c r="G110" t="s">
        <x:v>1363</x:v>
      </x:c>
      <x:c r="H110" t="s">
        <x:v>529</x:v>
      </x:c>
      <x:c r="I110" t="s">
        <x:v>1175</x:v>
      </x:c>
      <x:c r="J110" t="s">
        <x:v>1176</x:v>
      </x:c>
      <x:c r="K110" t="s">
        <x:v>1241</x:v>
      </x:c>
      <x:c r="L110" t="str">
        <x:v>已验收通过</x:v>
      </x:c>
    </x:row>
    <x:row r="111">
      <x:c r="A111" s="2" t="s">
        <x:v>1364</x:v>
      </x:c>
      <x:c r="B111" t="s">
        <x:v>529</x:v>
      </x:c>
      <x:c r="C111" t="s">
        <x:v>1092</x:v>
      </x:c>
      <x:c r="D111" t="s">
        <x:v>1273</x:v>
      </x:c>
      <x:c r="E111" s="26">
        <x:v>438.6</x:v>
      </x:c>
      <x:c r="F111" t="s">
        <x:v>1174</x:v>
      </x:c>
      <x:c r="G111" t="s">
        <x:v>1363</x:v>
      </x:c>
      <x:c r="H111" t="s">
        <x:v>529</x:v>
      </x:c>
      <x:c r="I111" t="s">
        <x:v>1175</x:v>
      </x:c>
      <x:c r="J111" t="s">
        <x:v>1176</x:v>
      </x:c>
      <x:c r="K111" t="s">
        <x:v>1241</x:v>
      </x:c>
      <x:c r="L111" t="str">
        <x:v>已验收通过</x:v>
      </x:c>
    </x:row>
    <x:row r="112">
      <x:c r="A112" s="2" t="s">
        <x:v>1365</x:v>
      </x:c>
      <x:c r="B112" t="s">
        <x:v>529</x:v>
      </x:c>
      <x:c r="C112" t="s">
        <x:v>1092</x:v>
      </x:c>
      <x:c r="D112" t="s">
        <x:v>1266</x:v>
      </x:c>
      <x:c r="E112" s="26">
        <x:v>85000</x:v>
      </x:c>
      <x:c r="F112" t="s">
        <x:v>1235</x:v>
      </x:c>
      <x:c r="G112" t="s">
        <x:v>1366</x:v>
      </x:c>
      <x:c r="H112" t="s">
        <x:v>529</x:v>
      </x:c>
      <x:c r="I112" t="s">
        <x:v>1175</x:v>
      </x:c>
      <x:c r="J112" t="s">
        <x:v>1176</x:v>
      </x:c>
      <x:c r="K112" t="s">
        <x:v>1241</x:v>
      </x:c>
      <x:c r="L112" t="str">
        <x:v>已验收通过</x:v>
      </x:c>
    </x:row>
    <x:row r="113">
      <x:c r="A113" s="2" t="s">
        <x:v>1367</x:v>
      </x:c>
      <x:c r="B113" t="s">
        <x:v>529</x:v>
      </x:c>
      <x:c r="C113" t="s">
        <x:v>1092</x:v>
      </x:c>
      <x:c r="D113" t="s">
        <x:v>1273</x:v>
      </x:c>
      <x:c r="E113" s="26">
        <x:v>438.6</x:v>
      </x:c>
      <x:c r="F113" t="s">
        <x:v>1174</x:v>
      </x:c>
      <x:c r="G113" t="s">
        <x:v>1366</x:v>
      </x:c>
      <x:c r="H113" t="s">
        <x:v>529</x:v>
      </x:c>
      <x:c r="I113" t="s">
        <x:v>1175</x:v>
      </x:c>
      <x:c r="J113" t="s">
        <x:v>1176</x:v>
      </x:c>
      <x:c r="K113" t="s">
        <x:v>1241</x:v>
      </x:c>
      <x:c r="L113" t="str">
        <x:v>已验收通过</x:v>
      </x:c>
    </x:row>
    <x:row r="114">
      <x:c r="A114" s="2" t="s">
        <x:v>1368</x:v>
      </x:c>
      <x:c r="B114" t="s">
        <x:v>529</x:v>
      </x:c>
      <x:c r="C114" t="s">
        <x:v>1092</x:v>
      </x:c>
      <x:c r="D114" t="s">
        <x:v>1266</x:v>
      </x:c>
      <x:c r="E114" s="26">
        <x:v>85000</x:v>
      </x:c>
      <x:c r="F114" t="s">
        <x:v>1235</x:v>
      </x:c>
      <x:c r="G114" t="s">
        <x:v>1369</x:v>
      </x:c>
      <x:c r="H114" t="s">
        <x:v>529</x:v>
      </x:c>
      <x:c r="I114" t="s">
        <x:v>1175</x:v>
      </x:c>
      <x:c r="J114" t="s">
        <x:v>1176</x:v>
      </x:c>
      <x:c r="K114" t="s">
        <x:v>1241</x:v>
      </x:c>
      <x:c r="L114" t="str">
        <x:v>已验收通过</x:v>
      </x:c>
    </x:row>
    <x:row r="115">
      <x:c r="A115" s="2" t="s">
        <x:v>1370</x:v>
      </x:c>
      <x:c r="B115" t="s">
        <x:v>529</x:v>
      </x:c>
      <x:c r="C115" t="s">
        <x:v>1092</x:v>
      </x:c>
      <x:c r="D115" t="s">
        <x:v>1273</x:v>
      </x:c>
      <x:c r="E115" s="26">
        <x:v>438.6</x:v>
      </x:c>
      <x:c r="F115" t="s">
        <x:v>1174</x:v>
      </x:c>
      <x:c r="G115" t="s">
        <x:v>1369</x:v>
      </x:c>
      <x:c r="H115" t="s">
        <x:v>529</x:v>
      </x:c>
      <x:c r="I115" t="s">
        <x:v>1175</x:v>
      </x:c>
      <x:c r="J115" t="s">
        <x:v>1176</x:v>
      </x:c>
      <x:c r="K115" t="s">
        <x:v>1241</x:v>
      </x:c>
      <x:c r="L115" t="str">
        <x:v>已验收通过</x:v>
      </x:c>
    </x:row>
    <x:row r="116">
      <x:c r="A116" s="2" t="s">
        <x:v>1371</x:v>
      </x:c>
      <x:c r="B116" t="s">
        <x:v>529</x:v>
      </x:c>
      <x:c r="C116" t="s">
        <x:v>1092</x:v>
      </x:c>
      <x:c r="D116" t="s">
        <x:v>1266</x:v>
      </x:c>
      <x:c r="E116" s="26">
        <x:v>38760</x:v>
      </x:c>
      <x:c r="F116" t="s">
        <x:v>1235</x:v>
      </x:c>
      <x:c r="G116" t="s">
        <x:v>1372</x:v>
      </x:c>
      <x:c r="H116" t="s">
        <x:v>529</x:v>
      </x:c>
      <x:c r="I116" t="s">
        <x:v>1175</x:v>
      </x:c>
      <x:c r="J116" t="s">
        <x:v>1176</x:v>
      </x:c>
      <x:c r="K116" t="s">
        <x:v>1241</x:v>
      </x:c>
      <x:c r="L116" t="str">
        <x:v>已验收通过</x:v>
      </x:c>
    </x:row>
    <x:row r="117">
      <x:c r="A117" s="2" t="s">
        <x:v>1373</x:v>
      </x:c>
      <x:c r="B117" t="s">
        <x:v>529</x:v>
      </x:c>
      <x:c r="C117" t="s">
        <x:v>1092</x:v>
      </x:c>
      <x:c r="D117" t="s">
        <x:v>1273</x:v>
      </x:c>
      <x:c r="E117" s="26">
        <x:v>200</x:v>
      </x:c>
      <x:c r="F117" t="s">
        <x:v>1174</x:v>
      </x:c>
      <x:c r="G117" t="s">
        <x:v>1372</x:v>
      </x:c>
      <x:c r="H117" t="s">
        <x:v>529</x:v>
      </x:c>
      <x:c r="I117" t="s">
        <x:v>1175</x:v>
      </x:c>
      <x:c r="J117" t="s">
        <x:v>1176</x:v>
      </x:c>
      <x:c r="K117" t="s">
        <x:v>1241</x:v>
      </x:c>
      <x:c r="L117" t="str">
        <x:v>已验收通过</x:v>
      </x:c>
    </x:row>
    <x:row r="118">
      <x:c r="A118" s="2" t="s">
        <x:v>1374</x:v>
      </x:c>
      <x:c r="B118" t="s">
        <x:v>529</x:v>
      </x:c>
      <x:c r="C118" t="s">
        <x:v>1092</x:v>
      </x:c>
      <x:c r="D118" t="s">
        <x:v>1266</x:v>
      </x:c>
      <x:c r="E118" s="26">
        <x:v>85000</x:v>
      </x:c>
      <x:c r="F118" t="s">
        <x:v>1235</x:v>
      </x:c>
      <x:c r="G118" t="s">
        <x:v>1375</x:v>
      </x:c>
      <x:c r="H118" t="s">
        <x:v>529</x:v>
      </x:c>
      <x:c r="I118" t="s">
        <x:v>1175</x:v>
      </x:c>
      <x:c r="J118" t="s">
        <x:v>1176</x:v>
      </x:c>
      <x:c r="K118" t="s">
        <x:v>1241</x:v>
      </x:c>
      <x:c r="L118" t="str">
        <x:v>已验收通过</x:v>
      </x:c>
    </x:row>
    <x:row r="119">
      <x:c r="A119" s="2" t="s">
        <x:v>1376</x:v>
      </x:c>
      <x:c r="B119" t="s">
        <x:v>529</x:v>
      </x:c>
      <x:c r="C119" t="s">
        <x:v>1092</x:v>
      </x:c>
      <x:c r="D119" t="s">
        <x:v>1273</x:v>
      </x:c>
      <x:c r="E119" s="26">
        <x:v>438.6</x:v>
      </x:c>
      <x:c r="F119" t="s">
        <x:v>1174</x:v>
      </x:c>
      <x:c r="G119" t="s">
        <x:v>1375</x:v>
      </x:c>
      <x:c r="H119" t="s">
        <x:v>529</x:v>
      </x:c>
      <x:c r="I119" t="s">
        <x:v>1175</x:v>
      </x:c>
      <x:c r="J119" t="s">
        <x:v>1176</x:v>
      </x:c>
      <x:c r="K119" t="s">
        <x:v>1241</x:v>
      </x:c>
      <x:c r="L119" t="str">
        <x:v>已验收通过</x:v>
      </x:c>
    </x:row>
    <x:row r="120">
      <x:c r="A120" s="2" t="s">
        <x:v>1377</x:v>
      </x:c>
      <x:c r="B120" t="s">
        <x:v>529</x:v>
      </x:c>
      <x:c r="C120" t="s">
        <x:v>1092</x:v>
      </x:c>
      <x:c r="D120" t="s">
        <x:v>1266</x:v>
      </x:c>
      <x:c r="E120" s="26">
        <x:v>50000</x:v>
      </x:c>
      <x:c r="F120" t="s">
        <x:v>1235</x:v>
      </x:c>
      <x:c r="G120" t="s">
        <x:v>1378</x:v>
      </x:c>
      <x:c r="H120" t="s">
        <x:v>529</x:v>
      </x:c>
      <x:c r="I120" t="s">
        <x:v>1175</x:v>
      </x:c>
      <x:c r="J120" t="s">
        <x:v>1176</x:v>
      </x:c>
      <x:c r="K120" t="s">
        <x:v>1241</x:v>
      </x:c>
      <x:c r="L120" t="str">
        <x:v>已验收通过</x:v>
      </x:c>
    </x:row>
    <x:row r="121">
      <x:c r="A121" s="2" t="s">
        <x:v>1379</x:v>
      </x:c>
      <x:c r="B121" t="s">
        <x:v>529</x:v>
      </x:c>
      <x:c r="C121" t="s">
        <x:v>1092</x:v>
      </x:c>
      <x:c r="D121" t="s">
        <x:v>1273</x:v>
      </x:c>
      <x:c r="E121" s="26">
        <x:v>258</x:v>
      </x:c>
      <x:c r="F121" t="s">
        <x:v>1174</x:v>
      </x:c>
      <x:c r="G121" t="s">
        <x:v>1378</x:v>
      </x:c>
      <x:c r="H121" t="s">
        <x:v>529</x:v>
      </x:c>
      <x:c r="I121" t="s">
        <x:v>1175</x:v>
      </x:c>
      <x:c r="J121" t="s">
        <x:v>1176</x:v>
      </x:c>
      <x:c r="K121" t="s">
        <x:v>1241</x:v>
      </x:c>
      <x:c r="L121" t="str">
        <x:v>已验收通过</x:v>
      </x:c>
    </x:row>
    <x:row r="122">
      <x:c r="A122" s="2" t="s">
        <x:v>1380</x:v>
      </x:c>
      <x:c r="B122" t="s">
        <x:v>529</x:v>
      </x:c>
      <x:c r="C122" t="s">
        <x:v>1092</x:v>
      </x:c>
      <x:c r="D122" t="s">
        <x:v>1266</x:v>
      </x:c>
      <x:c r="E122" s="26">
        <x:v>150000</x:v>
      </x:c>
      <x:c r="F122" t="s">
        <x:v>1235</x:v>
      </x:c>
      <x:c r="G122" t="s">
        <x:v>1381</x:v>
      </x:c>
      <x:c r="H122" t="s">
        <x:v>529</x:v>
      </x:c>
      <x:c r="I122" t="s">
        <x:v>1175</x:v>
      </x:c>
      <x:c r="J122" t="s">
        <x:v>1176</x:v>
      </x:c>
      <x:c r="K122" t="s">
        <x:v>1241</x:v>
      </x:c>
      <x:c r="L122" t="str">
        <x:v>已验收通过</x:v>
      </x:c>
    </x:row>
    <x:row r="123">
      <x:c r="A123" s="2" t="s">
        <x:v>1382</x:v>
      </x:c>
      <x:c r="B123" t="s">
        <x:v>529</x:v>
      </x:c>
      <x:c r="C123" t="s">
        <x:v>1092</x:v>
      </x:c>
      <x:c r="D123" t="s">
        <x:v>1273</x:v>
      </x:c>
      <x:c r="E123" s="26">
        <x:v>774</x:v>
      </x:c>
      <x:c r="F123" t="s">
        <x:v>1174</x:v>
      </x:c>
      <x:c r="G123" t="s">
        <x:v>1381</x:v>
      </x:c>
      <x:c r="H123" t="s">
        <x:v>529</x:v>
      </x:c>
      <x:c r="I123" t="s">
        <x:v>1175</x:v>
      </x:c>
      <x:c r="J123" t="s">
        <x:v>1176</x:v>
      </x:c>
      <x:c r="K123" t="s">
        <x:v>1241</x:v>
      </x:c>
      <x:c r="L123" t="str">
        <x:v>已验收通过</x:v>
      </x:c>
    </x:row>
    <x:row r="124">
      <x:c r="A124" s="2" t="s">
        <x:v>1383</x:v>
      </x:c>
      <x:c r="B124" t="s">
        <x:v>529</x:v>
      </x:c>
      <x:c r="C124" t="s">
        <x:v>1092</x:v>
      </x:c>
      <x:c r="D124" t="s">
        <x:v>1384</x:v>
      </x:c>
      <x:c r="E124" s="26">
        <x:v>1659535</x:v>
      </x:c>
      <x:c r="F124" t="s">
        <x:v>1235</x:v>
      </x:c>
      <x:c r="G124" t="s">
        <x:v>1385</x:v>
      </x:c>
      <x:c r="H124" t="s">
        <x:v>529</x:v>
      </x:c>
      <x:c r="I124" t="s">
        <x:v>1175</x:v>
      </x:c>
      <x:c r="J124" t="s">
        <x:v>1176</x:v>
      </x:c>
      <x:c r="K124" t="s">
        <x:v>1386</x:v>
      </x:c>
      <x:c r="L124" t="str">
        <x:v>已验收通过</x:v>
      </x:c>
    </x:row>
    <x:row r="125">
      <x:c r="A125" s="2" t="s">
        <x:v>1387</x:v>
      </x:c>
      <x:c r="B125" t="s">
        <x:v>312</x:v>
      </x:c>
      <x:c r="C125" t="s">
        <x:v>1096</x:v>
      </x:c>
      <x:c r="D125" t="s">
        <x:v>1317</x:v>
      </x:c>
      <x:c r="E125" s="26">
        <x:v>51.6</x:v>
      </x:c>
      <x:c r="F125" t="s">
        <x:v>1318</x:v>
      </x:c>
      <x:c r="G125" t="s">
        <x:v>1319</x:v>
      </x:c>
      <x:c r="H125" t="s">
        <x:v>312</x:v>
      </x:c>
      <x:c r="I125" t="s">
        <x:v>1175</x:v>
      </x:c>
      <x:c r="J125" t="s">
        <x:v>1176</x:v>
      </x:c>
      <x:c r="K125" t="s">
        <x:v>1345</x:v>
      </x:c>
      <x:c r="L125" t="str">
        <x:v>已验收通过</x:v>
      </x:c>
    </x:row>
    <x:row r="126">
      <x:c r="A126" s="2" t="s">
        <x:v>1388</x:v>
      </x:c>
      <x:c r="B126" t="s">
        <x:v>312</x:v>
      </x:c>
      <x:c r="C126" t="s">
        <x:v>1096</x:v>
      </x:c>
      <x:c r="D126" t="s">
        <x:v>1322</x:v>
      </x:c>
      <x:c r="E126" s="26">
        <x:v>25.2</x:v>
      </x:c>
      <x:c r="F126" t="s">
        <x:v>1323</x:v>
      </x:c>
      <x:c r="G126" t="s">
        <x:v>893</x:v>
      </x:c>
      <x:c r="H126" t="s">
        <x:v>312</x:v>
      </x:c>
      <x:c r="I126" t="s">
        <x:v>1175</x:v>
      </x:c>
      <x:c r="J126" t="s">
        <x:v>1176</x:v>
      </x:c>
      <x:c r="K126" t="s">
        <x:v>1345</x:v>
      </x:c>
      <x:c r="L126" t="str">
        <x:v>已验收通过</x:v>
      </x:c>
    </x:row>
    <x:row r="127">
      <x:c r="A127" s="2" t="s">
        <x:v>1389</x:v>
      </x:c>
      <x:c r="B127" t="s">
        <x:v>359</x:v>
      </x:c>
      <x:c r="C127" t="s">
        <x:v>1116</x:v>
      </x:c>
      <x:c r="D127" t="s">
        <x:v>1390</x:v>
      </x:c>
      <x:c r="E127" s="26" t="s">
        <x:v>1391</x:v>
      </x:c>
      <x:c r="F127" t="s">
        <x:v>1392</x:v>
      </x:c>
      <x:c r="G127" t="s">
        <x:v>1393</x:v>
      </x:c>
      <x:c r="H127" t="s">
        <x:v>359</x:v>
      </x:c>
      <x:c r="I127" t="s">
        <x:v>1175</x:v>
      </x:c>
      <x:c r="J127" t="s">
        <x:v>1176</x:v>
      </x:c>
      <x:c r="K127" t="s">
        <x:v>1394</x:v>
      </x:c>
      <x:c r="L127" t="str">
        <x:v>已验收通过</x:v>
      </x:c>
    </x:row>
    <x:row r="128">
      <x:c r="A128" s="2" t="s">
        <x:v>1395</x:v>
      </x:c>
      <x:c r="B128" t="s">
        <x:v>359</x:v>
      </x:c>
      <x:c r="C128" t="s">
        <x:v>1116</x:v>
      </x:c>
      <x:c r="D128" t="s">
        <x:v>1396</x:v>
      </x:c>
      <x:c r="E128" s="26">
        <x:v>3</x:v>
      </x:c>
      <x:c r="F128" t="s">
        <x:v>1323</x:v>
      </x:c>
      <x:c r="G128" t="s">
        <x:v>893</x:v>
      </x:c>
      <x:c r="H128" t="s">
        <x:v>359</x:v>
      </x:c>
      <x:c r="I128" t="s">
        <x:v>1175</x:v>
      </x:c>
      <x:c r="J128" t="s">
        <x:v>1176</x:v>
      </x:c>
      <x:c r="K128" t="s">
        <x:v>1397</x:v>
      </x:c>
      <x:c r="L128" t="str">
        <x:v>已验收通过</x:v>
      </x:c>
    </x:row>
    <x:row r="129">
      <x:c r="A129" s="2" t="s">
        <x:v>1398</x:v>
      </x:c>
      <x:c r="B129" t="s">
        <x:v>381</x:v>
      </x:c>
      <x:c r="C129" t="s">
        <x:v>1123</x:v>
      </x:c>
      <x:c r="D129" t="s">
        <x:v>1390</x:v>
      </x:c>
      <x:c r="E129" s="26" t="s">
        <x:v>1399</x:v>
      </x:c>
      <x:c r="F129" t="s">
        <x:v>1392</x:v>
      </x:c>
      <x:c r="G129" t="s">
        <x:v>1400</x:v>
      </x:c>
      <x:c r="H129" t="s">
        <x:v>381</x:v>
      </x:c>
      <x:c r="I129" t="s">
        <x:v>1175</x:v>
      </x:c>
      <x:c r="J129" t="s">
        <x:v>1176</x:v>
      </x:c>
      <x:c r="K129" t="s">
        <x:v>1394</x:v>
      </x:c>
      <x:c r="L129" t="str">
        <x:v>已验收通过</x:v>
      </x:c>
    </x:row>
    <x:row r="130">
      <x:c r="A130" s="2" t="s">
        <x:v>1401</x:v>
      </x:c>
      <x:c r="B130" t="s">
        <x:v>381</x:v>
      </x:c>
      <x:c r="C130" t="s">
        <x:v>1128</x:v>
      </x:c>
      <x:c r="D130" t="s">
        <x:v>1402</x:v>
      </x:c>
      <x:c r="E130" s="26">
        <x:v>4</x:v>
      </x:c>
      <x:c r="F130" t="s">
        <x:v>1323</x:v>
      </x:c>
      <x:c r="G130" t="s">
        <x:v>893</x:v>
      </x:c>
      <x:c r="H130" t="s">
        <x:v>381</x:v>
      </x:c>
      <x:c r="I130" t="s">
        <x:v>1175</x:v>
      </x:c>
      <x:c r="J130" t="s">
        <x:v>1176</x:v>
      </x:c>
      <x:c r="L130" t="str">
        <x:v>已验收通过</x:v>
      </x:c>
    </x:row>
    <x:row r="131">
      <x:c r="A131" s="2" t="s">
        <x:v>1403</x:v>
      </x:c>
      <x:c r="B131" t="s">
        <x:v>381</x:v>
      </x:c>
      <x:c r="C131" t="s">
        <x:v>1128</x:v>
      </x:c>
      <x:c r="D131" t="s">
        <x:v>1404</x:v>
      </x:c>
      <x:c r="E131" s="26">
        <x:v>4</x:v>
      </x:c>
      <x:c r="F131" t="s">
        <x:v>1184</x:v>
      </x:c>
      <x:c r="G131" t="s">
        <x:v>893</x:v>
      </x:c>
      <x:c r="H131" t="s">
        <x:v>381</x:v>
      </x:c>
      <x:c r="I131" t="s">
        <x:v>1175</x:v>
      </x:c>
      <x:c r="J131" t="s">
        <x:v>1176</x:v>
      </x:c>
      <x:c r="K131" t="s">
        <x:v>1397</x:v>
      </x:c>
      <x:c r="L131" t="str">
        <x:v>已验收通过</x:v>
      </x:c>
    </x:row>
    <x:row r="132">
      <x:c r="A132" s="2" t="s">
        <x:v>1405</x:v>
      </x:c>
      <x:c r="B132" t="s">
        <x:v>381</x:v>
      </x:c>
      <x:c r="C132" t="s">
        <x:v>1128</x:v>
      </x:c>
      <x:c r="D132" t="s">
        <x:v>1406</x:v>
      </x:c>
      <x:c r="E132" s="26">
        <x:v>1600</x:v>
      </x:c>
      <x:c r="F132" t="s">
        <x:v>1174</x:v>
      </x:c>
      <x:c r="G132" t="s">
        <x:v>893</x:v>
      </x:c>
      <x:c r="H132" t="s">
        <x:v>381</x:v>
      </x:c>
      <x:c r="I132" t="s">
        <x:v>1175</x:v>
      </x:c>
      <x:c r="J132" t="s">
        <x:v>1176</x:v>
      </x:c>
      <x:c r="K132" t="s">
        <x:v>1397</x:v>
      </x:c>
      <x:c r="L132" t="str">
        <x:v>已验收通过</x:v>
      </x:c>
    </x:row>
    <x:row r="133">
      <x:c r="A133" s="2" t="s">
        <x:v>1407</x:v>
      </x:c>
      <x:c r="B133" t="s">
        <x:v>381</x:v>
      </x:c>
      <x:c r="C133" t="s">
        <x:v>1128</x:v>
      </x:c>
      <x:c r="D133" t="s">
        <x:v>1408</x:v>
      </x:c>
      <x:c r="E133" s="26">
        <x:v>6</x:v>
      </x:c>
      <x:c r="F133" t="s">
        <x:v>1184</x:v>
      </x:c>
      <x:c r="G133" t="s">
        <x:v>1409</x:v>
      </x:c>
      <x:c r="H133" t="s">
        <x:v>381</x:v>
      </x:c>
      <x:c r="I133" t="s">
        <x:v>1175</x:v>
      </x:c>
      <x:c r="J133" t="s">
        <x:v>1176</x:v>
      </x:c>
      <x:c r="K133" t="s">
        <x:v>1410</x:v>
      </x:c>
      <x:c r="L133" t="str">
        <x:v>已验收通过</x:v>
      </x:c>
    </x:row>
    <x:row r="134">
      <x:c r="A134" s="2" t="s">
        <x:v>1411</x:v>
      </x:c>
      <x:c r="B134" t="s">
        <x:v>381</x:v>
      </x:c>
      <x:c r="C134" t="s">
        <x:v>1131</x:v>
      </x:c>
      <x:c r="D134" t="s">
        <x:v>1412</x:v>
      </x:c>
      <x:c r="E134" s="26">
        <x:v>8</x:v>
      </x:c>
      <x:c r="F134" t="s">
        <x:v>1323</x:v>
      </x:c>
      <x:c r="G134" t="s">
        <x:v>893</x:v>
      </x:c>
      <x:c r="H134" t="s">
        <x:v>381</x:v>
      </x:c>
      <x:c r="I134" t="s">
        <x:v>1175</x:v>
      </x:c>
      <x:c r="J134" t="s">
        <x:v>1176</x:v>
      </x:c>
      <x:c r="K134" t="s">
        <x:v>1397</x:v>
      </x:c>
      <x:c r="L134" t="str">
        <x:v>已验收通过</x:v>
      </x:c>
    </x:row>
    <x:row r="135">
      <x:c r="A135" s="2" t="s">
        <x:v>1413</x:v>
      </x:c>
      <x:c r="B135" t="s">
        <x:v>381</x:v>
      </x:c>
      <x:c r="C135" t="s">
        <x:v>1135</x:v>
      </x:c>
      <x:c r="D135" t="s">
        <x:v>1414</x:v>
      </x:c>
      <x:c r="E135" s="26" t="s">
        <x:v>1415</x:v>
      </x:c>
      <x:c r="F135" t="s">
        <x:v>1392</x:v>
      </x:c>
      <x:c r="G135" t="s">
        <x:v>893</x:v>
      </x:c>
      <x:c r="H135" t="s">
        <x:v>381</x:v>
      </x:c>
      <x:c r="I135" t="s">
        <x:v>1175</x:v>
      </x:c>
      <x:c r="J135" t="s">
        <x:v>1176</x:v>
      </x:c>
      <x:c r="K135" t="s">
        <x:v>1416</x:v>
      </x:c>
      <x:c r="L135" t="str">
        <x:v>已验收通过</x:v>
      </x:c>
    </x:row>
    <x:row r="136">
      <x:c r="A136" s="2" t="s">
        <x:v>1417</x:v>
      </x:c>
      <x:c r="B136" t="s">
        <x:v>381</x:v>
      </x:c>
      <x:c r="C136" t="s">
        <x:v>1135</x:v>
      </x:c>
      <x:c r="D136" t="s">
        <x:v>1418</x:v>
      </x:c>
      <x:c r="E136" s="26">
        <x:v>1</x:v>
      </x:c>
      <x:c r="F136" t="s">
        <x:v>1323</x:v>
      </x:c>
      <x:c r="G136" t="s">
        <x:v>893</x:v>
      </x:c>
      <x:c r="H136" t="s">
        <x:v>381</x:v>
      </x:c>
      <x:c r="I136" t="s">
        <x:v>1175</x:v>
      </x:c>
      <x:c r="J136" t="s">
        <x:v>1176</x:v>
      </x:c>
      <x:c r="K136" t="s">
        <x:v>1397</x:v>
      </x:c>
      <x:c r="L136" t="str">
        <x:v>已验收通过</x:v>
      </x:c>
    </x:row>
    <x:row r="137">
      <x:c r="A137" s="2" t="s">
        <x:v>1419</x:v>
      </x:c>
      <x:c r="B137" t="s">
        <x:v>381</x:v>
      </x:c>
      <x:c r="C137" t="s">
        <x:v>1135</x:v>
      </x:c>
      <x:c r="D137" t="s">
        <x:v>1420</x:v>
      </x:c>
      <x:c r="E137" s="26">
        <x:v>10</x:v>
      </x:c>
      <x:c r="F137" t="s">
        <x:v>1323</x:v>
      </x:c>
      <x:c r="G137" t="s">
        <x:v>893</x:v>
      </x:c>
      <x:c r="H137" t="s">
        <x:v>381</x:v>
      </x:c>
      <x:c r="I137" t="s">
        <x:v>1175</x:v>
      </x:c>
      <x:c r="J137" t="s">
        <x:v>1176</x:v>
      </x:c>
      <x:c r="K137" t="s">
        <x:v>1397</x:v>
      </x:c>
      <x:c r="L137" t="str">
        <x:v>已验收通过</x:v>
      </x:c>
    </x:row>
    <x:row r="138">
      <x:c r="A138" s="2" t="s">
        <x:v>1421</x:v>
      </x:c>
      <x:c r="B138" t="s">
        <x:v>400</x:v>
      </x:c>
      <x:c r="C138" t="s">
        <x:v>1145</x:v>
      </x:c>
      <x:c r="D138" t="s">
        <x:v>1390</x:v>
      </x:c>
      <x:c r="E138" s="26" t="s">
        <x:v>1399</x:v>
      </x:c>
      <x:c r="F138" t="s">
        <x:v>1392</x:v>
      </x:c>
      <x:c r="G138" t="s">
        <x:v>1422</x:v>
      </x:c>
      <x:c r="H138" t="s">
        <x:v>400</x:v>
      </x:c>
      <x:c r="I138" t="s">
        <x:v>1175</x:v>
      </x:c>
      <x:c r="J138" t="s">
        <x:v>1176</x:v>
      </x:c>
      <x:c r="K138" t="s">
        <x:v>1394</x:v>
      </x:c>
      <x:c r="L138" t="str">
        <x:v>已验收通过</x:v>
      </x:c>
    </x:row>
    <x:row r="139">
      <x:c r="A139" s="2" t="s">
        <x:v>1423</x:v>
      </x:c>
      <x:c r="B139" t="s">
        <x:v>400</x:v>
      </x:c>
      <x:c r="C139" t="s">
        <x:v>1145</x:v>
      </x:c>
      <x:c r="D139" t="s">
        <x:v>1424</x:v>
      </x:c>
      <x:c r="E139" s="26">
        <x:v>600000</x:v>
      </x:c>
      <x:c r="F139" t="s">
        <x:v>1174</x:v>
      </x:c>
      <x:c r="G139" t="s">
        <x:v>893</x:v>
      </x:c>
      <x:c r="H139" t="s">
        <x:v>400</x:v>
      </x:c>
      <x:c r="I139" t="s">
        <x:v>1175</x:v>
      </x:c>
      <x:c r="J139" t="s">
        <x:v>1176</x:v>
      </x:c>
      <x:c r="K139" t="s">
        <x:v>1425</x:v>
      </x:c>
      <x:c r="L139" t="str">
        <x:v>已验收通过</x:v>
      </x:c>
    </x:row>
    <x:row r="140">
      <x:c r="A140" s="2" t="s">
        <x:v>1426</x:v>
      </x:c>
      <x:c r="B140" t="s">
        <x:v>400</x:v>
      </x:c>
      <x:c r="C140" t="s">
        <x:v>1149</x:v>
      </x:c>
      <x:c r="D140" t="s">
        <x:v>1427</x:v>
      </x:c>
      <x:c r="E140" s="26">
        <x:v>2000</x:v>
      </x:c>
      <x:c r="F140" t="s">
        <x:v>1174</x:v>
      </x:c>
      <x:c r="G140" t="s">
        <x:v>893</x:v>
      </x:c>
      <x:c r="H140" t="s">
        <x:v>400</x:v>
      </x:c>
      <x:c r="I140" t="s">
        <x:v>1175</x:v>
      </x:c>
      <x:c r="J140" t="s">
        <x:v>1176</x:v>
      </x:c>
      <x:c r="K140" t="s">
        <x:v>1397</x:v>
      </x:c>
      <x:c r="L140" t="str">
        <x:v>已验收通过</x:v>
      </x:c>
    </x:row>
    <x:row r="141">
      <x:c r="A141" s="2"/>
      <x:c r="E141" s="26"/>
    </x:row>
    <x:row r="142">
      <x:c r="A142" s="2"/>
      <x:c r="E142" s="26"/>
    </x:row>
    <x:row r="143">
      <x:c r="A143" s="2"/>
      <x:c r="E143" s="26"/>
    </x:row>
    <x:row r="144">
      <x:c r="A144" s="2"/>
      <x:c r="E144" s="26"/>
    </x:row>
    <x:row r="145">
      <x:c r="A145" s="2"/>
      <x:c r="E145" s="26"/>
    </x:row>
    <x:row r="146">
      <x:c r="A146" s="2"/>
      <x:c r="E146" s="26"/>
    </x:row>
    <x:row r="147">
      <x:c r="A147" s="2"/>
      <x:c r="E147" s="26"/>
    </x:row>
    <x:row r="148">
      <x:c r="A148" s="2"/>
      <x:c r="E148" s="26"/>
    </x:row>
    <x:row r="149">
      <x:c r="A149" s="2"/>
      <x:c r="E149" s="26"/>
    </x:row>
    <x:row r="150">
      <x:c r="A150" s="2"/>
      <x:c r="E150" s="26"/>
    </x:row>
    <x:row r="151">
      <x:c r="A151" s="2"/>
      <x:c r="E151" s="26"/>
    </x:row>
    <x:row r="152">
      <x:c r="A152" s="2"/>
      <x:c r="E152" s="26"/>
    </x:row>
    <x:row r="153">
      <x:c r="A153" s="2"/>
      <x:c r="E153" s="26"/>
    </x:row>
    <x:row r="154">
      <x:c r="A154" s="2"/>
      <x:c r="E154" s="26"/>
    </x:row>
    <x:row r="155">
      <x:c r="A155" s="2"/>
      <x:c r="E155" s="26"/>
    </x:row>
    <x:row r="156">
      <x:c r="A156" s="2"/>
      <x:c r="E156" s="26"/>
    </x:row>
    <x:row r="157">
      <x:c r="A157" s="2"/>
      <x:c r="E157" s="26"/>
    </x:row>
    <x:row r="158">
      <x:c r="A158" s="2"/>
      <x:c r="E158" s="26"/>
    </x:row>
    <x:row r="159">
      <x:c r="A159" s="2"/>
      <x:c r="E159" s="26"/>
    </x:row>
    <x:row r="160">
      <x:c r="A160" s="2"/>
      <x:c r="E160" s="26"/>
    </x:row>
    <x:row r="161">
      <x:c r="A161" s="2"/>
      <x:c r="E161" s="26"/>
    </x:row>
    <x:row r="162">
      <x:c r="A162" s="2"/>
      <x:c r="E162" s="26"/>
    </x:row>
    <x:row r="163">
      <x:c r="A163" s="2"/>
      <x:c r="E163" s="26"/>
    </x:row>
    <x:row r="164">
      <x:c r="A164" s="2"/>
      <x:c r="E164" s="26"/>
    </x:row>
    <x:row r="165">
      <x:c r="A165" s="2"/>
      <x:c r="E165" s="26"/>
    </x:row>
    <x:row r="166">
      <x:c r="A166" s="2"/>
      <x:c r="E166" s="26"/>
    </x:row>
    <x:row r="167">
      <x:c r="A167" s="2"/>
      <x:c r="E167" s="26"/>
    </x:row>
    <x:row r="168">
      <x:c r="A168" s="2"/>
      <x:c r="E168" s="26"/>
    </x:row>
    <x:row r="169">
      <x:c r="A169" s="2"/>
      <x:c r="E169" s="26"/>
    </x:row>
    <x:row r="170">
      <x:c r="A170" s="2"/>
      <x:c r="E170" s="26"/>
    </x:row>
    <x:row r="171">
      <x:c r="A171" s="2"/>
      <x:c r="E171" s="26"/>
    </x:row>
    <x:row r="172">
      <x:c r="A172" s="2"/>
      <x:c r="E172" s="26"/>
    </x:row>
    <x:row r="173">
      <x:c r="A173" s="2"/>
      <x:c r="E173" s="26"/>
    </x:row>
    <x:row r="174">
      <x:c r="A174" s="2"/>
      <x:c r="E174" s="26"/>
    </x:row>
    <x:row r="175">
      <x:c r="A175" s="2"/>
      <x:c r="E175" s="26"/>
    </x:row>
    <x:row r="176">
      <x:c r="A176" s="2"/>
      <x:c r="E176" s="26"/>
    </x:row>
    <x:row r="177">
      <x:c r="A177" s="2"/>
      <x:c r="E177" s="26"/>
    </x:row>
    <x:row r="178">
      <x:c r="A178" s="2"/>
      <x:c r="E178" s="26"/>
    </x:row>
    <x:row r="179">
      <x:c r="A179" s="2"/>
      <x:c r="E179" s="26"/>
    </x:row>
    <x:row r="180">
      <x:c r="A180" s="2"/>
      <x:c r="E180" s="26"/>
    </x:row>
    <x:row r="181">
      <x:c r="E181" s="26"/>
    </x:row>
    <x:row r="182">
      <x:c r="E182" s="26"/>
    </x:row>
    <x:row r="183">
      <x:c r="E183" s="26"/>
    </x:row>
    <x:row r="184">
      <x:c r="E184" s="26"/>
    </x:row>
    <x:row r="185">
      <x:c r="E185" s="26"/>
    </x:row>
    <x:row r="186">
      <x:c r="E186" s="26"/>
    </x:row>
    <x:row r="187">
      <x:c r="E187" s="26"/>
    </x:row>
    <x:row r="188">
      <x:c r="E188" s="26"/>
    </x:row>
    <x:row r="189">
      <x:c r="E189" s="26"/>
    </x:row>
    <x:row r="190">
      <x:c r="E190" s="26"/>
    </x:row>
    <x:row r="191">
      <x:c r="E191" s="26"/>
    </x:row>
    <x:row r="192">
      <x:c r="E192" s="26"/>
    </x:row>
    <x:row r="193">
      <x:c r="E193" s="26"/>
    </x:row>
    <x:row r="194">
      <x:c r="E194" s="26"/>
    </x:row>
    <x:row r="195">
      <x:c r="E195" s="26"/>
    </x:row>
    <x:row r="196">
      <x:c r="E196" s="26"/>
    </x:row>
    <x:row r="197">
      <x:c r="E197" s="26"/>
    </x:row>
    <x:row r="198">
      <x:c r="E198" s="26"/>
    </x:row>
    <x:row r="199">
      <x:c r="E199" s="26"/>
    </x:row>
    <x:row r="200">
      <x:c r="E200" s="26"/>
    </x:row>
    <x:row r="201">
      <x:c r="E201" s="26"/>
    </x:row>
    <x:row r="202">
      <x:c r="E202" s="26"/>
    </x:row>
    <x:row r="203">
      <x:c r="E203" s="26"/>
    </x:row>
    <x:row r="204">
      <x:c r="E204" s="26"/>
    </x:row>
    <x:row r="205">
      <x:c r="E205" s="26"/>
    </x:row>
    <x:row r="206">
      <x:c r="E206" s="26"/>
    </x:row>
    <x:row r="207">
      <x:c r="E207" s="26"/>
    </x:row>
    <x:row r="208">
      <x:c r="E208" s="26"/>
    </x:row>
    <x:row r="209">
      <x:c r="E209" s="26"/>
    </x:row>
    <x:row r="210">
      <x:c r="E210" s="26"/>
    </x:row>
    <x:row r="211">
      <x:c r="E211" s="26"/>
    </x:row>
    <x:row r="212">
      <x:c r="E212" s="26"/>
    </x:row>
    <x:row r="213">
      <x:c r="E213" s="26"/>
    </x:row>
    <x:row r="214">
      <x:c r="E214" s="26"/>
    </x:row>
    <x:row r="215">
      <x:c r="E215" s="26"/>
    </x:row>
    <x:row r="216">
      <x:c r="E216" s="26"/>
    </x:row>
    <x:row r="217">
      <x:c r="E217" s="26"/>
    </x:row>
    <x:row r="218">
      <x:c r="E218" s="26"/>
    </x:row>
    <x:row r="219">
      <x:c r="E219" s="26"/>
    </x:row>
    <x:row r="220">
      <x:c r="E220" s="26"/>
    </x:row>
    <x:row r="221">
      <x:c r="E221" s="26"/>
    </x:row>
    <x:row r="222">
      <x:c r="E222" s="26"/>
    </x:row>
    <x:row r="223">
      <x:c r="E223" s="26"/>
    </x:row>
    <x:row r="224">
      <x:c r="E224" s="26"/>
    </x:row>
    <x:row r="225">
      <x:c r="E225" s="26"/>
    </x:row>
    <x:row r="226">
      <x:c r="E226" s="26"/>
    </x:row>
    <x:row r="227">
      <x:c r="E227" s="26"/>
    </x:row>
    <x:row r="228">
      <x:c r="E228" s="26"/>
    </x:row>
    <x:row r="229">
      <x:c r="E229" s="26"/>
    </x:row>
    <x:row r="230">
      <x:c r="E230" s="26"/>
    </x:row>
    <x:row r="231">
      <x:c r="E231" s="26"/>
    </x:row>
    <x:row r="232">
      <x:c r="E232" s="26"/>
    </x:row>
    <x:row r="233">
      <x:c r="E233" s="26"/>
    </x:row>
    <x:row r="234">
      <x:c r="E234" s="26"/>
    </x:row>
    <x:row r="235">
      <x:c r="E235" s="26"/>
    </x:row>
    <x:row r="236">
      <x:c r="E236" s="26"/>
    </x:row>
    <x:row r="237">
      <x:c r="E237" s="26"/>
    </x:row>
    <x:row r="238">
      <x:c r="E238" s="26"/>
    </x:row>
    <x:row r="239">
      <x:c r="E239" s="26"/>
    </x:row>
    <x:row r="240">
      <x:c r="E240" s="26"/>
    </x:row>
    <x:row r="241">
      <x:c r="E241" s="26"/>
    </x:row>
    <x:row r="242">
      <x:c r="E242" s="26"/>
    </x:row>
    <x:row r="243">
      <x:c r="E243" s="26"/>
    </x:row>
    <x:row r="244">
      <x:c r="E244" s="26"/>
    </x:row>
    <x:row r="245">
      <x:c r="E245" s="26"/>
    </x:row>
    <x:row r="246">
      <x:c r="E246" s="26"/>
    </x:row>
    <x:row r="247">
      <x:c r="E247" s="26"/>
    </x:row>
    <x:row r="248">
      <x:c r="E248" s="26"/>
    </x:row>
    <x:row r="249">
      <x:c r="E249" s="26"/>
    </x:row>
    <x:row r="250">
      <x:c r="E250" s="26"/>
    </x:row>
    <x:row r="251">
      <x:c r="E251" s="26"/>
    </x:row>
    <x:row r="252">
      <x:c r="E252" s="26"/>
    </x:row>
    <x:row r="253">
      <x:c r="E253" s="26"/>
    </x:row>
    <x:row r="254">
      <x:c r="E254" s="26"/>
    </x:row>
    <x:row r="255">
      <x:c r="E255" s="26"/>
    </x:row>
    <x:row r="256">
      <x:c r="E256" s="26"/>
    </x:row>
    <x:row r="257">
      <x:c r="E257" s="26"/>
    </x:row>
    <x:row r="258">
      <x:c r="E258" s="26"/>
    </x:row>
    <x:row r="259">
      <x:c r="E259" s="26"/>
    </x:row>
    <x:row r="260">
      <x:c r="E260" s="26"/>
    </x:row>
    <x:row r="261">
      <x:c r="E261" s="26"/>
    </x:row>
    <x:row r="262">
      <x:c r="E262" s="26"/>
    </x:row>
    <x:row r="263">
      <x:c r="E263" s="26"/>
    </x:row>
    <x:row r="264">
      <x:c r="E264" s="26"/>
    </x:row>
    <x:row r="265">
      <x:c r="E265" s="26"/>
    </x:row>
    <x:row r="266">
      <x:c r="E266" s="26"/>
    </x:row>
    <x:row r="267">
      <x:c r="E267" s="26"/>
    </x:row>
    <x:row r="268">
      <x:c r="E268" s="26"/>
    </x:row>
    <x:row r="269">
      <x:c r="E269" s="26"/>
    </x:row>
    <x:row r="270">
      <x:c r="E270" s="26"/>
    </x:row>
    <x:row r="271">
      <x:c r="E271" s="26"/>
    </x:row>
    <x:row r="272">
      <x:c r="E272" s="26"/>
    </x:row>
    <x:row r="273">
      <x:c r="E273" s="26"/>
    </x:row>
    <x:row r="274">
      <x:c r="E274" s="26"/>
    </x:row>
    <x:row r="275">
      <x:c r="E275" s="26"/>
    </x:row>
    <x:row r="276">
      <x:c r="E276" s="26"/>
    </x:row>
    <x:row r="277">
      <x:c r="E277" s="26"/>
    </x:row>
    <x:row r="278">
      <x:c r="E278" s="26"/>
    </x:row>
    <x:row r="279">
      <x:c r="E279" s="26"/>
    </x:row>
    <x:row r="280">
      <x:c r="E280" s="26"/>
    </x:row>
    <x:row r="281">
      <x:c r="E281" s="26"/>
    </x:row>
    <x:row r="282">
      <x:c r="E282" s="26"/>
    </x:row>
    <x:row r="283">
      <x:c r="E283" s="26"/>
    </x:row>
    <x:row r="284">
      <x:c r="E284" s="26"/>
    </x:row>
    <x:row r="285">
      <x:c r="E285" s="26"/>
    </x:row>
    <x:row r="286">
      <x:c r="E286" s="26"/>
    </x:row>
    <x:row r="287">
      <x:c r="E287" s="26"/>
    </x:row>
    <x:row r="288">
      <x:c r="E288" s="26"/>
    </x:row>
    <x:row r="289">
      <x:c r="E289" s="26"/>
    </x:row>
    <x:row r="290">
      <x:c r="E290" s="26"/>
    </x:row>
    <x:row r="291">
      <x:c r="E291" s="26"/>
    </x:row>
    <x:row r="292">
      <x:c r="E292" s="26"/>
    </x:row>
    <x:row r="293">
      <x:c r="E293" s="26"/>
    </x:row>
    <x:row r="294">
      <x:c r="E294" s="26"/>
    </x:row>
    <x:row r="295">
      <x:c r="E295" s="26"/>
    </x:row>
    <x:row r="296">
      <x:c r="E296" s="26"/>
    </x:row>
    <x:row r="297">
      <x:c r="E297" s="26"/>
    </x:row>
    <x:row r="298">
      <x:c r="E298" s="26"/>
    </x:row>
    <x:row r="299">
      <x:c r="E299" s="26"/>
    </x:row>
    <x:row r="300">
      <x:c r="E300" s="26"/>
    </x:row>
    <x:row r="301">
      <x:c r="E301" s="26"/>
    </x:row>
    <x:row r="302">
      <x:c r="E302" s="26"/>
    </x:row>
    <x:row r="303">
      <x:c r="E303" s="26"/>
    </x:row>
    <x:row r="304">
      <x:c r="E304" s="26"/>
    </x:row>
    <x:row r="305">
      <x:c r="E305" s="26"/>
    </x:row>
    <x:row r="306">
      <x:c r="E306" s="26"/>
    </x:row>
    <x:row r="307">
      <x:c r="E307" s="26"/>
    </x:row>
    <x:row r="308">
      <x:c r="E308" s="26"/>
    </x:row>
    <x:row r="309">
      <x:c r="E309" s="26"/>
    </x:row>
    <x:row r="310">
      <x:c r="E310" s="26"/>
    </x:row>
    <x:row r="311">
      <x:c r="E311" s="26"/>
    </x:row>
    <x:row r="312">
      <x:c r="E312" s="26"/>
    </x:row>
    <x:row r="313">
      <x:c r="E313" s="26"/>
    </x:row>
    <x:row r="314">
      <x:c r="E314" s="26"/>
    </x:row>
    <x:row r="315">
      <x:c r="E315" s="26"/>
    </x:row>
    <x:row r="316">
      <x:c r="E316" s="26"/>
    </x:row>
    <x:row r="317">
      <x:c r="E317" s="26"/>
    </x:row>
    <x:row r="318">
      <x:c r="E318" s="26"/>
    </x:row>
    <x:row r="319">
      <x:c r="E319" s="26"/>
    </x:row>
    <x:row r="320">
      <x:c r="E320" s="26"/>
    </x:row>
    <x:row r="321">
      <x:c r="E321" s="26"/>
    </x:row>
    <x:row r="322">
      <x:c r="E322" s="26"/>
    </x:row>
    <x:row r="323">
      <x:c r="E323" s="26"/>
    </x:row>
    <x:row r="324">
      <x:c r="E324" s="26"/>
    </x:row>
    <x:row r="325">
      <x:c r="E325" s="26"/>
    </x:row>
    <x:row r="326">
      <x:c r="E326" s="26"/>
    </x:row>
    <x:row r="327">
      <x:c r="E327" s="26"/>
    </x:row>
    <x:row r="328">
      <x:c r="E328" s="26"/>
    </x:row>
    <x:row r="329">
      <x:c r="E329" s="26"/>
    </x:row>
    <x:row r="330">
      <x:c r="E330" s="26"/>
    </x:row>
    <x:row r="331">
      <x:c r="E331" s="26"/>
    </x:row>
    <x:row r="332">
      <x:c r="E332" s="26"/>
    </x:row>
    <x:row r="333">
      <x:c r="E333" s="26"/>
    </x:row>
    <x:row r="334">
      <x:c r="E334" s="26"/>
    </x:row>
    <x:row r="335">
      <x:c r="E335" s="26"/>
    </x:row>
    <x:row r="336">
      <x:c r="E336" s="26"/>
    </x:row>
    <x:row r="337">
      <x:c r="E337" s="26"/>
    </x:row>
    <x:row r="338">
      <x:c r="E338" s="26"/>
    </x:row>
    <x:row r="339">
      <x:c r="E339" s="26"/>
    </x:row>
    <x:row r="340">
      <x:c r="E340" s="26"/>
    </x:row>
    <x:row r="341">
      <x:c r="E341" s="26"/>
    </x:row>
    <x:row r="342">
      <x:c r="E342" s="26"/>
    </x:row>
    <x:row r="343">
      <x:c r="E343" s="26"/>
    </x:row>
    <x:row r="344">
      <x:c r="E344" s="26"/>
    </x:row>
    <x:row r="345">
      <x:c r="E345" s="26"/>
    </x:row>
    <x:row r="346">
      <x:c r="E346" s="26"/>
    </x:row>
    <x:row r="347">
      <x:c r="E347" s="26"/>
    </x:row>
    <x:row r="348">
      <x:c r="E348" s="26"/>
    </x:row>
    <x:row r="349">
      <x:c r="E349" s="26"/>
    </x:row>
    <x:row r="350">
      <x:c r="E350" s="26"/>
    </x:row>
    <x:row r="351">
      <x:c r="E351" s="26"/>
    </x:row>
    <x:row r="352">
      <x:c r="E352" s="26"/>
    </x:row>
    <x:row r="353">
      <x:c r="E353" s="26"/>
    </x:row>
    <x:row r="354">
      <x:c r="E354" s="26"/>
    </x:row>
    <x:row r="355">
      <x:c r="E355" s="26"/>
    </x:row>
    <x:row r="356">
      <x:c r="E356" s="26"/>
    </x:row>
    <x:row r="357">
      <x:c r="E357" s="26"/>
    </x:row>
    <x:row r="358">
      <x:c r="E358" s="26"/>
    </x:row>
    <x:row r="359">
      <x:c r="E359" s="26"/>
    </x:row>
    <x:row r="360">
      <x:c r="E360" s="26"/>
    </x:row>
    <x:row r="361">
      <x:c r="E361" s="26"/>
    </x:row>
    <x:row r="362">
      <x:c r="E362" s="26"/>
    </x:row>
    <x:row r="363">
      <x:c r="E363" s="26"/>
    </x:row>
    <x:row r="364">
      <x:c r="E364" s="26"/>
    </x:row>
    <x:row r="365">
      <x:c r="E365" s="26"/>
    </x:row>
    <x:row r="366">
      <x:c r="E366" s="26"/>
    </x:row>
    <x:row r="367">
      <x:c r="E367" s="26"/>
    </x:row>
    <x:row r="368">
      <x:c r="E368" s="26"/>
    </x:row>
    <x:row r="369">
      <x:c r="E369" s="26"/>
    </x:row>
    <x:row r="370">
      <x:c r="E370" s="26"/>
    </x:row>
    <x:row r="371">
      <x:c r="E371" s="26"/>
    </x:row>
    <x:row r="372">
      <x:c r="E372" s="26"/>
    </x:row>
    <x:row r="373">
      <x:c r="E373" s="26"/>
    </x:row>
    <x:row r="374">
      <x:c r="E374" s="26"/>
    </x:row>
    <x:row r="375">
      <x:c r="E375" s="26"/>
    </x:row>
    <x:row r="376">
      <x:c r="E376" s="26"/>
    </x:row>
    <x:row r="377">
      <x:c r="E377" s="26"/>
    </x:row>
    <x:row r="378">
      <x:c r="E378" s="26"/>
    </x:row>
    <x:row r="379">
      <x:c r="E379" s="26"/>
    </x:row>
    <x:row r="380">
      <x:c r="E380" s="26"/>
    </x:row>
    <x:row r="381">
      <x:c r="E381" s="26"/>
    </x:row>
    <x:row r="382">
      <x:c r="E382" s="26"/>
    </x:row>
    <x:row r="383">
      <x:c r="E383" s="26"/>
    </x:row>
    <x:row r="384">
      <x:c r="E384" s="26"/>
    </x:row>
    <x:row r="385">
      <x:c r="E385" s="26"/>
    </x:row>
    <x:row r="386">
      <x:c r="E386" s="26"/>
    </x:row>
    <x:row r="387">
      <x:c r="E387" s="26"/>
    </x:row>
    <x:row r="388">
      <x:c r="E388" s="26"/>
    </x:row>
    <x:row r="389">
      <x:c r="E389" s="26"/>
    </x:row>
    <x:row r="390">
      <x:c r="E390" s="26"/>
    </x:row>
    <x:row r="391">
      <x:c r="E391" s="26"/>
    </x:row>
    <x:row r="392">
      <x:c r="E392" s="26"/>
    </x:row>
    <x:row r="393">
      <x:c r="E393" s="26"/>
    </x:row>
    <x:row r="394">
      <x:c r="E394" s="26"/>
    </x:row>
    <x:row r="395">
      <x:c r="E395" s="26"/>
    </x:row>
    <x:row r="396">
      <x:c r="E396" s="26"/>
    </x:row>
    <x:row r="397">
      <x:c r="E397" s="26"/>
    </x:row>
    <x:row r="398">
      <x:c r="E398" s="26"/>
    </x:row>
    <x:row r="399">
      <x:c r="E399" s="26"/>
    </x:row>
    <x:row r="400">
      <x:c r="E400" s="26"/>
    </x:row>
    <x:row r="401">
      <x:c r="E401" s="26"/>
    </x:row>
    <x:row r="402">
      <x:c r="E402" s="26"/>
    </x:row>
    <x:row r="403">
      <x:c r="E403" s="26"/>
    </x:row>
    <x:row r="404">
      <x:c r="E404" s="26"/>
    </x:row>
    <x:row r="405">
      <x:c r="E405" s="26"/>
    </x:row>
    <x:row r="406">
      <x:c r="E406" s="26"/>
    </x:row>
    <x:row r="407">
      <x:c r="E407" s="26"/>
    </x:row>
    <x:row r="408">
      <x:c r="E408" s="26"/>
    </x:row>
    <x:row r="409">
      <x:c r="E409" s="26"/>
    </x:row>
    <x:row r="410">
      <x:c r="E410" s="26"/>
    </x:row>
    <x:row r="411">
      <x:c r="E411" s="26"/>
    </x:row>
    <x:row r="412">
      <x:c r="E412" s="26"/>
    </x:row>
    <x:row r="413">
      <x:c r="E413" s="26"/>
    </x:row>
    <x:row r="414">
      <x:c r="E414" s="26"/>
    </x:row>
    <x:row r="415">
      <x:c r="E415" s="26"/>
    </x:row>
    <x:row r="416">
      <x:c r="E416" s="26"/>
    </x:row>
    <x:row r="417">
      <x:c r="E417" s="26"/>
    </x:row>
    <x:row r="418">
      <x:c r="E418" s="26"/>
    </x:row>
    <x:row r="419">
      <x:c r="E419" s="26"/>
    </x:row>
    <x:row r="420">
      <x:c r="E420" s="26"/>
    </x:row>
    <x:row r="421">
      <x:c r="E421" s="26"/>
    </x:row>
    <x:row r="422">
      <x:c r="E422" s="26"/>
    </x:row>
    <x:row r="423">
      <x:c r="E423" s="26"/>
    </x:row>
    <x:row r="424">
      <x:c r="E424" s="26"/>
    </x:row>
    <x:row r="425">
      <x:c r="E425" s="26"/>
    </x:row>
    <x:row r="426">
      <x:c r="E426" s="26"/>
    </x:row>
    <x:row r="427">
      <x:c r="E427" s="26"/>
    </x:row>
    <x:row r="428">
      <x:c r="E428" s="26"/>
    </x:row>
    <x:row r="429">
      <x:c r="E429" s="26"/>
    </x:row>
    <x:row r="430">
      <x:c r="E430" s="26"/>
    </x:row>
    <x:row r="431">
      <x:c r="E431" s="26"/>
    </x:row>
    <x:row r="432">
      <x:c r="E432" s="26"/>
    </x:row>
    <x:row r="433">
      <x:c r="E433" s="26"/>
    </x:row>
    <x:row r="434">
      <x:c r="E434" s="26"/>
    </x:row>
    <x:row r="435">
      <x:c r="E435" s="26"/>
    </x:row>
    <x:row r="436">
      <x:c r="E436" s="26"/>
    </x:row>
    <x:row r="437">
      <x:c r="E437" s="26"/>
    </x:row>
    <x:row r="438">
      <x:c r="E438" s="26"/>
    </x:row>
    <x:row r="439">
      <x:c r="E439" s="26"/>
    </x:row>
    <x:row r="440">
      <x:c r="E440" s="26"/>
    </x:row>
    <x:row r="441">
      <x:c r="E441" s="26"/>
    </x:row>
    <x:row r="442">
      <x:c r="E442" s="26"/>
    </x:row>
    <x:row r="443">
      <x:c r="E443" s="26"/>
    </x:row>
    <x:row r="444">
      <x:c r="E444" s="26"/>
    </x:row>
    <x:row r="445">
      <x:c r="E445" s="26"/>
    </x:row>
    <x:row r="446">
      <x:c r="E446" s="26"/>
    </x:row>
    <x:row r="447">
      <x:c r="E447" s="26"/>
    </x:row>
    <x:row r="448">
      <x:c r="E448" s="26"/>
    </x:row>
    <x:row r="449">
      <x:c r="E449" s="26"/>
    </x:row>
    <x:row r="450">
      <x:c r="E450" s="26"/>
    </x:row>
    <x:row r="451">
      <x:c r="E451" s="26"/>
    </x:row>
    <x:row r="452">
      <x:c r="E452" s="26"/>
    </x:row>
    <x:row r="453">
      <x:c r="E453" s="26"/>
    </x:row>
    <x:row r="454">
      <x:c r="E454" s="26"/>
    </x:row>
    <x:row r="455">
      <x:c r="E455" s="26"/>
    </x:row>
    <x:row r="456">
      <x:c r="E456" s="26"/>
    </x:row>
    <x:row r="457">
      <x:c r="E457" s="26"/>
    </x:row>
    <x:row r="458">
      <x:c r="E458" s="26"/>
    </x:row>
    <x:row r="459">
      <x:c r="E459" s="26"/>
    </x:row>
    <x:row r="460">
      <x:c r="E460" s="26"/>
    </x:row>
    <x:row r="461">
      <x:c r="E461" s="26"/>
    </x:row>
    <x:row r="462">
      <x:c r="E462" s="26"/>
    </x:row>
    <x:row r="463">
      <x:c r="E463" s="26"/>
    </x:row>
    <x:row r="464">
      <x:c r="E464" s="26"/>
    </x:row>
    <x:row r="465">
      <x:c r="E465" s="26"/>
    </x:row>
    <x:row r="466">
      <x:c r="E466" s="26"/>
    </x:row>
    <x:row r="467">
      <x:c r="E467" s="26"/>
    </x:row>
    <x:row r="468">
      <x:c r="E468" s="26"/>
    </x:row>
    <x:row r="469">
      <x:c r="E469" s="26"/>
    </x:row>
    <x:row r="470">
      <x:c r="E470" s="26"/>
    </x:row>
    <x:row r="471">
      <x:c r="E471" s="26"/>
    </x:row>
    <x:row r="472">
      <x:c r="E472" s="26"/>
    </x:row>
    <x:row r="473">
      <x:c r="E473" s="26"/>
    </x:row>
    <x:row r="474">
      <x:c r="E474" s="26"/>
    </x:row>
    <x:row r="475">
      <x:c r="E475" s="26"/>
    </x:row>
    <x:row r="476">
      <x:c r="E476" s="26"/>
    </x:row>
    <x:row r="477">
      <x:c r="E477" s="26"/>
    </x:row>
    <x:row r="478">
      <x:c r="E478" s="26"/>
    </x:row>
    <x:row r="479">
      <x:c r="E479" s="26"/>
    </x:row>
    <x:row r="480">
      <x:c r="E480" s="26"/>
    </x:row>
    <x:row r="481">
      <x:c r="E481" s="26"/>
    </x:row>
    <x:row r="482">
      <x:c r="E482" s="26"/>
    </x:row>
    <x:row r="483">
      <x:c r="E483" s="26"/>
    </x:row>
    <x:row r="484">
      <x:c r="E484" s="26"/>
    </x:row>
    <x:row r="485">
      <x:c r="E485" s="26"/>
    </x:row>
    <x:row r="486">
      <x:c r="E486" s="26"/>
    </x:row>
    <x:row r="487">
      <x:c r="E487" s="26"/>
    </x:row>
    <x:row r="488">
      <x:c r="E488" s="26"/>
    </x:row>
    <x:row r="489">
      <x:c r="E489" s="26"/>
    </x:row>
    <x:row r="490">
      <x:c r="E490" s="26"/>
    </x:row>
    <x:row r="491">
      <x:c r="E491" s="26"/>
    </x:row>
    <x:row r="492">
      <x:c r="E492" s="26"/>
    </x:row>
    <x:row r="493">
      <x:c r="E493" s="26"/>
    </x:row>
    <x:row r="494">
      <x:c r="E494" s="26"/>
    </x:row>
    <x:row r="495">
      <x:c r="E495" s="26"/>
    </x:row>
    <x:row r="496">
      <x:c r="E496" s="26"/>
    </x:row>
    <x:row r="497">
      <x:c r="E497" s="26"/>
    </x:row>
    <x:row r="498">
      <x:c r="E498" s="26"/>
    </x:row>
    <x:row r="499">
      <x:c r="E499" s="26"/>
    </x:row>
    <x:row r="500">
      <x:c r="E500" s="26"/>
    </x:row>
  </x:sheetData>
  <x:dataValidations count="2">
    <x:dataValidation type="list" sqref="I2:I500">
      <x:formula1>"原文披露值,人工计算值（本阶段禁用）"</x:formula1>
    </x:dataValidation>
    <x:dataValidation type="list" sqref="J2:J500">
      <x:formula1>"未计算,待阶段七校验"</x:formula1>
    </x:dataValidation>
  </x:dataValidations>
  <x:pageMargins left="0.7" right="0.7" top="0.75" bottom="0.75" header="0.3" footer="0.3"/>
  <x:tableParts count="1">
    <x:tablePart xmlns:r="http://schemas.openxmlformats.org/officeDocument/2006/relationships" r:id="R0fcd3cee5c494946"/>
  </x:tableParts>
</x:worksheet>
</file>

<file path=xl/worksheets/sheet6.xml><?xml version="1.0" encoding="utf-8"?>
<x:worksheet xmlns:x="http://schemas.openxmlformats.org/spreadsheetml/2006/main">
  <x:sheetFormatPr defaultRowHeight="14"/>
  <x:cols>
    <x:col min="1" max="1" width="14" customWidth="1"/>
    <x:col min="2" max="2" width="36" customWidth="1"/>
    <x:col min="3" max="3" width="18" customWidth="1"/>
    <x:col min="4" max="4" width="16" customWidth="1"/>
    <x:col min="5" max="5" width="14" customWidth="1"/>
    <x:col min="6" max="6" width="16" customWidth="1"/>
    <x:col min="7" max="8" width="20" customWidth="1"/>
    <x:col min="9" max="9" width="18" customWidth="1"/>
    <x:col min="10" max="10" width="22" customWidth="1"/>
    <x:col min="11" max="11" width="20" customWidth="1"/>
    <x:col min="12" max="12" width="18" customWidth="1"/>
    <x:col min="13" max="15" width="20" customWidth="1"/>
    <x:col min="16" max="16" width="16" customWidth="1"/>
    <x:col min="17" max="17" width="14" customWidth="1"/>
    <x:col min="18" max="18" width="42" customWidth="1"/>
  </x:cols>
  <x:sheetData>
    <x:row r="1" ht="22.649999618530273" customHeight="1">
      <x:c r="A1" s="9" t="s">
        <x:v>44</x:v>
      </x:c>
      <x:c r="B1" s="17" t="s">
        <x:v>48</x:v>
      </x:c>
      <x:c r="C1" s="17" t="s">
        <x:v>1428</x:v>
      </x:c>
      <x:c r="D1" s="17" t="s">
        <x:v>1429</x:v>
      </x:c>
      <x:c r="E1" s="17" t="s">
        <x:v>1430</x:v>
      </x:c>
      <x:c r="F1" s="17" t="s">
        <x:v>1431</x:v>
      </x:c>
      <x:c r="G1" s="17" t="s">
        <x:v>1432</x:v>
      </x:c>
      <x:c r="H1" s="17" t="s">
        <x:v>1433</x:v>
      </x:c>
      <x:c r="I1" s="17" t="s">
        <x:v>1434</x:v>
      </x:c>
      <x:c r="J1" s="17" t="s">
        <x:v>1435</x:v>
      </x:c>
      <x:c r="K1" s="17" t="s">
        <x:v>1436</x:v>
      </x:c>
      <x:c r="L1" s="17" t="s">
        <x:v>1437</x:v>
      </x:c>
      <x:c r="M1" s="17" t="s">
        <x:v>1438</x:v>
      </x:c>
      <x:c r="N1" s="17" t="s">
        <x:v>1439</x:v>
      </x:c>
      <x:c r="O1" s="17" t="s">
        <x:v>1440</x:v>
      </x:c>
      <x:c r="P1" s="17" t="s">
        <x:v>73</x:v>
      </x:c>
      <x:c r="Q1" s="17" t="s">
        <x:v>74</x:v>
      </x:c>
      <x:c r="R1" s="10" t="s">
        <x:v>555</x:v>
      </x:c>
    </x:row>
    <x:row r="2">
      <x:c r="A2" s="11" t="s">
        <x:v>76</x:v>
      </x:c>
      <x:c r="B2" s="18" t="s">
        <x:v>79</x:v>
      </x:c>
      <x:c r="C2" s="18" t="s">
        <x:v>1441</x:v>
      </x:c>
      <x:c r="D2" s="18" t="s">
        <x:v>1441</x:v>
      </x:c>
      <x:c r="E2" s="18" t="s">
        <x:v>1441</x:v>
      </x:c>
      <x:c r="F2" s="18" t="s">
        <x:v>1441</x:v>
      </x:c>
      <x:c r="G2" s="18" t="s">
        <x:v>1441</x:v>
      </x:c>
      <x:c r="H2" s="18" t="s">
        <x:v>1441</x:v>
      </x:c>
      <x:c r="I2" s="18" t="s">
        <x:v>1441</x:v>
      </x:c>
      <x:c r="J2" s="18" t="s">
        <x:v>1441</x:v>
      </x:c>
      <x:c r="K2" s="18" t="s">
        <x:v>1441</x:v>
      </x:c>
      <x:c r="L2" s="18" t="s">
        <x:v>1441</x:v>
      </x:c>
      <x:c r="M2" s="18" t="s">
        <x:v>1441</x:v>
      </x:c>
      <x:c r="N2" s="18" t="s">
        <x:v>1441</x:v>
      </x:c>
      <x:c r="O2" s="18" t="str">
        <x:f t="shared" ref="O2:O20" si="0">IF(COUNTIF(C2:N2,"不通过")&gt;0,"不通过",IF(COUNTIF(C2:N2,"待复核")&gt;0,"待复核",IF(COUNTIF(C2:N2,"未开始")&gt;0,"未开始","通过")))</x:f>
        <x:v>通过</x:v>
      </x:c>
      <x:c r="P2" s="18" t="s">
        <x:v>102</x:v>
      </x:c>
      <x:c r="Q2" s="20">
        <x:v>46219</x:v>
      </x:c>
      <x:c r="R2" s="4" t="s">
        <x:v>1442</x:v>
      </x:c>
    </x:row>
    <x:row r="3" ht="56">
      <x:c r="A3" s="12" t="s">
        <x:v>104</x:v>
      </x:c>
      <x:c r="B3" s="2" t="s">
        <x:v>106</x:v>
      </x:c>
      <x:c r="C3" s="2" t="s">
        <x:v>1441</x:v>
      </x:c>
      <x:c r="D3" s="2" t="s">
        <x:v>1441</x:v>
      </x:c>
      <x:c r="E3" s="2" t="s">
        <x:v>1441</x:v>
      </x:c>
      <x:c r="F3" s="2" t="s">
        <x:v>1441</x:v>
      </x:c>
      <x:c r="G3" s="2" t="s">
        <x:v>1441</x:v>
      </x:c>
      <x:c r="H3" s="2" t="s">
        <x:v>1441</x:v>
      </x:c>
      <x:c r="I3" s="2" t="s">
        <x:v>1441</x:v>
      </x:c>
      <x:c r="J3" s="2" t="s">
        <x:v>1441</x:v>
      </x:c>
      <x:c r="K3" s="2" t="s">
        <x:v>1441</x:v>
      </x:c>
      <x:c r="L3" s="2" t="s">
        <x:v>1441</x:v>
      </x:c>
      <x:c r="M3" s="2" t="s">
        <x:v>1441</x:v>
      </x:c>
      <x:c r="N3" s="2" t="s">
        <x:v>1441</x:v>
      </x:c>
      <x:c r="O3" s="2" t="str">
        <x:f t="shared" si="0"/>
        <x:v>通过</x:v>
      </x:c>
      <x:c r="P3" s="2" t="s">
        <x:v>102</x:v>
      </x:c>
      <x:c r="Q3" s="21">
        <x:v>46219</x:v>
      </x:c>
      <x:c r="R3" s="6" t="s">
        <x:v>1443</x:v>
      </x:c>
    </x:row>
    <x:row r="4" ht="28">
      <x:c r="A4" s="12" t="s">
        <x:v>125</x:v>
      </x:c>
      <x:c r="B4" s="2" t="s">
        <x:v>127</x:v>
      </x:c>
      <x:c r="C4" s="2" t="s">
        <x:v>1441</x:v>
      </x:c>
      <x:c r="D4" s="2" t="s">
        <x:v>1441</x:v>
      </x:c>
      <x:c r="E4" s="2" t="s">
        <x:v>1441</x:v>
      </x:c>
      <x:c r="F4" s="2" t="s">
        <x:v>1441</x:v>
      </x:c>
      <x:c r="G4" s="2" t="s">
        <x:v>1441</x:v>
      </x:c>
      <x:c r="H4" s="2" t="s">
        <x:v>1441</x:v>
      </x:c>
      <x:c r="I4" s="2" t="s">
        <x:v>1441</x:v>
      </x:c>
      <x:c r="J4" s="2" t="s">
        <x:v>1441</x:v>
      </x:c>
      <x:c r="K4" s="2" t="s">
        <x:v>1441</x:v>
      </x:c>
      <x:c r="L4" s="2" t="s">
        <x:v>1441</x:v>
      </x:c>
      <x:c r="M4" s="2" t="s">
        <x:v>1441</x:v>
      </x:c>
      <x:c r="N4" s="2" t="s">
        <x:v>1441</x:v>
      </x:c>
      <x:c r="O4" s="2" t="str">
        <x:f t="shared" si="0"/>
        <x:v>通过</x:v>
      </x:c>
      <x:c r="P4" s="2" t="s">
        <x:v>102</x:v>
      </x:c>
      <x:c r="Q4" s="21">
        <x:v>46219</x:v>
      </x:c>
      <x:c r="R4" s="6" t="s">
        <x:v>1444</x:v>
      </x:c>
    </x:row>
    <x:row r="5" ht="28">
      <x:c r="A5" s="12" t="s">
        <x:v>140</x:v>
      </x:c>
      <x:c r="B5" s="2" t="s">
        <x:v>142</x:v>
      </x:c>
      <x:c r="C5" s="2" t="str">
        <x:v>通过</x:v>
      </x:c>
      <x:c r="D5" s="2" t="str">
        <x:v>通过</x:v>
      </x:c>
      <x:c r="E5" s="2" t="str">
        <x:v>通过</x:v>
      </x:c>
      <x:c r="F5" s="2" t="str">
        <x:v>通过</x:v>
      </x:c>
      <x:c r="G5" s="2" t="str">
        <x:v>通过</x:v>
      </x:c>
      <x:c r="H5" s="2" t="str">
        <x:v>通过</x:v>
      </x:c>
      <x:c r="I5" s="2" t="str">
        <x:v>通过</x:v>
      </x:c>
      <x:c r="J5" s="2" t="str">
        <x:v>通过</x:v>
      </x:c>
      <x:c r="K5" s="2" t="str">
        <x:v>通过</x:v>
      </x:c>
      <x:c r="L5" s="2" t="str">
        <x:v>通过</x:v>
      </x:c>
      <x:c r="M5" s="2" t="str">
        <x:v>通过</x:v>
      </x:c>
      <x:c r="N5" s="2" t="str">
        <x:v>通过</x:v>
      </x:c>
      <x:c r="O5" s="2" t="str">
        <x:f t="shared" si="0"/>
        <x:v>通过</x:v>
      </x:c>
      <x:c r="P5" s="2" t="str">
        <x:v>用户批量复核确认</x:v>
      </x:c>
      <x:c r="Q5" s="123" t="n">
        <x:v>46220</x:v>
      </x:c>
      <x:c r="R5" s="6" t="str">
        <x:v>用户在06_批量复核摘要中标记为“通过”，阶段四该事件已正式验收。</x:v>
      </x:c>
    </x:row>
    <x:row r="6" ht="28">
      <x:c r="A6" s="12" t="s">
        <x:v>156</x:v>
      </x:c>
      <x:c r="B6" s="2" t="s">
        <x:v>158</x:v>
      </x:c>
      <x:c r="C6" s="2" t="str">
        <x:v>通过</x:v>
      </x:c>
      <x:c r="D6" s="2" t="str">
        <x:v>通过</x:v>
      </x:c>
      <x:c r="E6" s="2" t="str">
        <x:v>通过</x:v>
      </x:c>
      <x:c r="F6" s="2" t="str">
        <x:v>通过</x:v>
      </x:c>
      <x:c r="G6" s="2" t="str">
        <x:v>通过</x:v>
      </x:c>
      <x:c r="H6" s="2" t="str">
        <x:v>通过</x:v>
      </x:c>
      <x:c r="I6" s="2" t="str">
        <x:v>通过</x:v>
      </x:c>
      <x:c r="J6" s="2" t="str">
        <x:v>通过</x:v>
      </x:c>
      <x:c r="K6" s="2" t="str">
        <x:v>通过</x:v>
      </x:c>
      <x:c r="L6" s="2" t="str">
        <x:v>通过</x:v>
      </x:c>
      <x:c r="M6" s="2" t="str">
        <x:v>通过</x:v>
      </x:c>
      <x:c r="N6" s="2" t="str">
        <x:v>通过</x:v>
      </x:c>
      <x:c r="O6" s="2" t="str">
        <x:f t="shared" si="0"/>
        <x:v>通过</x:v>
      </x:c>
      <x:c r="P6" s="2" t="str">
        <x:v>用户批量复核确认</x:v>
      </x:c>
      <x:c r="Q6" s="123" t="n">
        <x:v>46220</x:v>
      </x:c>
      <x:c r="R6" s="6" t="str">
        <x:v>用户在06_批量复核摘要中标记为“通过”，阶段四该事件已正式验收。</x:v>
      </x:c>
    </x:row>
    <x:row r="7" ht="28">
      <x:c r="A7" s="12" t="s">
        <x:v>169</x:v>
      </x:c>
      <x:c r="B7" s="2" t="s">
        <x:v>171</x:v>
      </x:c>
      <x:c r="C7" s="2" t="str">
        <x:v>通过</x:v>
      </x:c>
      <x:c r="D7" s="2" t="str">
        <x:v>通过</x:v>
      </x:c>
      <x:c r="E7" s="2" t="str">
        <x:v>通过</x:v>
      </x:c>
      <x:c r="F7" s="2" t="str">
        <x:v>通过</x:v>
      </x:c>
      <x:c r="G7" s="2" t="str">
        <x:v>通过</x:v>
      </x:c>
      <x:c r="H7" s="2" t="str">
        <x:v>通过</x:v>
      </x:c>
      <x:c r="I7" s="2" t="str">
        <x:v>通过</x:v>
      </x:c>
      <x:c r="J7" s="2" t="str">
        <x:v>通过</x:v>
      </x:c>
      <x:c r="K7" s="2" t="str">
        <x:v>通过</x:v>
      </x:c>
      <x:c r="L7" s="2" t="str">
        <x:v>通过</x:v>
      </x:c>
      <x:c r="M7" s="2" t="str">
        <x:v>通过</x:v>
      </x:c>
      <x:c r="N7" s="2" t="str">
        <x:v>通过</x:v>
      </x:c>
      <x:c r="O7" s="2" t="str">
        <x:f t="shared" si="0"/>
        <x:v>通过</x:v>
      </x:c>
      <x:c r="P7" s="2" t="str">
        <x:v>用户批量复核确认</x:v>
      </x:c>
      <x:c r="Q7" s="123" t="n">
        <x:v>46220</x:v>
      </x:c>
      <x:c r="R7" s="6" t="str">
        <x:v>用户在06_批量复核摘要中标记为“通过”，阶段四该事件已正式验收。</x:v>
      </x:c>
    </x:row>
    <x:row r="8" ht="28">
      <x:c r="A8" s="12" t="s">
        <x:v>184</x:v>
      </x:c>
      <x:c r="B8" s="2" t="s">
        <x:v>186</x:v>
      </x:c>
      <x:c r="C8" s="2" t="str">
        <x:v>通过</x:v>
      </x:c>
      <x:c r="D8" s="2" t="str">
        <x:v>通过</x:v>
      </x:c>
      <x:c r="E8" s="2" t="str">
        <x:v>通过</x:v>
      </x:c>
      <x:c r="F8" s="2" t="str">
        <x:v>通过</x:v>
      </x:c>
      <x:c r="G8" s="2" t="str">
        <x:v>通过</x:v>
      </x:c>
      <x:c r="H8" s="2" t="str">
        <x:v>通过</x:v>
      </x:c>
      <x:c r="I8" s="2" t="str">
        <x:v>通过</x:v>
      </x:c>
      <x:c r="J8" s="2" t="str">
        <x:v>通过</x:v>
      </x:c>
      <x:c r="K8" s="2" t="str">
        <x:v>通过</x:v>
      </x:c>
      <x:c r="L8" s="2" t="str">
        <x:v>通过</x:v>
      </x:c>
      <x:c r="M8" s="2" t="str">
        <x:v>通过</x:v>
      </x:c>
      <x:c r="N8" s="2" t="str">
        <x:v>通过</x:v>
      </x:c>
      <x:c r="O8" s="2" t="str">
        <x:f t="shared" si="0"/>
        <x:v>通过</x:v>
      </x:c>
      <x:c r="P8" s="2" t="str">
        <x:v>用户批量复核确认</x:v>
      </x:c>
      <x:c r="Q8" s="123" t="n">
        <x:v>46220</x:v>
      </x:c>
      <x:c r="R8" s="6" t="str">
        <x:v>用户在06_批量复核摘要中标记为“通过”，阶段四该事件已正式验收。</x:v>
      </x:c>
    </x:row>
    <x:row r="9" ht="28">
      <x:c r="A9" s="12" t="s">
        <x:v>200</x:v>
      </x:c>
      <x:c r="B9" s="2" t="s">
        <x:v>202</x:v>
      </x:c>
      <x:c r="C9" s="2" t="str">
        <x:v>通过</x:v>
      </x:c>
      <x:c r="D9" s="2" t="str">
        <x:v>通过</x:v>
      </x:c>
      <x:c r="E9" s="2" t="str">
        <x:v>通过</x:v>
      </x:c>
      <x:c r="F9" s="2" t="str">
        <x:v>通过</x:v>
      </x:c>
      <x:c r="G9" s="2" t="str">
        <x:v>通过</x:v>
      </x:c>
      <x:c r="H9" s="2" t="str">
        <x:v>通过</x:v>
      </x:c>
      <x:c r="I9" s="2" t="str">
        <x:v>通过</x:v>
      </x:c>
      <x:c r="J9" s="2" t="str">
        <x:v>通过</x:v>
      </x:c>
      <x:c r="K9" s="2" t="str">
        <x:v>通过</x:v>
      </x:c>
      <x:c r="L9" s="2" t="str">
        <x:v>通过</x:v>
      </x:c>
      <x:c r="M9" s="2" t="str">
        <x:v>通过</x:v>
      </x:c>
      <x:c r="N9" s="2" t="str">
        <x:v>通过</x:v>
      </x:c>
      <x:c r="O9" s="2" t="str">
        <x:f t="shared" si="0"/>
        <x:v>通过</x:v>
      </x:c>
      <x:c r="P9" s="2" t="str">
        <x:v>用户批量复核确认</x:v>
      </x:c>
      <x:c r="Q9" s="123" t="n">
        <x:v>46220</x:v>
      </x:c>
      <x:c r="R9" s="6" t="str">
        <x:v>用户在06_批量复核摘要中标记为“通过”，阶段四该事件已正式验收。</x:v>
      </x:c>
    </x:row>
    <x:row r="10" ht="28">
      <x:c r="A10" s="12" t="s">
        <x:v>223</x:v>
      </x:c>
      <x:c r="B10" s="2" t="s">
        <x:v>225</x:v>
      </x:c>
      <x:c r="C10" s="2" t="str">
        <x:v>通过</x:v>
      </x:c>
      <x:c r="D10" s="2" t="str">
        <x:v>通过</x:v>
      </x:c>
      <x:c r="E10" s="2" t="str">
        <x:v>通过</x:v>
      </x:c>
      <x:c r="F10" s="2" t="str">
        <x:v>通过</x:v>
      </x:c>
      <x:c r="G10" s="2" t="str">
        <x:v>通过</x:v>
      </x:c>
      <x:c r="H10" s="2" t="str">
        <x:v>通过</x:v>
      </x:c>
      <x:c r="I10" s="2" t="str">
        <x:v>通过</x:v>
      </x:c>
      <x:c r="J10" s="2" t="str">
        <x:v>通过</x:v>
      </x:c>
      <x:c r="K10" s="2" t="str">
        <x:v>通过</x:v>
      </x:c>
      <x:c r="L10" s="2" t="str">
        <x:v>通过</x:v>
      </x:c>
      <x:c r="M10" s="2" t="str">
        <x:v>通过</x:v>
      </x:c>
      <x:c r="N10" s="2" t="str">
        <x:v>通过</x:v>
      </x:c>
      <x:c r="O10" s="2" t="str">
        <x:f t="shared" si="0"/>
        <x:v>通过</x:v>
      </x:c>
      <x:c r="P10" s="2" t="str">
        <x:v>用户批量复核确认</x:v>
      </x:c>
      <x:c r="Q10" s="123" t="n">
        <x:v>46220</x:v>
      </x:c>
      <x:c r="R10" s="6" t="str">
        <x:v>用户在06_批量复核摘要中标记为“通过”，阶段四该事件已正式验收。</x:v>
      </x:c>
    </x:row>
    <x:row r="11" ht="28">
      <x:c r="A11" s="12" t="s">
        <x:v>245</x:v>
      </x:c>
      <x:c r="B11" s="2" t="s">
        <x:v>247</x:v>
      </x:c>
      <x:c r="C11" s="2" t="str">
        <x:v>通过</x:v>
      </x:c>
      <x:c r="D11" s="2" t="str">
        <x:v>通过</x:v>
      </x:c>
      <x:c r="E11" s="2" t="str">
        <x:v>通过</x:v>
      </x:c>
      <x:c r="F11" s="2" t="str">
        <x:v>通过</x:v>
      </x:c>
      <x:c r="G11" s="2" t="str">
        <x:v>通过</x:v>
      </x:c>
      <x:c r="H11" s="2" t="str">
        <x:v>通过</x:v>
      </x:c>
      <x:c r="I11" s="2" t="str">
        <x:v>通过</x:v>
      </x:c>
      <x:c r="J11" s="2" t="str">
        <x:v>通过</x:v>
      </x:c>
      <x:c r="K11" s="2" t="str">
        <x:v>通过</x:v>
      </x:c>
      <x:c r="L11" s="2" t="str">
        <x:v>通过</x:v>
      </x:c>
      <x:c r="M11" s="2" t="str">
        <x:v>通过</x:v>
      </x:c>
      <x:c r="N11" s="2" t="str">
        <x:v>通过</x:v>
      </x:c>
      <x:c r="O11" s="2" t="str">
        <x:f t="shared" si="0"/>
        <x:v>通过</x:v>
      </x:c>
      <x:c r="P11" s="2" t="str">
        <x:v>用户批量复核确认</x:v>
      </x:c>
      <x:c r="Q11" s="123" t="n">
        <x:v>46220</x:v>
      </x:c>
      <x:c r="R11" s="6" t="str">
        <x:v>用户在06_批量复核摘要中标记为“通过”，阶段四该事件已正式验收。</x:v>
      </x:c>
    </x:row>
    <x:row r="12" ht="28">
      <x:c r="A12" s="12" t="s">
        <x:v>270</x:v>
      </x:c>
      <x:c r="B12" s="2" t="s">
        <x:v>272</x:v>
      </x:c>
      <x:c r="C12" s="2" t="str">
        <x:v>通过</x:v>
      </x:c>
      <x:c r="D12" s="2" t="str">
        <x:v>通过</x:v>
      </x:c>
      <x:c r="E12" s="2" t="str">
        <x:v>通过</x:v>
      </x:c>
      <x:c r="F12" s="2" t="str">
        <x:v>通过</x:v>
      </x:c>
      <x:c r="G12" s="2" t="str">
        <x:v>通过</x:v>
      </x:c>
      <x:c r="H12" s="2" t="str">
        <x:v>通过</x:v>
      </x:c>
      <x:c r="I12" s="2" t="str">
        <x:v>通过</x:v>
      </x:c>
      <x:c r="J12" s="2" t="str">
        <x:v>通过</x:v>
      </x:c>
      <x:c r="K12" s="2" t="str">
        <x:v>通过</x:v>
      </x:c>
      <x:c r="L12" s="2" t="str">
        <x:v>通过</x:v>
      </x:c>
      <x:c r="M12" s="2" t="str">
        <x:v>通过</x:v>
      </x:c>
      <x:c r="N12" s="2" t="str">
        <x:v>通过</x:v>
      </x:c>
      <x:c r="O12" s="2" t="str">
        <x:f t="shared" si="0"/>
        <x:v>通过</x:v>
      </x:c>
      <x:c r="P12" s="2" t="str">
        <x:v>用户批量复核确认</x:v>
      </x:c>
      <x:c r="Q12" s="123" t="n">
        <x:v>46220</x:v>
      </x:c>
      <x:c r="R12" s="6" t="str">
        <x:v>用户在06_批量复核摘要中标记为“通过”，阶段四该事件已正式验收。</x:v>
      </x:c>
    </x:row>
    <x:row r="13" ht="28">
      <x:c r="A13" s="12" t="s">
        <x:v>291</x:v>
      </x:c>
      <x:c r="B13" s="2" t="s">
        <x:v>293</x:v>
      </x:c>
      <x:c r="C13" s="2" t="str">
        <x:v>通过</x:v>
      </x:c>
      <x:c r="D13" s="2" t="str">
        <x:v>通过</x:v>
      </x:c>
      <x:c r="E13" s="2" t="str">
        <x:v>通过</x:v>
      </x:c>
      <x:c r="F13" s="2" t="str">
        <x:v>通过</x:v>
      </x:c>
      <x:c r="G13" s="2" t="str">
        <x:v>通过</x:v>
      </x:c>
      <x:c r="H13" s="2" t="str">
        <x:v>通过</x:v>
      </x:c>
      <x:c r="I13" s="2" t="str">
        <x:v>通过</x:v>
      </x:c>
      <x:c r="J13" s="2" t="str">
        <x:v>通过</x:v>
      </x:c>
      <x:c r="K13" s="2" t="str">
        <x:v>通过</x:v>
      </x:c>
      <x:c r="L13" s="2" t="str">
        <x:v>通过</x:v>
      </x:c>
      <x:c r="M13" s="2" t="str">
        <x:v>通过</x:v>
      </x:c>
      <x:c r="N13" s="2" t="str">
        <x:v>通过</x:v>
      </x:c>
      <x:c r="O13" s="2" t="str">
        <x:f t="shared" si="0"/>
        <x:v>通过</x:v>
      </x:c>
      <x:c r="P13" s="2" t="str">
        <x:v>用户批量复核确认</x:v>
      </x:c>
      <x:c r="Q13" s="123" t="n">
        <x:v>46220</x:v>
      </x:c>
      <x:c r="R13" s="6" t="str">
        <x:v>用户在06_批量复核摘要中标记为“通过”，阶段四该事件已正式验收。</x:v>
      </x:c>
    </x:row>
    <x:row r="14" ht="28">
      <x:c r="A14" s="12" t="s">
        <x:v>312</x:v>
      </x:c>
      <x:c r="B14" s="2" t="s">
        <x:v>314</x:v>
      </x:c>
      <x:c r="C14" s="2" t="str">
        <x:v>通过</x:v>
      </x:c>
      <x:c r="D14" s="2" t="str">
        <x:v>通过</x:v>
      </x:c>
      <x:c r="E14" s="2" t="str">
        <x:v>通过</x:v>
      </x:c>
      <x:c r="F14" s="2" t="str">
        <x:v>通过</x:v>
      </x:c>
      <x:c r="G14" s="2" t="str">
        <x:v>通过</x:v>
      </x:c>
      <x:c r="H14" s="2" t="str">
        <x:v>通过</x:v>
      </x:c>
      <x:c r="I14" s="2" t="str">
        <x:v>通过</x:v>
      </x:c>
      <x:c r="J14" s="2" t="str">
        <x:v>通过</x:v>
      </x:c>
      <x:c r="K14" s="2" t="str">
        <x:v>通过</x:v>
      </x:c>
      <x:c r="L14" s="2" t="str">
        <x:v>通过</x:v>
      </x:c>
      <x:c r="M14" s="2" t="str">
        <x:v>通过</x:v>
      </x:c>
      <x:c r="N14" s="2" t="str">
        <x:v>通过</x:v>
      </x:c>
      <x:c r="O14" s="2" t="str">
        <x:f t="shared" si="0"/>
        <x:v>通过</x:v>
      </x:c>
      <x:c r="P14" s="2" t="str">
        <x:v>用户批量复核确认</x:v>
      </x:c>
      <x:c r="Q14" s="123" t="n">
        <x:v>46220</x:v>
      </x:c>
      <x:c r="R14" s="6" t="str">
        <x:v>用户在06_批量复核摘要中标记为“通过”，阶段四该事件已正式验收。</x:v>
      </x:c>
    </x:row>
    <x:row r="15" ht="28">
      <x:c r="A15" s="12" t="s">
        <x:v>335</x:v>
      </x:c>
      <x:c r="B15" s="2" t="s">
        <x:v>338</x:v>
      </x:c>
      <x:c r="C15" s="2" t="str">
        <x:v>通过</x:v>
      </x:c>
      <x:c r="D15" s="2" t="str">
        <x:v>通过</x:v>
      </x:c>
      <x:c r="E15" s="2" t="str">
        <x:v>通过</x:v>
      </x:c>
      <x:c r="F15" s="2" t="str">
        <x:v>通过</x:v>
      </x:c>
      <x:c r="G15" s="2" t="str">
        <x:v>通过</x:v>
      </x:c>
      <x:c r="H15" s="2" t="str">
        <x:v>通过</x:v>
      </x:c>
      <x:c r="I15" s="2" t="str">
        <x:v>通过</x:v>
      </x:c>
      <x:c r="J15" s="2" t="str">
        <x:v>通过</x:v>
      </x:c>
      <x:c r="K15" s="2" t="str">
        <x:v>通过</x:v>
      </x:c>
      <x:c r="L15" s="2" t="str">
        <x:v>通过</x:v>
      </x:c>
      <x:c r="M15" s="2" t="str">
        <x:v>通过</x:v>
      </x:c>
      <x:c r="N15" s="2" t="str">
        <x:v>通过</x:v>
      </x:c>
      <x:c r="O15" s="2" t="str">
        <x:f t="shared" si="0"/>
        <x:v>通过</x:v>
      </x:c>
      <x:c r="P15" s="2" t="str">
        <x:v>用户批量复核确认</x:v>
      </x:c>
      <x:c r="Q15" s="123" t="n">
        <x:v>46220</x:v>
      </x:c>
      <x:c r="R15" s="6" t="str">
        <x:v>用户在06_批量复核摘要中标记为“通过”，阶段四该事件已正式验收。</x:v>
      </x:c>
    </x:row>
    <x:row r="16" ht="28">
      <x:c r="A16" s="12" t="s">
        <x:v>359</x:v>
      </x:c>
      <x:c r="B16" s="2" t="s">
        <x:v>362</x:v>
      </x:c>
      <x:c r="C16" s="2" t="str">
        <x:v>通过</x:v>
      </x:c>
      <x:c r="D16" s="2" t="str">
        <x:v>通过</x:v>
      </x:c>
      <x:c r="E16" s="2" t="str">
        <x:v>通过</x:v>
      </x:c>
      <x:c r="F16" s="2" t="str">
        <x:v>通过</x:v>
      </x:c>
      <x:c r="G16" s="2" t="str">
        <x:v>通过</x:v>
      </x:c>
      <x:c r="H16" s="2" t="str">
        <x:v>通过</x:v>
      </x:c>
      <x:c r="I16" s="2" t="str">
        <x:v>通过</x:v>
      </x:c>
      <x:c r="J16" s="2" t="str">
        <x:v>通过</x:v>
      </x:c>
      <x:c r="K16" s="2" t="str">
        <x:v>通过</x:v>
      </x:c>
      <x:c r="L16" s="2" t="str">
        <x:v>通过</x:v>
      </x:c>
      <x:c r="M16" s="2" t="str">
        <x:v>通过</x:v>
      </x:c>
      <x:c r="N16" s="2" t="str">
        <x:v>通过</x:v>
      </x:c>
      <x:c r="O16" s="2" t="str">
        <x:f t="shared" si="0"/>
        <x:v>通过</x:v>
      </x:c>
      <x:c r="P16" s="2" t="str">
        <x:v>用户批量复核确认</x:v>
      </x:c>
      <x:c r="Q16" s="123" t="n">
        <x:v>46220</x:v>
      </x:c>
      <x:c r="R16" s="6" t="str">
        <x:v>用户在06_批量复核摘要中标记为“通过”，阶段四该事件已正式验收。</x:v>
      </x:c>
    </x:row>
    <x:row r="17" ht="28">
      <x:c r="A17" s="12" t="s">
        <x:v>381</x:v>
      </x:c>
      <x:c r="B17" s="2" t="s">
        <x:v>382</x:v>
      </x:c>
      <x:c r="C17" s="2" t="str">
        <x:v>通过</x:v>
      </x:c>
      <x:c r="D17" s="2" t="str">
        <x:v>通过</x:v>
      </x:c>
      <x:c r="E17" s="2" t="str">
        <x:v>通过</x:v>
      </x:c>
      <x:c r="F17" s="2" t="str">
        <x:v>通过</x:v>
      </x:c>
      <x:c r="G17" s="2" t="str">
        <x:v>通过</x:v>
      </x:c>
      <x:c r="H17" s="2" t="str">
        <x:v>通过</x:v>
      </x:c>
      <x:c r="I17" s="2" t="str">
        <x:v>通过</x:v>
      </x:c>
      <x:c r="J17" s="2" t="str">
        <x:v>通过</x:v>
      </x:c>
      <x:c r="K17" s="2" t="str">
        <x:v>通过</x:v>
      </x:c>
      <x:c r="L17" s="2" t="str">
        <x:v>通过</x:v>
      </x:c>
      <x:c r="M17" s="2" t="str">
        <x:v>通过</x:v>
      </x:c>
      <x:c r="N17" s="2" t="str">
        <x:v>通过</x:v>
      </x:c>
      <x:c r="O17" s="2" t="str">
        <x:f t="shared" si="0"/>
        <x:v>通过</x:v>
      </x:c>
      <x:c r="P17" s="2" t="str">
        <x:v>用户批量复核确认</x:v>
      </x:c>
      <x:c r="Q17" s="123" t="n">
        <x:v>46220</x:v>
      </x:c>
      <x:c r="R17" s="6" t="str">
        <x:v>用户在06_批量复核摘要中标记为“通过”，阶段四该事件已正式验收。</x:v>
      </x:c>
    </x:row>
    <x:row r="18" ht="28">
      <x:c r="A18" s="12" t="s">
        <x:v>400</x:v>
      </x:c>
      <x:c r="B18" s="2" t="s">
        <x:v>402</x:v>
      </x:c>
      <x:c r="C18" s="2" t="str">
        <x:v>通过</x:v>
      </x:c>
      <x:c r="D18" s="2" t="str">
        <x:v>通过</x:v>
      </x:c>
      <x:c r="E18" s="2" t="str">
        <x:v>通过</x:v>
      </x:c>
      <x:c r="F18" s="2" t="str">
        <x:v>通过</x:v>
      </x:c>
      <x:c r="G18" s="2" t="str">
        <x:v>通过</x:v>
      </x:c>
      <x:c r="H18" s="2" t="str">
        <x:v>通过</x:v>
      </x:c>
      <x:c r="I18" s="2" t="str">
        <x:v>通过</x:v>
      </x:c>
      <x:c r="J18" s="2" t="str">
        <x:v>通过</x:v>
      </x:c>
      <x:c r="K18" s="2" t="str">
        <x:v>通过</x:v>
      </x:c>
      <x:c r="L18" s="2" t="str">
        <x:v>通过</x:v>
      </x:c>
      <x:c r="M18" s="2" t="str">
        <x:v>通过</x:v>
      </x:c>
      <x:c r="N18" s="2" t="str">
        <x:v>通过</x:v>
      </x:c>
      <x:c r="O18" s="2" t="str">
        <x:f t="shared" si="0"/>
        <x:v>通过</x:v>
      </x:c>
      <x:c r="P18" s="2" t="str">
        <x:v>用户批量复核确认</x:v>
      </x:c>
      <x:c r="Q18" s="123" t="n">
        <x:v>46220</x:v>
      </x:c>
      <x:c r="R18" s="6" t="str">
        <x:v>用户在06_批量复核摘要中标记为“通过”，阶段四该事件已正式验收。</x:v>
      </x:c>
    </x:row>
    <x:row r="19" ht="28">
      <x:c r="A19" s="12" t="s">
        <x:v>419</x:v>
      </x:c>
      <x:c r="B19" s="2" t="s">
        <x:v>421</x:v>
      </x:c>
      <x:c r="C19" s="2" t="str">
        <x:v>通过</x:v>
      </x:c>
      <x:c r="D19" s="2" t="str">
        <x:v>通过</x:v>
      </x:c>
      <x:c r="E19" s="2" t="str">
        <x:v>通过</x:v>
      </x:c>
      <x:c r="F19" s="2" t="str">
        <x:v>通过</x:v>
      </x:c>
      <x:c r="G19" s="2" t="str">
        <x:v>通过</x:v>
      </x:c>
      <x:c r="H19" s="2" t="str">
        <x:v>通过</x:v>
      </x:c>
      <x:c r="I19" s="2" t="str">
        <x:v>通过</x:v>
      </x:c>
      <x:c r="J19" s="2" t="str">
        <x:v>通过</x:v>
      </x:c>
      <x:c r="K19" s="2" t="str">
        <x:v>通过</x:v>
      </x:c>
      <x:c r="L19" s="2" t="str">
        <x:v>通过</x:v>
      </x:c>
      <x:c r="M19" s="2" t="str">
        <x:v>通过</x:v>
      </x:c>
      <x:c r="N19" s="2" t="str">
        <x:v>通过</x:v>
      </x:c>
      <x:c r="O19" s="2" t="str">
        <x:f t="shared" si="0"/>
        <x:v>通过</x:v>
      </x:c>
      <x:c r="P19" s="2" t="str">
        <x:v>用户批量复核确认</x:v>
      </x:c>
      <x:c r="Q19" s="123" t="n">
        <x:v>46220</x:v>
      </x:c>
      <x:c r="R19" s="6" t="str">
        <x:v>用户在06_批量复核摘要中标记为“通过”，阶段四该事件已正式验收。</x:v>
      </x:c>
    </x:row>
    <x:row r="20" ht="28">
      <x:c r="A20" s="13" t="s">
        <x:v>436</x:v>
      </x:c>
      <x:c r="B20" s="19" t="s">
        <x:v>438</x:v>
      </x:c>
      <x:c r="C20" s="19" t="str">
        <x:v>通过</x:v>
      </x:c>
      <x:c r="D20" s="19" t="str">
        <x:v>通过</x:v>
      </x:c>
      <x:c r="E20" s="19" t="str">
        <x:v>通过</x:v>
      </x:c>
      <x:c r="F20" s="19" t="str">
        <x:v>通过</x:v>
      </x:c>
      <x:c r="G20" s="19" t="str">
        <x:v>通过</x:v>
      </x:c>
      <x:c r="H20" s="19" t="str">
        <x:v>通过</x:v>
      </x:c>
      <x:c r="I20" s="19" t="str">
        <x:v>通过</x:v>
      </x:c>
      <x:c r="J20" s="19" t="str">
        <x:v>通过</x:v>
      </x:c>
      <x:c r="K20" s="19" t="str">
        <x:v>通过</x:v>
      </x:c>
      <x:c r="L20" s="19" t="str">
        <x:v>通过</x:v>
      </x:c>
      <x:c r="M20" s="19" t="str">
        <x:v>通过</x:v>
      </x:c>
      <x:c r="N20" s="19" t="str">
        <x:v>通过</x:v>
      </x:c>
      <x:c r="O20" s="19" t="str">
        <x:f t="shared" si="0"/>
        <x:v>通过</x:v>
      </x:c>
      <x:c r="P20" s="19" t="str">
        <x:v>用户批量复核确认</x:v>
      </x:c>
      <x:c r="Q20" s="125" t="n">
        <x:v>46220</x:v>
      </x:c>
      <x:c r="R20" s="8" t="str">
        <x:v>用户在06_批量复核摘要中标记为“通过”，阶段四该事件已正式验收。</x:v>
      </x:c>
    </x:row>
    <x:row r="21">
      <x:c r="A21" s="2" t="s">
        <x:v>451</x:v>
      </x:c>
      <x:c r="B21" t="s">
        <x:v>1445</x:v>
      </x:c>
      <x:c r="C21" t="s">
        <x:v>1441</x:v>
      </x:c>
      <x:c r="D21" t="s">
        <x:v>1441</x:v>
      </x:c>
      <x:c r="E21" t="s">
        <x:v>1441</x:v>
      </x:c>
      <x:c r="F21" t="s">
        <x:v>1441</x:v>
      </x:c>
      <x:c r="G21" t="s">
        <x:v>1441</x:v>
      </x:c>
      <x:c r="H21" t="s">
        <x:v>1441</x:v>
      </x:c>
      <x:c r="I21" t="s">
        <x:v>1441</x:v>
      </x:c>
      <x:c r="J21" t="s">
        <x:v>1441</x:v>
      </x:c>
      <x:c r="K21" t="s">
        <x:v>1441</x:v>
      </x:c>
      <x:c r="L21" t="s">
        <x:v>1441</x:v>
      </x:c>
      <x:c r="M21" t="s">
        <x:v>1441</x:v>
      </x:c>
      <x:c r="N21" t="s">
        <x:v>1441</x:v>
      </x:c>
      <x:c r="O21" t="s">
        <x:v>1441</x:v>
      </x:c>
      <x:c r="P21" t="s">
        <x:v>102</x:v>
      </x:c>
      <x:c r="Q21">
        <x:v>46219</x:v>
      </x:c>
      <x:c r="R21" t="s">
        <x:v>1446</x:v>
      </x:c>
    </x:row>
    <x:row r="22">
      <x:c r="A22" s="2" t="s">
        <x:v>464</x:v>
      </x:c>
      <x:c r="B22" t="s">
        <x:v>1447</x:v>
      </x:c>
      <x:c r="C22" t="s">
        <x:v>1441</x:v>
      </x:c>
      <x:c r="D22" t="s">
        <x:v>1441</x:v>
      </x:c>
      <x:c r="E22" t="s">
        <x:v>1441</x:v>
      </x:c>
      <x:c r="F22" t="s">
        <x:v>1441</x:v>
      </x:c>
      <x:c r="G22" t="s">
        <x:v>1441</x:v>
      </x:c>
      <x:c r="H22" t="s">
        <x:v>1441</x:v>
      </x:c>
      <x:c r="I22" t="s">
        <x:v>1441</x:v>
      </x:c>
      <x:c r="J22" t="s">
        <x:v>1441</x:v>
      </x:c>
      <x:c r="K22" t="s">
        <x:v>1441</x:v>
      </x:c>
      <x:c r="L22" t="s">
        <x:v>1441</x:v>
      </x:c>
      <x:c r="M22" t="s">
        <x:v>1441</x:v>
      </x:c>
      <x:c r="N22" t="s">
        <x:v>1441</x:v>
      </x:c>
      <x:c r="O22" t="s">
        <x:v>1441</x:v>
      </x:c>
      <x:c r="P22" t="s">
        <x:v>102</x:v>
      </x:c>
      <x:c r="Q22">
        <x:v>46219</x:v>
      </x:c>
      <x:c r="R22" t="s">
        <x:v>1446</x:v>
      </x:c>
    </x:row>
    <x:row r="23">
      <x:c r="A23" s="2" t="s">
        <x:v>474</x:v>
      </x:c>
      <x:c r="B23" t="s">
        <x:v>1448</x:v>
      </x:c>
      <x:c r="C23" t="str">
        <x:v>通过</x:v>
      </x:c>
      <x:c r="D23" t="str">
        <x:v>通过</x:v>
      </x:c>
      <x:c r="E23" t="str">
        <x:v>通过</x:v>
      </x:c>
      <x:c r="F23" t="str">
        <x:v>通过</x:v>
      </x:c>
      <x:c r="G23" t="str">
        <x:v>通过</x:v>
      </x:c>
      <x:c r="H23" t="str">
        <x:v>通过</x:v>
      </x:c>
      <x:c r="I23" t="str">
        <x:v>通过</x:v>
      </x:c>
      <x:c r="J23" t="str">
        <x:v>通过</x:v>
      </x:c>
      <x:c r="K23" t="str">
        <x:v>通过</x:v>
      </x:c>
      <x:c r="L23" t="str">
        <x:v>通过</x:v>
      </x:c>
      <x:c r="M23" t="str">
        <x:v>通过</x:v>
      </x:c>
      <x:c r="N23" t="str">
        <x:v>通过</x:v>
      </x:c>
      <x:c r="O23" t="s">
        <x:v>1441</x:v>
      </x:c>
      <x:c r="P23" t="str">
        <x:v>用户批量复核确认</x:v>
      </x:c>
      <x:c r="Q23" s="127" t="n">
        <x:v>46220</x:v>
      </x:c>
      <x:c r="R23" t="str">
        <x:v>用户在06_批量复核摘要中标记为“通过”，阶段四该事件已正式验收。</x:v>
      </x:c>
    </x:row>
    <x:row r="24">
      <x:c r="A24" s="2" t="s">
        <x:v>486</x:v>
      </x:c>
      <x:c r="B24" t="s">
        <x:v>1449</x:v>
      </x:c>
      <x:c r="C24" t="str">
        <x:v>通过</x:v>
      </x:c>
      <x:c r="D24" t="str">
        <x:v>通过</x:v>
      </x:c>
      <x:c r="E24" t="str">
        <x:v>通过</x:v>
      </x:c>
      <x:c r="F24" t="str">
        <x:v>通过</x:v>
      </x:c>
      <x:c r="G24" t="str">
        <x:v>通过</x:v>
      </x:c>
      <x:c r="H24" t="str">
        <x:v>通过</x:v>
      </x:c>
      <x:c r="I24" t="str">
        <x:v>通过</x:v>
      </x:c>
      <x:c r="J24" t="str">
        <x:v>通过</x:v>
      </x:c>
      <x:c r="K24" t="str">
        <x:v>通过</x:v>
      </x:c>
      <x:c r="L24" t="str">
        <x:v>通过</x:v>
      </x:c>
      <x:c r="M24" t="str">
        <x:v>通过</x:v>
      </x:c>
      <x:c r="N24" t="str">
        <x:v>通过</x:v>
      </x:c>
      <x:c r="O24" t="s">
        <x:v>1441</x:v>
      </x:c>
      <x:c r="P24" t="str">
        <x:v>用户批量复核确认</x:v>
      </x:c>
      <x:c r="Q24" s="127" t="n">
        <x:v>46220</x:v>
      </x:c>
      <x:c r="R24" t="str">
        <x:v>用户在06_批量复核摘要中标记为“通过”，阶段四该事件已正式验收。</x:v>
      </x:c>
    </x:row>
    <x:row r="25">
      <x:c r="A25" s="2" t="s">
        <x:v>503</x:v>
      </x:c>
      <x:c r="B25" t="s">
        <x:v>1450</x:v>
      </x:c>
      <x:c r="C25" t="str">
        <x:v>通过</x:v>
      </x:c>
      <x:c r="D25" t="str">
        <x:v>通过</x:v>
      </x:c>
      <x:c r="E25" t="str">
        <x:v>通过</x:v>
      </x:c>
      <x:c r="F25" t="str">
        <x:v>通过</x:v>
      </x:c>
      <x:c r="G25" t="str">
        <x:v>通过</x:v>
      </x:c>
      <x:c r="H25" t="str">
        <x:v>通过</x:v>
      </x:c>
      <x:c r="I25" t="str">
        <x:v>通过</x:v>
      </x:c>
      <x:c r="J25" t="str">
        <x:v>通过</x:v>
      </x:c>
      <x:c r="K25" t="str">
        <x:v>通过</x:v>
      </x:c>
      <x:c r="L25" t="str">
        <x:v>通过</x:v>
      </x:c>
      <x:c r="M25" t="str">
        <x:v>通过</x:v>
      </x:c>
      <x:c r="N25" t="str">
        <x:v>通过</x:v>
      </x:c>
      <x:c r="O25" t="s">
        <x:v>1441</x:v>
      </x:c>
      <x:c r="P25" t="str">
        <x:v>用户批量复核确认</x:v>
      </x:c>
      <x:c r="Q25" s="127" t="n">
        <x:v>46220</x:v>
      </x:c>
      <x:c r="R25" t="str">
        <x:v>用户在06_批量复核摘要中标记为“通过”，阶段四该事件已正式验收。</x:v>
      </x:c>
    </x:row>
    <x:row r="26">
      <x:c r="A26" s="2" t="s">
        <x:v>515</x:v>
      </x:c>
      <x:c r="B26" t="s">
        <x:v>1451</x:v>
      </x:c>
      <x:c r="C26" t="str">
        <x:v>通过</x:v>
      </x:c>
      <x:c r="D26" t="str">
        <x:v>通过</x:v>
      </x:c>
      <x:c r="E26" t="str">
        <x:v>通过</x:v>
      </x:c>
      <x:c r="F26" t="str">
        <x:v>通过</x:v>
      </x:c>
      <x:c r="G26" t="str">
        <x:v>通过</x:v>
      </x:c>
      <x:c r="H26" t="str">
        <x:v>通过</x:v>
      </x:c>
      <x:c r="I26" t="str">
        <x:v>通过</x:v>
      </x:c>
      <x:c r="J26" t="str">
        <x:v>通过</x:v>
      </x:c>
      <x:c r="K26" t="str">
        <x:v>通过</x:v>
      </x:c>
      <x:c r="L26" t="str">
        <x:v>通过</x:v>
      </x:c>
      <x:c r="M26" t="str">
        <x:v>通过</x:v>
      </x:c>
      <x:c r="N26" t="str">
        <x:v>通过</x:v>
      </x:c>
      <x:c r="O26" t="s">
        <x:v>1441</x:v>
      </x:c>
      <x:c r="P26" t="str">
        <x:v>用户批量复核确认</x:v>
      </x:c>
      <x:c r="Q26" s="127" t="n">
        <x:v>46220</x:v>
      </x:c>
      <x:c r="R26" t="str">
        <x:v>用户在06_批量复核摘要中标记为“通过”，阶段四该事件已正式验收。</x:v>
      </x:c>
    </x:row>
    <x:row r="27">
      <x:c r="A27" s="2" t="s">
        <x:v>529</x:v>
      </x:c>
      <x:c r="B27" t="s">
        <x:v>1452</x:v>
      </x:c>
      <x:c r="C27" t="str">
        <x:v>通过</x:v>
      </x:c>
      <x:c r="D27" t="str">
        <x:v>通过</x:v>
      </x:c>
      <x:c r="E27" t="str">
        <x:v>通过</x:v>
      </x:c>
      <x:c r="F27" t="str">
        <x:v>通过</x:v>
      </x:c>
      <x:c r="G27" t="str">
        <x:v>通过</x:v>
      </x:c>
      <x:c r="H27" t="str">
        <x:v>通过</x:v>
      </x:c>
      <x:c r="I27" t="str">
        <x:v>通过</x:v>
      </x:c>
      <x:c r="J27" t="str">
        <x:v>通过</x:v>
      </x:c>
      <x:c r="K27" t="str">
        <x:v>通过</x:v>
      </x:c>
      <x:c r="L27" t="str">
        <x:v>通过</x:v>
      </x:c>
      <x:c r="M27" t="str">
        <x:v>通过</x:v>
      </x:c>
      <x:c r="N27" t="str">
        <x:v>通过</x:v>
      </x:c>
      <x:c r="O27" t="s">
        <x:v>1441</x:v>
      </x:c>
      <x:c r="P27" t="str">
        <x:v>用户批量复核确认</x:v>
      </x:c>
      <x:c r="Q27" s="127" t="n">
        <x:v>46220</x:v>
      </x:c>
      <x:c r="R27" t="str">
        <x:v>用户在06_批量复核摘要中标记为“通过”，阶段四该事件已正式验收。</x:v>
      </x:c>
    </x:row>
    <x:row r="28">
      <x:c r="A28" s="2"/>
    </x:row>
    <x:row r="29">
      <x:c r="A29" s="2"/>
    </x:row>
    <x:row r="30">
      <x:c r="A30" s="2"/>
    </x:row>
    <x:row r="31">
      <x:c r="A31" s="2"/>
    </x:row>
    <x:row r="32">
      <x:c r="A32" s="2"/>
    </x:row>
    <x:row r="33">
      <x:c r="A33" s="2"/>
    </x:row>
    <x:row r="34">
      <x:c r="A34" s="2"/>
    </x:row>
    <x:row r="35">
      <x:c r="A35" s="2"/>
    </x:row>
    <x:row r="36">
      <x:c r="A36" s="2"/>
    </x:row>
    <x:row r="37">
      <x:c r="A37" s="2"/>
    </x:row>
    <x:row r="38">
      <x:c r="A38" s="2"/>
    </x:row>
    <x:row r="39">
      <x:c r="A39" s="2"/>
    </x:row>
    <x:row r="40">
      <x:c r="A40" s="2"/>
    </x:row>
  </x:sheetData>
  <x:conditionalFormatting sqref="O2:O20">
    <x:cfRule type="expression" dxfId="11" priority="1">
      <x:formula>O2="通过"</x:formula>
    </x:cfRule>
    <x:cfRule type="expression" dxfId="10" priority="2">
      <x:formula>O2="待复核"</x:formula>
    </x:cfRule>
    <x:cfRule type="expression" dxfId="9" priority="3">
      <x:formula>O2="不通过"</x:formula>
    </x:cfRule>
  </x:conditionalFormatting>
  <x:pageMargins left="0.7" right="0.7" top="0.75" bottom="0.75" header="0.3" footer="0.3"/>
  <x:tableParts count="1">
    <x:tablePart xmlns:r="http://schemas.openxmlformats.org/officeDocument/2006/relationships" r:id="R9e9f576a7fc54a4c"/>
  </x:tableParts>
</x:worksheet>
</file>

<file path=xl/worksheets/sheet7.xml><?xml version="1.0" encoding="utf-8"?>
<x:worksheet xmlns:x="http://schemas.openxmlformats.org/spreadsheetml/2006/main">
  <x:sheetFormatPr defaultRowHeight="14"/>
  <x:cols>
    <x:col min="1" max="7" width="28" customWidth="1"/>
  </x:cols>
  <x:sheetData>
    <x:row r="1">
      <x:c r="A1" s="27" t="s">
        <x:v>8</x:v>
      </x:c>
      <x:c r="B1" s="27" t="s">
        <x:v>1453</x:v>
      </x:c>
      <x:c r="C1" s="27" t="s">
        <x:v>1454</x:v>
      </x:c>
      <x:c r="D1" s="27" t="s">
        <x:v>1455</x:v>
      </x:c>
      <x:c r="E1" s="27" t="s">
        <x:v>1456</x:v>
      </x:c>
      <x:c r="F1" s="27" t="s">
        <x:v>1457</x:v>
      </x:c>
      <x:c r="G1" s="27" t="s">
        <x:v>1458</x:v>
      </x:c>
    </x:row>
    <x:row r="2">
      <x:c r="A2" s="28" t="s">
        <x:v>1459</x:v>
      </x:c>
      <x:c r="B2" s="28" t="s">
        <x:v>77</x:v>
      </x:c>
      <x:c r="C2" s="28" t="s">
        <x:v>115</x:v>
      </x:c>
      <x:c r="D2" s="28" t="s">
        <x:v>93</x:v>
      </x:c>
      <x:c r="E2" s="28" t="s">
        <x:v>580</x:v>
      </x:c>
      <x:c r="F2" s="28" t="s">
        <x:v>1460</x:v>
      </x:c>
      <x:c r="G2" s="28" t="s">
        <x:v>1459</x:v>
      </x:c>
    </x:row>
    <x:row r="3">
      <x:c r="A3" s="29" t="s">
        <x:v>1461</x:v>
      </x:c>
      <x:c r="B3" s="29" t="s">
        <x:v>336</x:v>
      </x:c>
      <x:c r="C3" s="29" t="s">
        <x:v>92</x:v>
      </x:c>
      <x:c r="D3" s="29" t="s">
        <x:v>1462</x:v>
      </x:c>
      <x:c r="E3" s="29" t="s">
        <x:v>674</x:v>
      </x:c>
      <x:c r="F3" s="29" t="s">
        <x:v>953</x:v>
      </x:c>
      <x:c r="G3" s="29" t="s">
        <x:v>1441</x:v>
      </x:c>
    </x:row>
    <x:row r="4">
      <x:c r="A4" s="29" t="s">
        <x:v>15</x:v>
      </x:c>
      <x:c r="B4" s="30" t="s">
        <x:v>360</x:v>
      </x:c>
      <x:c r="C4" s="30" t="s">
        <x:v>1463</x:v>
      </x:c>
      <x:c r="D4" s="29" t="s">
        <x:v>1464</x:v>
      </x:c>
      <x:c r="E4" s="29" t="s">
        <x:v>621</x:v>
      </x:c>
      <x:c r="F4" s="29" t="s">
        <x:v>966</x:v>
      </x:c>
      <x:c r="G4" s="29" t="s">
        <x:v>1465</x:v>
      </x:c>
    </x:row>
    <x:row r="5">
      <x:c r="A5" s="29" t="s">
        <x:v>13</x:v>
      </x:c>
      <x:c r="B5" t="s">
        <x:v>452</x:v>
      </x:c>
      <x:c r="D5" s="30" t="s">
        <x:v>15</x:v>
      </x:c>
      <x:c r="E5" s="29" t="s">
        <x:v>665</x:v>
      </x:c>
      <x:c r="F5" s="29" t="s">
        <x:v>1141</x:v>
      </x:c>
      <x:c r="G5" s="29" t="s">
        <x:v>1463</x:v>
      </x:c>
    </x:row>
    <x:row r="6">
      <x:c r="A6" s="30" t="s">
        <x:v>1465</x:v>
      </x:c>
      <x:c r="E6" s="29" t="s">
        <x:v>655</x:v>
      </x:c>
      <x:c r="F6" s="29" t="s">
        <x:v>1466</x:v>
      </x:c>
      <x:c r="G6" s="30" t="s">
        <x:v>97</x:v>
      </x:c>
    </x:row>
    <x:row r="7">
      <x:c r="E7" s="29" t="s">
        <x:v>1467</x:v>
      </x:c>
      <x:c r="F7" s="29" t="s">
        <x:v>972</x:v>
      </x:c>
    </x:row>
    <x:row r="8">
      <x:c r="E8" s="29" t="s">
        <x:v>1468</x:v>
      </x:c>
      <x:c r="F8" s="30" t="s">
        <x:v>1469</x:v>
      </x:c>
    </x:row>
    <x:row r="9">
      <x:c r="E9" s="29" t="s">
        <x:v>1470</x:v>
      </x:c>
    </x:row>
    <x:row r="10">
      <x:c r="E10" s="30" t="s">
        <x:v>1471</x:v>
      </x:c>
    </x:row>
  </x:sheetData>
  <x:pageMargins left="0.7" right="0.7" top="0.75" bottom="0.75" header="0.3" footer="0.3"/>
</x:worksheet>
</file>

<file path=xl/worksheets/sheet8.xml><?xml version="1.0" encoding="utf-8"?>
<x:worksheet xmlns:x="http://schemas.openxmlformats.org/spreadsheetml/2006/main">
  <x:sheetFormatPr defaultRowHeight="14"/>
  <x:cols>
    <x:col min="1" max="1" width="18" customWidth="1"/>
    <x:col min="2" max="2" width="42" customWidth="1"/>
    <x:col min="3" max="3" width="18" customWidth="1"/>
    <x:col min="4" max="4" width="20" customWidth="1"/>
    <x:col min="5" max="5" width="48" customWidth="1"/>
    <x:col min="6" max="6" width="32" customWidth="1"/>
    <x:col min="7" max="7" width="42" customWidth="1"/>
    <x:col min="8" max="8" width="18" customWidth="1"/>
  </x:cols>
  <x:sheetData>
    <x:row r="1" ht="22.649999618530273" customHeight="1">
      <x:c r="A1" s="56" t="str">
        <x:v>CE-003历史复核页（阶段四已全部验收；总览请查看06_批量复核摘要）</x:v>
      </x:c>
      <x:c r="B1" s="56"/>
      <x:c r="C1" s="56"/>
      <x:c r="D1" s="56"/>
      <x:c r="E1" s="56"/>
      <x:c r="F1" s="56"/>
      <x:c r="G1" s="56"/>
      <x:c r="H1" s="56"/>
    </x:row>
    <x:row r="2" ht="22.649999618530273" customHeight="1"/>
    <x:row r="3" ht="22.649999618530273" customHeight="1">
      <x:c r="A3" s="42" t="s">
        <x:v>1472</x:v>
      </x:c>
      <x:c r="B3" s="4" t="s">
        <x:v>1473</x:v>
      </x:c>
    </x:row>
    <x:row r="4" ht="22.649999618530273" customHeight="1">
      <x:c r="A4" s="43" t="s">
        <x:v>1457</x:v>
      </x:c>
      <x:c r="B4" s="6" t="s">
        <x:v>1474</x:v>
      </x:c>
    </x:row>
    <x:row r="5" ht="22.649999618530273" customHeight="1">
      <x:c r="A5" s="43" t="s">
        <x:v>1475</x:v>
      </x:c>
      <x:c r="B5" s="6" t="s">
        <x:v>1476</x:v>
      </x:c>
    </x:row>
    <x:row r="6" ht="22.649999618530273" customHeight="1">
      <x:c r="A6" s="43" t="s">
        <x:v>1477</x:v>
      </x:c>
      <x:c r="B6" s="6" t="s">
        <x:v>1478</x:v>
      </x:c>
    </x:row>
    <x:row r="7" ht="22.649999618530273" customHeight="1">
      <x:c r="A7" s="43" t="s">
        <x:v>1479</x:v>
      </x:c>
      <x:c r="B7" s="6" t="s">
        <x:v>1480</x:v>
      </x:c>
    </x:row>
    <x:row r="8" ht="22.649999618530273" customHeight="1">
      <x:c r="A8" s="43" t="s">
        <x:v>1481</x:v>
      </x:c>
      <x:c r="B8" s="6" t="s">
        <x:v>1482</x:v>
      </x:c>
    </x:row>
    <x:row r="9" ht="22.649999618530273" customHeight="1">
      <x:c r="A9" s="44" t="s">
        <x:v>1483</x:v>
      </x:c>
      <x:c r="B9" s="8" t="s">
        <x:v>15</x:v>
      </x:c>
    </x:row>
    <x:row r="10" ht="22.649999618530273" customHeight="1"/>
    <x:row r="11" ht="22.649999618530273" customHeight="1">
      <x:c r="A11" s="57" t="s">
        <x:v>1484</x:v>
      </x:c>
      <x:c r="B11" s="57"/>
      <x:c r="C11" s="57"/>
      <x:c r="D11" s="57"/>
      <x:c r="E11" s="57"/>
      <x:c r="F11" s="57"/>
      <x:c r="G11" s="57"/>
      <x:c r="H11" s="57"/>
    </x:row>
    <x:row r="12" ht="22.649999618530273" customHeight="1">
      <x:c r="A12" s="45" t="s">
        <x:v>1485</x:v>
      </x:c>
      <x:c r="B12" s="45" t="s">
        <x:v>1486</x:v>
      </x:c>
      <x:c r="C12" s="45" t="s">
        <x:v>1487</x:v>
      </x:c>
      <x:c r="D12" s="45" t="s">
        <x:v>1488</x:v>
      </x:c>
      <x:c r="E12" s="45" t="s">
        <x:v>1489</x:v>
      </x:c>
      <x:c r="F12" s="45" t="s">
        <x:v>1490</x:v>
      </x:c>
      <x:c r="G12" s="45" t="s">
        <x:v>1491</x:v>
      </x:c>
      <x:c r="H12" s="45" t="s">
        <x:v>8</x:v>
      </x:c>
    </x:row>
    <x:row r="13" ht="22.649999618530273" customHeight="1">
      <x:c r="A13" s="11" t="s">
        <x:v>985</x:v>
      </x:c>
      <x:c r="B13" s="18" t="s">
        <x:v>110</x:v>
      </x:c>
      <x:c r="C13" s="18" t="s">
        <x:v>111</x:v>
      </x:c>
      <x:c r="D13" s="18" t="s">
        <x:v>1492</x:v>
      </x:c>
      <x:c r="E13" s="18" t="s">
        <x:v>1493</x:v>
      </x:c>
      <x:c r="F13" s="18" t="s">
        <x:v>1494</x:v>
      </x:c>
      <x:c r="G13" s="18" t="s">
        <x:v>1495</x:v>
      </x:c>
      <x:c r="H13" s="4" t="s">
        <x:v>15</x:v>
      </x:c>
    </x:row>
    <x:row r="14" ht="22.649999618530273" customHeight="1">
      <x:c r="A14" s="13" t="s">
        <x:v>678</x:v>
      </x:c>
      <x:c r="B14" s="19" t="s">
        <x:v>110</x:v>
      </x:c>
      <x:c r="C14" s="19" t="s">
        <x:v>111</x:v>
      </x:c>
      <x:c r="D14" s="19" t="s">
        <x:v>1496</x:v>
      </x:c>
      <x:c r="E14" s="19" t="s">
        <x:v>1497</x:v>
      </x:c>
      <x:c r="F14" s="19" t="s">
        <x:v>1498</x:v>
      </x:c>
      <x:c r="G14" s="19" t="s">
        <x:v>1499</x:v>
      </x:c>
      <x:c r="H14" s="8" t="s">
        <x:v>15</x:v>
      </x:c>
    </x:row>
    <x:row r="15" ht="22.649999618530273" customHeight="1"/>
    <x:row r="16" ht="22.649999618530273" customHeight="1">
      <x:c r="A16" s="57" t="s">
        <x:v>1500</x:v>
      </x:c>
      <x:c r="B16" s="57"/>
      <x:c r="C16" s="57"/>
      <x:c r="D16" s="57"/>
      <x:c r="E16" s="57"/>
      <x:c r="F16" s="57"/>
      <x:c r="G16" s="57"/>
      <x:c r="H16" s="57"/>
    </x:row>
    <x:row r="17" ht="22.649999618530273" customHeight="1">
      <x:c r="A17" s="45" t="s">
        <x:v>1501</x:v>
      </x:c>
      <x:c r="B17" s="45" t="s">
        <x:v>1502</x:v>
      </x:c>
      <x:c r="C17" s="45" t="s">
        <x:v>585</x:v>
      </x:c>
      <x:c r="D17" s="45" t="s">
        <x:v>628</x:v>
      </x:c>
      <x:c r="E17" s="45" t="s">
        <x:v>670</x:v>
      </x:c>
      <x:c r="F17" s="45" t="s">
        <x:v>1481</x:v>
      </x:c>
      <x:c r="G17" s="45" t="s">
        <x:v>1503</x:v>
      </x:c>
      <x:c r="H17" s="45" t="s">
        <x:v>1504</x:v>
      </x:c>
    </x:row>
    <x:row r="18" ht="22.649999618530273" customHeight="1">
      <x:c r="A18" s="15" t="s">
        <x:v>125</x:v>
      </x:c>
      <x:c r="B18" s="46" t="s">
        <x:v>93</x:v>
      </x:c>
      <x:c r="C18" s="46" t="s">
        <x:v>1505</x:v>
      </x:c>
      <x:c r="D18" s="46" t="s">
        <x:v>1506</x:v>
      </x:c>
      <x:c r="E18" s="46" t="s">
        <x:v>1507</x:v>
      </x:c>
      <x:c r="F18" s="46" t="s">
        <x:v>646</x:v>
      </x:c>
      <x:c r="G18" s="46" t="s">
        <x:v>1508</x:v>
      </x:c>
      <x:c r="H18" s="16" t="s">
        <x:v>15</x:v>
      </x:c>
    </x:row>
    <x:row r="19" ht="22.649999618530273" customHeight="1">
      <x:c r="A19" s="13"/>
      <x:c r="B19" s="19"/>
      <x:c r="C19" s="19"/>
      <x:c r="D19" s="19"/>
      <x:c r="E19" s="19"/>
      <x:c r="F19" s="19"/>
      <x:c r="G19" s="19"/>
      <x:c r="H19" s="8"/>
    </x:row>
    <x:row r="20" ht="22.649999618530273" customHeight="1">
      <x:c r="A20" s="57" t="s">
        <x:v>1509</x:v>
      </x:c>
      <x:c r="B20" s="57"/>
      <x:c r="C20" s="57"/>
      <x:c r="D20" s="57"/>
      <x:c r="E20" s="57"/>
      <x:c r="F20" s="57"/>
      <x:c r="G20" s="57"/>
      <x:c r="H20" s="57"/>
    </x:row>
    <x:row r="21" ht="22.649999618530273" customHeight="1">
      <x:c r="A21" s="45" t="s">
        <x:v>1510</x:v>
      </x:c>
      <x:c r="B21" s="45" t="s">
        <x:v>1511</x:v>
      </x:c>
      <x:c r="C21" s="45" t="s">
        <x:v>1512</x:v>
      </x:c>
      <x:c r="D21" s="31"/>
      <x:c r="E21" s="58" t="s">
        <x:v>1513</x:v>
      </x:c>
      <x:c r="F21" s="58"/>
      <x:c r="G21" s="58"/>
      <x:c r="H21" s="58"/>
    </x:row>
    <x:row r="22" ht="22.649999618530273" customHeight="1">
      <x:c r="A22" s="47" t="s">
        <x:v>1514</x:v>
      </x:c>
      <x:c r="B22" s="48" t="s">
        <x:v>1515</x:v>
      </x:c>
      <x:c r="C22" s="49" t="s">
        <x:v>1516</x:v>
      </x:c>
      <x:c r="E22" s="59" t="s">
        <x:v>1517</x:v>
      </x:c>
      <x:c r="F22" s="60"/>
      <x:c r="G22" s="60"/>
      <x:c r="H22" s="61"/>
    </x:row>
    <x:row r="23" ht="22.649999618530273" customHeight="1">
      <x:c r="A23" s="11" t="s">
        <x:v>585</x:v>
      </x:c>
      <x:c r="B23" s="18" t="s">
        <x:v>1518</x:v>
      </x:c>
      <x:c r="C23" s="4" t="s">
        <x:v>1516</x:v>
      </x:c>
      <x:c r="E23" s="62"/>
      <x:c r="F23" s="63"/>
      <x:c r="G23" s="63"/>
      <x:c r="H23" s="64"/>
    </x:row>
    <x:row r="24" ht="22.649999618530273" customHeight="1">
      <x:c r="A24" s="12" t="s">
        <x:v>1519</x:v>
      </x:c>
      <x:c r="B24" s="2" t="s">
        <x:v>1520</x:v>
      </x:c>
      <x:c r="C24" s="6" t="s">
        <x:v>1516</x:v>
      </x:c>
      <x:c r="E24" s="65"/>
      <x:c r="F24" s="66"/>
      <x:c r="G24" s="66"/>
      <x:c r="H24" s="67"/>
    </x:row>
    <x:row r="25" ht="22.649999618530273" customHeight="1">
      <x:c r="A25" s="13" t="s">
        <x:v>16</x:v>
      </x:c>
      <x:c r="B25" s="19" t="s">
        <x:v>1521</x:v>
      </x:c>
      <x:c r="C25" s="8" t="s">
        <x:v>1516</x:v>
      </x:c>
      <x:c r="E25" s="68"/>
      <x:c r="F25" s="69"/>
      <x:c r="G25" s="69"/>
      <x:c r="H25" s="70"/>
    </x:row>
    <x:row r="26" ht="22.649999618530273" customHeight="1"/>
    <x:row r="27" ht="22.649999618530273" customHeight="1">
      <x:c r="A27" s="33"/>
      <x:c r="B27" s="33"/>
      <x:c r="C27" s="33"/>
      <x:c r="D27" s="33"/>
      <x:c r="E27" s="33"/>
      <x:c r="F27" s="33"/>
      <x:c r="G27" s="33"/>
      <x:c r="H27" s="33"/>
    </x:row>
    <x:row r="28" ht="22.649999618530273" customHeight="1">
      <x:c r="A28" s="34"/>
      <x:c r="B28" s="35"/>
      <x:c r="C28" s="35"/>
      <x:c r="D28" s="35"/>
      <x:c r="E28" s="35"/>
      <x:c r="F28" s="35"/>
      <x:c r="G28" s="35"/>
      <x:c r="H28" s="36"/>
    </x:row>
    <x:row r="29" ht="22.649999618530273" customHeight="1">
      <x:c r="A29" s="37"/>
      <x:c r="B29" s="2"/>
      <x:c r="C29" s="2"/>
      <x:c r="D29" s="2"/>
      <x:c r="E29" s="2"/>
      <x:c r="F29" s="2"/>
      <x:c r="G29" s="2"/>
      <x:c r="H29" s="38"/>
    </x:row>
    <x:row r="30" ht="22.649999618530273" customHeight="1">
      <x:c r="A30" s="39"/>
      <x:c r="B30" s="40"/>
      <x:c r="C30" s="40"/>
      <x:c r="D30" s="40"/>
      <x:c r="E30" s="40"/>
      <x:c r="F30" s="40"/>
      <x:c r="G30" s="40"/>
      <x:c r="H30" s="41"/>
    </x:row>
  </x:sheetData>
  <x:mergeCells>
    <x:mergeCell ref="E22:H25"/>
    <x:mergeCell ref="A1:H1"/>
    <x:mergeCell ref="A11:H11"/>
    <x:mergeCell ref="A16:H16"/>
    <x:mergeCell ref="A20:H20"/>
    <x:mergeCell ref="E21:H21"/>
  </x:mergeCells>
  <x:conditionalFormatting sqref="C22:C25">
    <x:cfRule type="expression" dxfId="8" priority="4">
      <x:formula>C22="通过"</x:formula>
    </x:cfRule>
    <x:cfRule type="expression" dxfId="7" priority="5">
      <x:formula>C22="待复核"</x:formula>
    </x:cfRule>
    <x:cfRule type="expression" dxfId="6" priority="6">
      <x:formula>C22="不通过"</x:formula>
    </x:cfRule>
  </x:conditionalFormatting>
  <x:conditionalFormatting sqref="C23:C25">
    <x:cfRule type="expression" dxfId="5" priority="1">
      <x:formula>C23="通过"</x:formula>
    </x:cfRule>
    <x:cfRule type="expression" dxfId="4" priority="2">
      <x:formula>C23="待复核"</x:formula>
    </x:cfRule>
    <x:cfRule type="expression" dxfId="3" priority="3">
      <x:formula>C23="不通过"</x:formula>
    </x:cfRule>
  </x:conditionalFormatting>
  <x:dataValidations count="1">
    <x:dataValidation type="list" sqref="C22:C25">
      <x:formula1>"通过,待复核,不通过"</x:formula1>
    </x:dataValidation>
  </x:dataValidations>
  <x:pageMargins left="0.7" right="0.7" top="0.75" bottom="0.75" header="0.3" footer="0.3"/>
</x:worksheet>
</file>

<file path=xl/worksheets/sheet9.xml><?xml version="1.0" encoding="utf-8"?>
<x:worksheet xmlns:x="http://schemas.openxmlformats.org/spreadsheetml/2006/main">
  <x:sheetFormatPr defaultRowHeight="14"/>
  <x:cols>
    <x:col min="1" max="1" width="16" customWidth="1"/>
    <x:col min="2" max="2" width="34" customWidth="1"/>
    <x:col min="3" max="3" width="22" customWidth="1"/>
    <x:col min="4" max="4" width="18" customWidth="1"/>
    <x:col min="5" max="5" width="30" customWidth="1"/>
    <x:col min="6" max="6" width="44" customWidth="1"/>
    <x:col min="7" max="7" width="48" customWidth="1"/>
    <x:col min="8" max="8" width="50" customWidth="1"/>
    <x:col min="9" max="9" width="30" customWidth="1"/>
    <x:col min="10" max="10" width="16" customWidth="1"/>
  </x:cols>
  <x:sheetData>
    <x:row r="1" ht="24" customHeight="1">
      <x:c r="A1" s="71" t="s">
        <x:v>1522</x:v>
      </x:c>
      <x:c r="B1" s="71"/>
      <x:c r="C1" s="71"/>
      <x:c r="D1" s="71"/>
      <x:c r="E1" s="71"/>
      <x:c r="F1" s="71"/>
      <x:c r="G1" s="71"/>
      <x:c r="H1" s="71"/>
      <x:c r="I1" s="71"/>
      <x:c r="J1" s="71"/>
    </x:row>
    <x:row r="2" ht="24" customHeight="1"/>
    <x:row r="3" ht="24" customHeight="1">
      <x:c r="A3" s="50" t="s">
        <x:v>1523</x:v>
      </x:c>
      <x:c r="B3" s="4" t="s">
        <x:v>1524</x:v>
      </x:c>
    </x:row>
    <x:row r="4" ht="24" customHeight="1">
      <x:c r="A4" s="51" t="s">
        <x:v>1525</x:v>
      </x:c>
      <x:c r="B4" s="6" t="s">
        <x:v>1526</x:v>
      </x:c>
    </x:row>
    <x:row r="5" ht="24" customHeight="1">
      <x:c r="A5" s="51" t="s">
        <x:v>1527</x:v>
      </x:c>
      <x:c r="B5" s="6" t="s">
        <x:v>1528</x:v>
      </x:c>
    </x:row>
    <x:row r="6" ht="24" customHeight="1">
      <x:c r="A6" s="51" t="s">
        <x:v>1483</x:v>
      </x:c>
      <x:c r="B6" s="6" t="str">
        <x:v>CE-001至CE-014全部完成标注并通过用户复核</x:v>
      </x:c>
    </x:row>
    <x:row r="7" ht="24" customHeight="1">
      <x:c r="A7" s="52" t="s">
        <x:v>4</x:v>
      </x:c>
      <x:c r="B7" s="8" t="s">
        <x:v>1529</x:v>
      </x:c>
    </x:row>
    <x:row r="8" ht="24" customHeight="1"/>
    <x:row r="9" ht="24" customHeight="1">
      <x:c r="A9" s="53" t="s">
        <x:v>44</x:v>
      </x:c>
      <x:c r="B9" s="53" t="s">
        <x:v>1530</x:v>
      </x:c>
      <x:c r="C9" s="53" t="s">
        <x:v>1531</x:v>
      </x:c>
      <x:c r="D9" s="53" t="s">
        <x:v>1455</x:v>
      </x:c>
      <x:c r="E9" s="53" t="s">
        <x:v>1532</x:v>
      </x:c>
      <x:c r="F9" s="53" t="s">
        <x:v>1533</x:v>
      </x:c>
      <x:c r="G9" s="53" t="s">
        <x:v>1534</x:v>
      </x:c>
      <x:c r="H9" s="53" t="s">
        <x:v>1535</x:v>
      </x:c>
      <x:c r="I9" s="53" t="s">
        <x:v>1536</x:v>
      </x:c>
      <x:c r="J9" s="53" t="s">
        <x:v>1537</x:v>
      </x:c>
    </x:row>
    <x:row r="10" ht="24" customHeight="1">
      <x:c r="A10" s="11" t="s">
        <x:v>140</x:v>
      </x:c>
      <x:c r="B10" s="18" t="s">
        <x:v>1538</x:v>
      </x:c>
      <x:c r="C10" s="18" t="s">
        <x:v>1539</x:v>
      </x:c>
      <x:c r="D10" s="18" t="s">
        <x:v>93</x:v>
      </x:c>
      <x:c r="E10" s="18" t="s">
        <x:v>141</x:v>
      </x:c>
      <x:c r="F10" s="18" t="s">
        <x:v>1540</x:v>
      </x:c>
      <x:c r="G10" s="18" t="s">
        <x:v>1541</x:v>
      </x:c>
      <x:c r="H10" s="18" t="s">
        <x:v>1542</x:v>
      </x:c>
      <x:c r="I10" s="18" t="s">
        <x:v>1543</x:v>
      </x:c>
      <x:c r="J10" s="4" t="str">
        <x:v>通过</x:v>
      </x:c>
    </x:row>
    <x:row r="11" ht="24" customHeight="1">
      <x:c r="A11" s="12" t="s">
        <x:v>156</x:v>
      </x:c>
      <x:c r="B11" s="2" t="s">
        <x:v>1544</x:v>
      </x:c>
      <x:c r="C11" s="2" t="s">
        <x:v>1539</x:v>
      </x:c>
      <x:c r="D11" s="2" t="s">
        <x:v>93</x:v>
      </x:c>
      <x:c r="E11" s="2" t="s">
        <x:v>157</x:v>
      </x:c>
      <x:c r="F11" s="2" t="s">
        <x:v>1545</x:v>
      </x:c>
      <x:c r="G11" s="2" t="s">
        <x:v>1546</x:v>
      </x:c>
      <x:c r="H11" s="2" t="s">
        <x:v>1547</x:v>
      </x:c>
      <x:c r="I11" s="2" t="s">
        <x:v>1548</x:v>
      </x:c>
      <x:c r="J11" s="6" t="str">
        <x:v>通过</x:v>
      </x:c>
    </x:row>
    <x:row r="12" ht="24" customHeight="1">
      <x:c r="A12" s="12" t="s">
        <x:v>169</x:v>
      </x:c>
      <x:c r="B12" s="2" t="s">
        <x:v>1549</x:v>
      </x:c>
      <x:c r="C12" s="2" t="s">
        <x:v>1539</x:v>
      </x:c>
      <x:c r="D12" s="2" t="s">
        <x:v>93</x:v>
      </x:c>
      <x:c r="E12" s="2" t="s">
        <x:v>170</x:v>
      </x:c>
      <x:c r="F12" s="2" t="s">
        <x:v>1550</x:v>
      </x:c>
      <x:c r="G12" s="2" t="s">
        <x:v>1551</x:v>
      </x:c>
      <x:c r="H12" s="2" t="s">
        <x:v>1552</x:v>
      </x:c>
      <x:c r="I12" s="2" t="s">
        <x:v>1553</x:v>
      </x:c>
      <x:c r="J12" s="6" t="str">
        <x:v>通过</x:v>
      </x:c>
    </x:row>
    <x:row r="13" ht="24" customHeight="1">
      <x:c r="A13" s="12" t="s">
        <x:v>184</x:v>
      </x:c>
      <x:c r="B13" s="2" t="s">
        <x:v>1554</x:v>
      </x:c>
      <x:c r="C13" s="2" t="s">
        <x:v>1555</x:v>
      </x:c>
      <x:c r="D13" s="2" t="s">
        <x:v>93</x:v>
      </x:c>
      <x:c r="E13" s="2" t="s">
        <x:v>185</x:v>
      </x:c>
      <x:c r="F13" s="2" t="s">
        <x:v>1556</x:v>
      </x:c>
      <x:c r="G13" s="2" t="s">
        <x:v>1557</x:v>
      </x:c>
      <x:c r="H13" s="2" t="s">
        <x:v>1558</x:v>
      </x:c>
      <x:c r="I13" s="2" t="s">
        <x:v>1559</x:v>
      </x:c>
      <x:c r="J13" s="6" t="str">
        <x:v>通过</x:v>
      </x:c>
    </x:row>
    <x:row r="14" ht="24" customHeight="1">
      <x:c r="A14" s="12" t="s">
        <x:v>200</x:v>
      </x:c>
      <x:c r="B14" s="2" t="s">
        <x:v>1560</x:v>
      </x:c>
      <x:c r="C14" s="2" t="s">
        <x:v>1561</x:v>
      </x:c>
      <x:c r="D14" s="2" t="s">
        <x:v>93</x:v>
      </x:c>
      <x:c r="E14" s="2" t="s">
        <x:v>1562</x:v>
      </x:c>
      <x:c r="F14" s="2" t="s">
        <x:v>1563</x:v>
      </x:c>
      <x:c r="G14" s="2" t="s">
        <x:v>1564</x:v>
      </x:c>
      <x:c r="H14" s="2" t="s">
        <x:v>1565</x:v>
      </x:c>
      <x:c r="I14" s="2" t="s">
        <x:v>1566</x:v>
      </x:c>
      <x:c r="J14" s="6" t="str">
        <x:v>通过</x:v>
      </x:c>
    </x:row>
    <x:row r="15" ht="24" customHeight="1">
      <x:c r="A15" s="12" t="s">
        <x:v>223</x:v>
      </x:c>
      <x:c r="B15" s="2" t="s">
        <x:v>1567</x:v>
      </x:c>
      <x:c r="C15" s="2" t="s">
        <x:v>1568</x:v>
      </x:c>
      <x:c r="D15" s="2" t="s">
        <x:v>93</x:v>
      </x:c>
      <x:c r="E15" s="2" t="s">
        <x:v>1569</x:v>
      </x:c>
      <x:c r="F15" s="2" t="s">
        <x:v>1570</x:v>
      </x:c>
      <x:c r="G15" s="2" t="s">
        <x:v>1571</x:v>
      </x:c>
      <x:c r="H15" s="2" t="s">
        <x:v>1572</x:v>
      </x:c>
      <x:c r="I15" s="2" t="s">
        <x:v>1573</x:v>
      </x:c>
      <x:c r="J15" s="6" t="str">
        <x:v>通过</x:v>
      </x:c>
    </x:row>
    <x:row r="16" ht="24" customHeight="1">
      <x:c r="A16" s="12" t="s">
        <x:v>245</x:v>
      </x:c>
      <x:c r="B16" s="2" t="s">
        <x:v>1574</x:v>
      </x:c>
      <x:c r="C16" s="2" t="s">
        <x:v>1575</x:v>
      </x:c>
      <x:c r="D16" s="2" t="s">
        <x:v>1576</x:v>
      </x:c>
      <x:c r="E16" s="2" t="s">
        <x:v>1577</x:v>
      </x:c>
      <x:c r="F16" s="2" t="s">
        <x:v>1578</x:v>
      </x:c>
      <x:c r="G16" s="2" t="s">
        <x:v>1579</x:v>
      </x:c>
      <x:c r="H16" s="2" t="s">
        <x:v>1580</x:v>
      </x:c>
      <x:c r="I16" s="2" t="s">
        <x:v>1581</x:v>
      </x:c>
      <x:c r="J16" s="6" t="str">
        <x:v>通过</x:v>
      </x:c>
    </x:row>
    <x:row r="17" ht="24" customHeight="1">
      <x:c r="A17" s="12" t="s">
        <x:v>270</x:v>
      </x:c>
      <x:c r="B17" s="2" t="s">
        <x:v>1582</x:v>
      </x:c>
      <x:c r="C17" s="2" t="s">
        <x:v>1583</x:v>
      </x:c>
      <x:c r="D17" s="2" t="s">
        <x:v>93</x:v>
      </x:c>
      <x:c r="E17" s="2" t="s">
        <x:v>1584</x:v>
      </x:c>
      <x:c r="F17" s="2" t="s">
        <x:v>1585</x:v>
      </x:c>
      <x:c r="G17" s="2" t="s">
        <x:v>1586</x:v>
      </x:c>
      <x:c r="H17" s="2" t="s">
        <x:v>1587</x:v>
      </x:c>
      <x:c r="I17" s="2" t="s">
        <x:v>1588</x:v>
      </x:c>
      <x:c r="J17" s="6" t="str">
        <x:v>通过</x:v>
      </x:c>
    </x:row>
    <x:row r="18" ht="24" customHeight="1">
      <x:c r="A18" s="12" t="s">
        <x:v>291</x:v>
      </x:c>
      <x:c r="B18" s="2" t="s">
        <x:v>1538</x:v>
      </x:c>
      <x:c r="C18" s="2" t="s">
        <x:v>1589</x:v>
      </x:c>
      <x:c r="D18" s="2" t="s">
        <x:v>93</x:v>
      </x:c>
      <x:c r="E18" s="2" t="s">
        <x:v>1590</x:v>
      </x:c>
      <x:c r="F18" s="2" t="s">
        <x:v>1591</x:v>
      </x:c>
      <x:c r="G18" s="2" t="s">
        <x:v>1592</x:v>
      </x:c>
      <x:c r="H18" s="2" t="s">
        <x:v>1593</x:v>
      </x:c>
      <x:c r="I18" s="2" t="s">
        <x:v>1594</x:v>
      </x:c>
      <x:c r="J18" s="6" t="str">
        <x:v>通过</x:v>
      </x:c>
    </x:row>
    <x:row r="19" ht="24" customHeight="1">
      <x:c r="A19" s="12" t="s">
        <x:v>312</x:v>
      </x:c>
      <x:c r="B19" s="2" t="s">
        <x:v>1595</x:v>
      </x:c>
      <x:c r="C19" s="2" t="s">
        <x:v>1596</x:v>
      </x:c>
      <x:c r="D19" s="2" t="s">
        <x:v>1597</x:v>
      </x:c>
      <x:c r="E19" s="2" t="s">
        <x:v>1598</x:v>
      </x:c>
      <x:c r="F19" s="2" t="s">
        <x:v>1599</x:v>
      </x:c>
      <x:c r="G19" s="2" t="s">
        <x:v>1600</x:v>
      </x:c>
      <x:c r="H19" s="2" t="s">
        <x:v>1601</x:v>
      </x:c>
      <x:c r="I19" s="2" t="s">
        <x:v>1602</x:v>
      </x:c>
      <x:c r="J19" s="6" t="str">
        <x:v>通过</x:v>
      </x:c>
    </x:row>
    <x:row r="20" ht="24" customHeight="1">
      <x:c r="A20" s="12" t="s">
        <x:v>335</x:v>
      </x:c>
      <x:c r="B20" s="2" t="s">
        <x:v>1603</x:v>
      </x:c>
      <x:c r="C20" s="2" t="s">
        <x:v>1604</x:v>
      </x:c>
      <x:c r="D20" s="2" t="s">
        <x:v>1605</x:v>
      </x:c>
      <x:c r="E20" s="2" t="s">
        <x:v>1606</x:v>
      </x:c>
      <x:c r="F20" s="2" t="s">
        <x:v>1607</x:v>
      </x:c>
      <x:c r="G20" s="2" t="s">
        <x:v>1608</x:v>
      </x:c>
      <x:c r="H20" s="2" t="s">
        <x:v>1609</x:v>
      </x:c>
      <x:c r="I20" s="2" t="s">
        <x:v>1610</x:v>
      </x:c>
      <x:c r="J20" s="6" t="str">
        <x:v>通过</x:v>
      </x:c>
    </x:row>
    <x:row r="21" ht="24" customHeight="1">
      <x:c r="A21" s="12" t="s">
        <x:v>359</x:v>
      </x:c>
      <x:c r="B21" s="2" t="s">
        <x:v>1117</x:v>
      </x:c>
      <x:c r="C21" s="2" t="s">
        <x:v>1611</x:v>
      </x:c>
      <x:c r="D21" s="2" t="s">
        <x:v>93</x:v>
      </x:c>
      <x:c r="E21" s="2" t="s">
        <x:v>1612</x:v>
      </x:c>
      <x:c r="F21" s="2" t="s">
        <x:v>1613</x:v>
      </x:c>
      <x:c r="G21" s="2" t="s">
        <x:v>1614</x:v>
      </x:c>
      <x:c r="H21" s="2" t="s">
        <x:v>1615</x:v>
      </x:c>
      <x:c r="I21" s="2" t="s">
        <x:v>1616</x:v>
      </x:c>
      <x:c r="J21" s="6" t="str">
        <x:v>通过</x:v>
      </x:c>
    </x:row>
    <x:row r="22" ht="24" customHeight="1">
      <x:c r="A22" s="12" t="s">
        <x:v>381</x:v>
      </x:c>
      <x:c r="B22" s="2" t="s">
        <x:v>1124</x:v>
      </x:c>
      <x:c r="C22" s="2" t="s">
        <x:v>1617</x:v>
      </x:c>
      <x:c r="D22" s="2" t="s">
        <x:v>93</x:v>
      </x:c>
      <x:c r="E22" s="2" t="s">
        <x:v>1612</x:v>
      </x:c>
      <x:c r="F22" s="2" t="s">
        <x:v>1613</x:v>
      </x:c>
      <x:c r="G22" s="2" t="s">
        <x:v>1618</x:v>
      </x:c>
      <x:c r="H22" s="2" t="s">
        <x:v>1619</x:v>
      </x:c>
      <x:c r="I22" s="2" t="s">
        <x:v>1620</x:v>
      </x:c>
      <x:c r="J22" s="6" t="str">
        <x:v>通过</x:v>
      </x:c>
    </x:row>
    <x:row r="23" ht="24" customHeight="1">
      <x:c r="A23" s="12" t="s">
        <x:v>400</x:v>
      </x:c>
      <x:c r="B23" s="2" t="s">
        <x:v>1146</x:v>
      </x:c>
      <x:c r="C23" s="2" t="s">
        <x:v>1621</x:v>
      </x:c>
      <x:c r="D23" s="2" t="s">
        <x:v>93</x:v>
      </x:c>
      <x:c r="E23" s="2" t="s">
        <x:v>1622</x:v>
      </x:c>
      <x:c r="F23" s="2" t="s">
        <x:v>1613</x:v>
      </x:c>
      <x:c r="G23" s="2" t="s">
        <x:v>1623</x:v>
      </x:c>
      <x:c r="H23" s="2" t="s">
        <x:v>1624</x:v>
      </x:c>
      <x:c r="I23" s="2" t="s">
        <x:v>1625</x:v>
      </x:c>
      <x:c r="J23" s="6" t="str">
        <x:v>通过</x:v>
      </x:c>
    </x:row>
    <x:row r="24" ht="24" customHeight="1">
      <x:c r="A24" s="12" t="s">
        <x:v>419</x:v>
      </x:c>
      <x:c r="B24" s="2" t="s">
        <x:v>1157</x:v>
      </x:c>
      <x:c r="C24" s="2" t="s">
        <x:v>1626</x:v>
      </x:c>
      <x:c r="D24" s="2" t="s">
        <x:v>93</x:v>
      </x:c>
      <x:c r="E24" s="2" t="s">
        <x:v>1627</x:v>
      </x:c>
      <x:c r="F24" s="2" t="s">
        <x:v>1613</x:v>
      </x:c>
      <x:c r="G24" s="2" t="s">
        <x:v>1628</x:v>
      </x:c>
      <x:c r="H24" s="2" t="s">
        <x:v>1629</x:v>
      </x:c>
      <x:c r="I24" s="2" t="s">
        <x:v>1630</x:v>
      </x:c>
      <x:c r="J24" s="6" t="str">
        <x:v>通过</x:v>
      </x:c>
    </x:row>
    <x:row r="25" ht="24" customHeight="1">
      <x:c r="A25" s="13" t="s">
        <x:v>436</x:v>
      </x:c>
      <x:c r="B25" s="19" t="s">
        <x:v>1161</x:v>
      </x:c>
      <x:c r="C25" s="19" t="s">
        <x:v>1631</x:v>
      </x:c>
      <x:c r="D25" s="19" t="s">
        <x:v>93</x:v>
      </x:c>
      <x:c r="E25" s="19" t="s">
        <x:v>1632</x:v>
      </x:c>
      <x:c r="F25" s="19" t="s">
        <x:v>1613</x:v>
      </x:c>
      <x:c r="G25" s="19" t="s">
        <x:v>1628</x:v>
      </x:c>
      <x:c r="H25" s="19" t="s">
        <x:v>1633</x:v>
      </x:c>
      <x:c r="I25" s="19" t="s">
        <x:v>1634</x:v>
      </x:c>
      <x:c r="J25" s="6" t="str">
        <x:v>通过</x:v>
      </x:c>
    </x:row>
    <x:row r="26">
      <x:c r="J26" s="6"/>
    </x:row>
    <x:row r="27">
      <x:c r="A27" s="131" t="str">
        <x:v>阶段四最终验收结论</x:v>
      </x:c>
      <x:c r="B27" s="131"/>
      <x:c r="C27" s="131"/>
      <x:c r="D27" s="131"/>
      <x:c r="E27" s="131"/>
      <x:c r="F27" s="131"/>
      <x:c r="G27" s="131"/>
      <x:c r="H27" s="131"/>
      <x:c r="I27" s="131"/>
      <x:c r="J27" s="131"/>
    </x:row>
    <x:row r="28">
      <x:c r="A28" s="153" t="str">
        <x:v>CE-001至CE-014及其子事件、A/B/C/D/D+轮次级候选项均已完成单事件人工理解与标注，并经用户复核通过。本阶段仅保留原文事实、时间口径、参与方角色、拆分判断、股东变化方向及原文披露数值；未计算最终投资金额、每股价格、持股比例或估值，未形成PE/VC主体及投资路径结论。</x:v>
      </x:c>
      <x:c r="B28" s="154"/>
      <x:c r="C28" s="154"/>
      <x:c r="D28" s="154"/>
      <x:c r="E28" s="154"/>
      <x:c r="F28" s="154"/>
      <x:c r="G28" s="154"/>
      <x:c r="H28" s="154"/>
      <x:c r="I28" s="154"/>
      <x:c r="J28" s="155"/>
    </x:row>
    <x:row r="29">
      <x:c r="A29" s="156"/>
      <x:c r="B29" s="157"/>
      <x:c r="C29" s="157"/>
      <x:c r="D29" s="157"/>
      <x:c r="E29" s="157"/>
      <x:c r="F29" s="157"/>
      <x:c r="G29" s="157"/>
      <x:c r="H29" s="157"/>
      <x:c r="I29" s="157"/>
      <x:c r="J29" s="158"/>
    </x:row>
    <x:row r="30">
      <x:c r="A30" s="159"/>
      <x:c r="B30" s="160"/>
      <x:c r="C30" s="160"/>
      <x:c r="D30" s="160"/>
      <x:c r="E30" s="160"/>
      <x:c r="F30" s="160"/>
      <x:c r="G30" s="160"/>
      <x:c r="H30" s="160"/>
      <x:c r="I30" s="160"/>
      <x:c r="J30" s="161"/>
    </x:row>
  </x:sheetData>
  <x:mergeCells>
    <x:mergeCell ref="A1:J1"/>
    <x:mergeCell ref="A27:J27"/>
    <x:mergeCell ref="A28:J30"/>
  </x:mergeCells>
  <x:conditionalFormatting sqref="J10:J26">
    <x:cfRule type="expression" dxfId="2" priority="1">
      <x:formula>J10="通过"</x:formula>
    </x:cfRule>
    <x:cfRule type="expression" dxfId="1" priority="2">
      <x:formula>J10="待复核"</x:formula>
    </x:cfRule>
    <x:cfRule type="expression" dxfId="0" priority="3">
      <x:formula>J10="不通过"</x:formula>
    </x:cfRule>
  </x:conditionalFormatting>
  <x:dataValidations count="1">
    <x:dataValidation type="list" sqref="J10:J26">
      <x:formula1>"通过,待复核,不通过"</x:formula1>
    </x:dataValidation>
  </x:dataValidations>
  <x:pageMargins left="0.7" right="0.7" top="0.75" bottom="0.75" header="0.3" footer="0.3"/>
</x:worksheet>
</file>